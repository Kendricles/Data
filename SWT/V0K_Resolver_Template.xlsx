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Onwuagba\Downloads\"/>
    </mc:Choice>
  </mc:AlternateContent>
  <xr:revisionPtr revIDLastSave="0" documentId="8_{FB2FD44C-8D23-45FB-A8D2-5BD6E5201700}" xr6:coauthVersionLast="47" xr6:coauthVersionMax="47" xr10:uidLastSave="{00000000-0000-0000-0000-000000000000}"/>
  <bookViews>
    <workbookView xWindow="-108" yWindow="-108" windowWidth="23256" windowHeight="12456" tabRatio="951" activeTab="2" xr2:uid="{00000000-000D-0000-FFFF-FFFF00000000}"/>
  </bookViews>
  <sheets>
    <sheet name="NunR-005" sheetId="31" r:id="rId1"/>
    <sheet name="NUNR-012" sheetId="29" r:id="rId2"/>
    <sheet name="BUGC-002" sheetId="25" r:id="rId3"/>
    <sheet name="OBEA_01" sheetId="7" r:id="rId4"/>
    <sheet name="HI02_3" sheetId="24" r:id="rId5"/>
  </sheets>
  <externalReferences>
    <externalReference r:id="rId6"/>
  </externalReferences>
  <definedNames>
    <definedName name="solver_adj" localSheetId="2" hidden="1">'BUGC-002'!$F$9:$F$10</definedName>
    <definedName name="solver_adj" localSheetId="4" hidden="1">HI02_3!$F$9:$F$10</definedName>
    <definedName name="solver_adj" localSheetId="0" hidden="1">'NunR-005'!$F$9:$F$10</definedName>
    <definedName name="solver_adj" localSheetId="1" hidden="1">'NUNR-012'!$F$9:$F$10</definedName>
    <definedName name="solver_adj" localSheetId="3" hidden="1">OBEA_01!$F$9:$F$10</definedName>
    <definedName name="solver_cvg" localSheetId="2" hidden="1">0.0001</definedName>
    <definedName name="solver_cvg" localSheetId="4" hidden="1">0.0001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drv" localSheetId="2" hidden="1">1</definedName>
    <definedName name="solver_drv" localSheetId="4" hidden="1">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eng" localSheetId="2" hidden="1">1</definedName>
    <definedName name="solver_eng" localSheetId="4" hidden="1">1</definedName>
    <definedName name="solver_eng" localSheetId="0" hidden="1">1</definedName>
    <definedName name="solver_eng" localSheetId="1" hidden="1">1</definedName>
    <definedName name="solver_eng" localSheetId="3" hidden="1">1</definedName>
    <definedName name="solver_est" localSheetId="2" hidden="1">1</definedName>
    <definedName name="solver_est" localSheetId="4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itr" localSheetId="2" hidden="1">100</definedName>
    <definedName name="solver_itr" localSheetId="4" hidden="1">100</definedName>
    <definedName name="solver_itr" localSheetId="0" hidden="1">100</definedName>
    <definedName name="solver_itr" localSheetId="1" hidden="1">100</definedName>
    <definedName name="solver_itr" localSheetId="3" hidden="1">100</definedName>
    <definedName name="solver_lhs1" localSheetId="2" hidden="1">'BUGC-002'!#REF!</definedName>
    <definedName name="solver_lhs1" localSheetId="4" hidden="1">HI02_3!#REF!</definedName>
    <definedName name="solver_lhs1" localSheetId="0" hidden="1">'NunR-005'!#REF!</definedName>
    <definedName name="solver_lhs1" localSheetId="1" hidden="1">'NUNR-012'!#REF!</definedName>
    <definedName name="solver_lhs1" localSheetId="3" hidden="1">OBEA_01!#REF!</definedName>
    <definedName name="solver_lhs2" localSheetId="2" hidden="1">'BUGC-002'!$H$15:$H$46</definedName>
    <definedName name="solver_lhs2" localSheetId="4" hidden="1">HI02_3!$H$15:$H$46</definedName>
    <definedName name="solver_lhs2" localSheetId="0" hidden="1">'NunR-005'!$H$15:$H$46</definedName>
    <definedName name="solver_lhs2" localSheetId="1" hidden="1">'NUNR-012'!$H$15:$H$46</definedName>
    <definedName name="solver_lhs2" localSheetId="3" hidden="1">OBEA_01!$H$15:$H$46</definedName>
    <definedName name="solver_lin" localSheetId="2" hidden="1">2</definedName>
    <definedName name="solver_lin" localSheetId="4" hidden="1">2</definedName>
    <definedName name="solver_lin" localSheetId="0" hidden="1">2</definedName>
    <definedName name="solver_lin" localSheetId="1" hidden="1">2</definedName>
    <definedName name="solver_lin" localSheetId="3" hidden="1">2</definedName>
    <definedName name="solver_mip" localSheetId="2" hidden="1">2147483647</definedName>
    <definedName name="solver_mip" localSheetId="4" hidden="1">2147483647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ni" localSheetId="2" hidden="1">30</definedName>
    <definedName name="solver_mni" localSheetId="4" hidden="1">30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rt" localSheetId="2" hidden="1">0.075</definedName>
    <definedName name="solver_mrt" localSheetId="4" hidden="1">0.075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sl" localSheetId="2" hidden="1">2</definedName>
    <definedName name="solver_msl" localSheetId="4" hidden="1">2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neg" localSheetId="2" hidden="1">2</definedName>
    <definedName name="solver_neg" localSheetId="4" hidden="1">2</definedName>
    <definedName name="solver_neg" localSheetId="0" hidden="1">2</definedName>
    <definedName name="solver_neg" localSheetId="1" hidden="1">2</definedName>
    <definedName name="solver_neg" localSheetId="3" hidden="1">2</definedName>
    <definedName name="solver_nod" localSheetId="2" hidden="1">2147483647</definedName>
    <definedName name="solver_nod" localSheetId="4" hidden="1">2147483647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um" localSheetId="2" hidden="1">0</definedName>
    <definedName name="solver_num" localSheetId="4" hidden="1">0</definedName>
    <definedName name="solver_num" localSheetId="0" hidden="1">0</definedName>
    <definedName name="solver_num" localSheetId="1" hidden="1">0</definedName>
    <definedName name="solver_num" localSheetId="3" hidden="1">0</definedName>
    <definedName name="solver_nwt" localSheetId="2" hidden="1">1</definedName>
    <definedName name="solver_nwt" localSheetId="4" hidden="1">1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opt" localSheetId="2" hidden="1">'BUGC-002'!$I$14</definedName>
    <definedName name="solver_opt" localSheetId="4" hidden="1">HI02_3!$I$14</definedName>
    <definedName name="solver_opt" localSheetId="0" hidden="1">'NunR-005'!$I$14</definedName>
    <definedName name="solver_opt" localSheetId="1" hidden="1">'NUNR-012'!$I$14</definedName>
    <definedName name="solver_opt" localSheetId="3" hidden="1">OBEA_01!$I$14</definedName>
    <definedName name="solver_pre" localSheetId="2" hidden="1">0.000001</definedName>
    <definedName name="solver_pre" localSheetId="4" hidden="1">0.000001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rbv" localSheetId="2" hidden="1">1</definedName>
    <definedName name="solver_rbv" localSheetId="4" hidden="1">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el1" localSheetId="2" hidden="1">1</definedName>
    <definedName name="solver_rel1" localSheetId="4" hidden="1">1</definedName>
    <definedName name="solver_rel1" localSheetId="0" hidden="1">1</definedName>
    <definedName name="solver_rel1" localSheetId="1" hidden="1">1</definedName>
    <definedName name="solver_rel1" localSheetId="3" hidden="1">1</definedName>
    <definedName name="solver_rel2" localSheetId="2" hidden="1">1</definedName>
    <definedName name="solver_rel2" localSheetId="4" hidden="1">1</definedName>
    <definedName name="solver_rel2" localSheetId="0" hidden="1">1</definedName>
    <definedName name="solver_rel2" localSheetId="1" hidden="1">1</definedName>
    <definedName name="solver_rel2" localSheetId="3" hidden="1">1</definedName>
    <definedName name="solver_rhs1" localSheetId="2" hidden="1">11500</definedName>
    <definedName name="solver_rhs1" localSheetId="4" hidden="1">11500</definedName>
    <definedName name="solver_rhs1" localSheetId="0" hidden="1">11500</definedName>
    <definedName name="solver_rhs1" localSheetId="1" hidden="1">11500</definedName>
    <definedName name="solver_rhs1" localSheetId="3" hidden="1">11500</definedName>
    <definedName name="solver_rhs2" localSheetId="2" hidden="1">50</definedName>
    <definedName name="solver_rhs2" localSheetId="4" hidden="1">50</definedName>
    <definedName name="solver_rhs2" localSheetId="0" hidden="1">50</definedName>
    <definedName name="solver_rhs2" localSheetId="1" hidden="1">50</definedName>
    <definedName name="solver_rhs2" localSheetId="3" hidden="1">50</definedName>
    <definedName name="solver_rlx" localSheetId="2" hidden="1">1</definedName>
    <definedName name="solver_rlx" localSheetId="4" hidden="1">1</definedName>
    <definedName name="solver_rlx" localSheetId="0" hidden="1">1</definedName>
    <definedName name="solver_rlx" localSheetId="1" hidden="1">1</definedName>
    <definedName name="solver_rlx" localSheetId="3" hidden="1">1</definedName>
    <definedName name="solver_rsd" localSheetId="2" hidden="1">0</definedName>
    <definedName name="solver_rsd" localSheetId="4" hidden="1">0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scl" localSheetId="2" hidden="1">2</definedName>
    <definedName name="solver_scl" localSheetId="4" hidden="1">2</definedName>
    <definedName name="solver_scl" localSheetId="0" hidden="1">2</definedName>
    <definedName name="solver_scl" localSheetId="1" hidden="1">2</definedName>
    <definedName name="solver_scl" localSheetId="3" hidden="1">2</definedName>
    <definedName name="solver_sho" localSheetId="2" hidden="1">2</definedName>
    <definedName name="solver_sho" localSheetId="4" hidden="1">2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sz" localSheetId="2" hidden="1">100</definedName>
    <definedName name="solver_ssz" localSheetId="4" hidden="1">100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tim" localSheetId="2" hidden="1">100</definedName>
    <definedName name="solver_tim" localSheetId="4" hidden="1">100</definedName>
    <definedName name="solver_tim" localSheetId="0" hidden="1">100</definedName>
    <definedName name="solver_tim" localSheetId="1" hidden="1">100</definedName>
    <definedName name="solver_tim" localSheetId="3" hidden="1">100</definedName>
    <definedName name="solver_tol" localSheetId="2" hidden="1">0.05</definedName>
    <definedName name="solver_tol" localSheetId="4" hidden="1">0.05</definedName>
    <definedName name="solver_tol" localSheetId="0" hidden="1">0.05</definedName>
    <definedName name="solver_tol" localSheetId="1" hidden="1">0.05</definedName>
    <definedName name="solver_tol" localSheetId="3" hidden="1">0.05</definedName>
    <definedName name="solver_typ" localSheetId="2" hidden="1">2</definedName>
    <definedName name="solver_typ" localSheetId="4" hidden="1">2</definedName>
    <definedName name="solver_typ" localSheetId="0" hidden="1">2</definedName>
    <definedName name="solver_typ" localSheetId="1" hidden="1">2</definedName>
    <definedName name="solver_typ" localSheetId="3" hidden="1">2</definedName>
    <definedName name="solver_val" localSheetId="2" hidden="1">0</definedName>
    <definedName name="solver_val" localSheetId="4" hidden="1">0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er" localSheetId="2" hidden="1">3</definedName>
    <definedName name="solver_ver" localSheetId="4" hidden="1">3</definedName>
    <definedName name="solver_ver" localSheetId="0" hidden="1">3</definedName>
    <definedName name="solver_ver" localSheetId="1" hidden="1">3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1" i="29" l="1"/>
  <c r="F201" i="29"/>
  <c r="H201" i="29" s="1"/>
  <c r="I201" i="29" s="1"/>
  <c r="E202" i="29"/>
  <c r="F202" i="29"/>
  <c r="H202" i="29" s="1"/>
  <c r="I202" i="29" s="1"/>
  <c r="E203" i="29"/>
  <c r="F203" i="29"/>
  <c r="H203" i="29" s="1"/>
  <c r="I203" i="29" s="1"/>
  <c r="E204" i="29"/>
  <c r="F204" i="29"/>
  <c r="H204" i="29" s="1"/>
  <c r="I204" i="29" s="1"/>
  <c r="E205" i="29"/>
  <c r="F205" i="29"/>
  <c r="H205" i="29" s="1"/>
  <c r="I205" i="29" s="1"/>
  <c r="E206" i="29"/>
  <c r="F206" i="29"/>
  <c r="G206" i="29" s="1"/>
  <c r="E207" i="29"/>
  <c r="F207" i="29"/>
  <c r="H207" i="29" s="1"/>
  <c r="I207" i="29" s="1"/>
  <c r="E208" i="29"/>
  <c r="F208" i="29"/>
  <c r="H208" i="29" s="1"/>
  <c r="I208" i="29" s="1"/>
  <c r="E209" i="29"/>
  <c r="F209" i="29"/>
  <c r="G209" i="29" s="1"/>
  <c r="E210" i="29"/>
  <c r="F210" i="29"/>
  <c r="E211" i="29"/>
  <c r="F211" i="29"/>
  <c r="H211" i="29" s="1"/>
  <c r="I211" i="29" s="1"/>
  <c r="E212" i="29"/>
  <c r="F212" i="29"/>
  <c r="H212" i="29" s="1"/>
  <c r="I212" i="29" s="1"/>
  <c r="E213" i="29"/>
  <c r="F213" i="29"/>
  <c r="G213" i="29" s="1"/>
  <c r="E214" i="29"/>
  <c r="F214" i="29"/>
  <c r="H214" i="29" s="1"/>
  <c r="I214" i="29" s="1"/>
  <c r="E215" i="29"/>
  <c r="F215" i="29"/>
  <c r="G215" i="29" s="1"/>
  <c r="E216" i="29"/>
  <c r="F216" i="29"/>
  <c r="H216" i="29" s="1"/>
  <c r="I216" i="29" s="1"/>
  <c r="E217" i="29"/>
  <c r="F217" i="29"/>
  <c r="H217" i="29" s="1"/>
  <c r="I217" i="29" s="1"/>
  <c r="E218" i="29"/>
  <c r="F218" i="29"/>
  <c r="G218" i="29" s="1"/>
  <c r="E219" i="29"/>
  <c r="F219" i="29"/>
  <c r="H219" i="29" s="1"/>
  <c r="I219" i="29" s="1"/>
  <c r="E220" i="29"/>
  <c r="F220" i="29"/>
  <c r="H220" i="29" s="1"/>
  <c r="I220" i="29" s="1"/>
  <c r="E221" i="29"/>
  <c r="F221" i="29"/>
  <c r="H221" i="29" s="1"/>
  <c r="I221" i="29" s="1"/>
  <c r="E222" i="29"/>
  <c r="F222" i="29"/>
  <c r="G222" i="29" s="1"/>
  <c r="E223" i="29"/>
  <c r="F223" i="29"/>
  <c r="H223" i="29" s="1"/>
  <c r="I223" i="29" s="1"/>
  <c r="E224" i="29"/>
  <c r="F224" i="29"/>
  <c r="H224" i="29" s="1"/>
  <c r="I224" i="29" s="1"/>
  <c r="E225" i="29"/>
  <c r="F225" i="29"/>
  <c r="H225" i="29" s="1"/>
  <c r="I225" i="29" s="1"/>
  <c r="E226" i="29"/>
  <c r="F226" i="29"/>
  <c r="E227" i="29"/>
  <c r="F227" i="29"/>
  <c r="G227" i="29" s="1"/>
  <c r="E228" i="29"/>
  <c r="F228" i="29"/>
  <c r="H228" i="29" s="1"/>
  <c r="I228" i="29" s="1"/>
  <c r="E229" i="29"/>
  <c r="F229" i="29"/>
  <c r="G229" i="29" s="1"/>
  <c r="E230" i="29"/>
  <c r="F230" i="29"/>
  <c r="H230" i="29" s="1"/>
  <c r="I230" i="29" s="1"/>
  <c r="E231" i="29"/>
  <c r="F231" i="29"/>
  <c r="G231" i="29" s="1"/>
  <c r="E232" i="29"/>
  <c r="F232" i="29"/>
  <c r="G232" i="29" s="1"/>
  <c r="E233" i="29"/>
  <c r="F233" i="29"/>
  <c r="H233" i="29" s="1"/>
  <c r="I233" i="29" s="1"/>
  <c r="E234" i="29"/>
  <c r="F234" i="29"/>
  <c r="H234" i="29" s="1"/>
  <c r="I234" i="29" s="1"/>
  <c r="E235" i="29"/>
  <c r="F235" i="29"/>
  <c r="H235" i="29" s="1"/>
  <c r="I235" i="29" s="1"/>
  <c r="E236" i="29"/>
  <c r="F236" i="29"/>
  <c r="H236" i="29" s="1"/>
  <c r="I236" i="29" s="1"/>
  <c r="E237" i="29"/>
  <c r="F237" i="29"/>
  <c r="H237" i="29" s="1"/>
  <c r="I237" i="29" s="1"/>
  <c r="E238" i="29"/>
  <c r="F238" i="29"/>
  <c r="G238" i="29" s="1"/>
  <c r="E239" i="29"/>
  <c r="F239" i="29"/>
  <c r="H239" i="29" s="1"/>
  <c r="I239" i="29" s="1"/>
  <c r="E240" i="29"/>
  <c r="F240" i="29"/>
  <c r="H240" i="29" s="1"/>
  <c r="I240" i="29" s="1"/>
  <c r="E241" i="29"/>
  <c r="F241" i="29"/>
  <c r="G241" i="29" s="1"/>
  <c r="E242" i="29"/>
  <c r="F242" i="29"/>
  <c r="E243" i="29"/>
  <c r="F243" i="29"/>
  <c r="G243" i="29" s="1"/>
  <c r="E244" i="29"/>
  <c r="F244" i="29"/>
  <c r="H244" i="29" s="1"/>
  <c r="I244" i="29" s="1"/>
  <c r="E245" i="29"/>
  <c r="F245" i="29"/>
  <c r="G245" i="29" s="1"/>
  <c r="E246" i="29"/>
  <c r="F246" i="29"/>
  <c r="H246" i="29" s="1"/>
  <c r="I246" i="29" s="1"/>
  <c r="E247" i="29"/>
  <c r="F247" i="29"/>
  <c r="G247" i="29" s="1"/>
  <c r="E248" i="29"/>
  <c r="F248" i="29"/>
  <c r="G248" i="29" s="1"/>
  <c r="E249" i="29"/>
  <c r="F249" i="29"/>
  <c r="H249" i="29" s="1"/>
  <c r="I249" i="29" s="1"/>
  <c r="E250" i="29"/>
  <c r="F250" i="29"/>
  <c r="H250" i="29" s="1"/>
  <c r="I250" i="29" s="1"/>
  <c r="E251" i="29"/>
  <c r="F251" i="29"/>
  <c r="H251" i="29" s="1"/>
  <c r="I251" i="29" s="1"/>
  <c r="E252" i="29"/>
  <c r="F252" i="29"/>
  <c r="H252" i="29" s="1"/>
  <c r="I252" i="29" s="1"/>
  <c r="E253" i="29"/>
  <c r="F253" i="29"/>
  <c r="H253" i="29" s="1"/>
  <c r="I253" i="29" s="1"/>
  <c r="E254" i="29"/>
  <c r="F254" i="29"/>
  <c r="G254" i="29" s="1"/>
  <c r="E255" i="29"/>
  <c r="F255" i="29"/>
  <c r="H255" i="29" s="1"/>
  <c r="I255" i="29" s="1"/>
  <c r="E256" i="29"/>
  <c r="F256" i="29"/>
  <c r="H256" i="29" s="1"/>
  <c r="I256" i="29" s="1"/>
  <c r="E257" i="29"/>
  <c r="F257" i="29"/>
  <c r="G257" i="29" s="1"/>
  <c r="E258" i="29"/>
  <c r="F258" i="29"/>
  <c r="E259" i="29"/>
  <c r="F259" i="29"/>
  <c r="G259" i="29" s="1"/>
  <c r="E260" i="29"/>
  <c r="F260" i="29"/>
  <c r="H260" i="29" s="1"/>
  <c r="I260" i="29" s="1"/>
  <c r="E261" i="29"/>
  <c r="F261" i="29"/>
  <c r="G261" i="29" s="1"/>
  <c r="E262" i="29"/>
  <c r="F262" i="29"/>
  <c r="H262" i="29" s="1"/>
  <c r="I262" i="29" s="1"/>
  <c r="E263" i="29"/>
  <c r="F263" i="29"/>
  <c r="G263" i="29" s="1"/>
  <c r="E264" i="29"/>
  <c r="F264" i="29"/>
  <c r="G264" i="29" s="1"/>
  <c r="E265" i="29"/>
  <c r="F265" i="29"/>
  <c r="H265" i="29" s="1"/>
  <c r="I265" i="29" s="1"/>
  <c r="E266" i="29"/>
  <c r="F266" i="29"/>
  <c r="G266" i="29" s="1"/>
  <c r="E267" i="29"/>
  <c r="F267" i="29"/>
  <c r="H267" i="29" s="1"/>
  <c r="I267" i="29" s="1"/>
  <c r="E268" i="29"/>
  <c r="F268" i="29"/>
  <c r="H268" i="29" s="1"/>
  <c r="I268" i="29" s="1"/>
  <c r="E269" i="29"/>
  <c r="F269" i="29"/>
  <c r="H269" i="29" s="1"/>
  <c r="I269" i="29" s="1"/>
  <c r="E270" i="29"/>
  <c r="F270" i="29"/>
  <c r="G270" i="29" s="1"/>
  <c r="E271" i="29"/>
  <c r="F271" i="29"/>
  <c r="H271" i="29" s="1"/>
  <c r="I271" i="29" s="1"/>
  <c r="E272" i="29"/>
  <c r="F272" i="29"/>
  <c r="H272" i="29" s="1"/>
  <c r="I272" i="29" s="1"/>
  <c r="E273" i="29"/>
  <c r="F273" i="29"/>
  <c r="G273" i="29" s="1"/>
  <c r="E274" i="29"/>
  <c r="F274" i="29"/>
  <c r="E275" i="29"/>
  <c r="F275" i="29"/>
  <c r="G275" i="29" s="1"/>
  <c r="E276" i="29"/>
  <c r="F276" i="29"/>
  <c r="H276" i="29" s="1"/>
  <c r="I276" i="29" s="1"/>
  <c r="E277" i="29"/>
  <c r="F277" i="29"/>
  <c r="G277" i="29" s="1"/>
  <c r="E278" i="29"/>
  <c r="F278" i="29"/>
  <c r="H278" i="29" s="1"/>
  <c r="I278" i="29" s="1"/>
  <c r="E279" i="29"/>
  <c r="F279" i="29"/>
  <c r="G279" i="29" s="1"/>
  <c r="E280" i="29"/>
  <c r="F280" i="29"/>
  <c r="G280" i="29" s="1"/>
  <c r="E281" i="29"/>
  <c r="F281" i="29"/>
  <c r="H281" i="29" s="1"/>
  <c r="I281" i="29" s="1"/>
  <c r="E282" i="29"/>
  <c r="F282" i="29"/>
  <c r="G282" i="29" s="1"/>
  <c r="E283" i="29"/>
  <c r="F283" i="29"/>
  <c r="H283" i="29" s="1"/>
  <c r="I283" i="29" s="1"/>
  <c r="E284" i="29"/>
  <c r="F284" i="29"/>
  <c r="H284" i="29" s="1"/>
  <c r="I284" i="29" s="1"/>
  <c r="E285" i="29"/>
  <c r="F285" i="29"/>
  <c r="H285" i="29" s="1"/>
  <c r="I285" i="29" s="1"/>
  <c r="E286" i="29"/>
  <c r="F286" i="29"/>
  <c r="G286" i="29" s="1"/>
  <c r="E287" i="29"/>
  <c r="F287" i="29"/>
  <c r="H287" i="29" s="1"/>
  <c r="I287" i="29" s="1"/>
  <c r="E288" i="29"/>
  <c r="F288" i="29"/>
  <c r="H288" i="29" s="1"/>
  <c r="I288" i="29" s="1"/>
  <c r="E289" i="29"/>
  <c r="F289" i="29"/>
  <c r="G289" i="29" s="1"/>
  <c r="E290" i="29"/>
  <c r="F290" i="29"/>
  <c r="E291" i="29"/>
  <c r="F291" i="29"/>
  <c r="G291" i="29" s="1"/>
  <c r="E292" i="29"/>
  <c r="F292" i="29"/>
  <c r="H292" i="29" s="1"/>
  <c r="I292" i="29" s="1"/>
  <c r="E293" i="29"/>
  <c r="F293" i="29"/>
  <c r="G293" i="29" s="1"/>
  <c r="E294" i="29"/>
  <c r="F294" i="29"/>
  <c r="H294" i="29" s="1"/>
  <c r="I294" i="29" s="1"/>
  <c r="E295" i="29"/>
  <c r="F295" i="29"/>
  <c r="G295" i="29" s="1"/>
  <c r="E296" i="29"/>
  <c r="F296" i="29"/>
  <c r="G296" i="29" s="1"/>
  <c r="E297" i="29"/>
  <c r="F297" i="29"/>
  <c r="H297" i="29" s="1"/>
  <c r="I297" i="29" s="1"/>
  <c r="E298" i="29"/>
  <c r="F298" i="29"/>
  <c r="G298" i="29" s="1"/>
  <c r="E299" i="29"/>
  <c r="F299" i="29"/>
  <c r="H299" i="29" s="1"/>
  <c r="I299" i="29" s="1"/>
  <c r="E300" i="29"/>
  <c r="F300" i="29"/>
  <c r="G300" i="29" s="1"/>
  <c r="E301" i="29"/>
  <c r="F301" i="29"/>
  <c r="H301" i="29" s="1"/>
  <c r="I301" i="29" s="1"/>
  <c r="E302" i="29"/>
  <c r="F302" i="29"/>
  <c r="G302" i="29" s="1"/>
  <c r="E303" i="29"/>
  <c r="F303" i="29"/>
  <c r="H303" i="29" s="1"/>
  <c r="I303" i="29" s="1"/>
  <c r="E304" i="29"/>
  <c r="F304" i="29"/>
  <c r="H304" i="29" s="1"/>
  <c r="I304" i="29" s="1"/>
  <c r="E305" i="29"/>
  <c r="F305" i="29"/>
  <c r="G305" i="29" s="1"/>
  <c r="E306" i="29"/>
  <c r="F306" i="29"/>
  <c r="E307" i="29"/>
  <c r="F307" i="29"/>
  <c r="G307" i="29" s="1"/>
  <c r="E308" i="29"/>
  <c r="F308" i="29"/>
  <c r="H308" i="29" s="1"/>
  <c r="I308" i="29" s="1"/>
  <c r="E309" i="29"/>
  <c r="F309" i="29"/>
  <c r="G309" i="29" s="1"/>
  <c r="E310" i="29"/>
  <c r="F310" i="29"/>
  <c r="H310" i="29" s="1"/>
  <c r="I310" i="29" s="1"/>
  <c r="E311" i="29"/>
  <c r="F311" i="29"/>
  <c r="G311" i="29" s="1"/>
  <c r="E312" i="29"/>
  <c r="F312" i="29"/>
  <c r="G312" i="29" s="1"/>
  <c r="E313" i="29"/>
  <c r="F313" i="29"/>
  <c r="H313" i="29" s="1"/>
  <c r="I313" i="29" s="1"/>
  <c r="E314" i="29"/>
  <c r="F314" i="29"/>
  <c r="H314" i="29" s="1"/>
  <c r="I314" i="29" s="1"/>
  <c r="E315" i="29"/>
  <c r="F315" i="29"/>
  <c r="H315" i="29" s="1"/>
  <c r="I315" i="29" s="1"/>
  <c r="E316" i="29"/>
  <c r="F316" i="29"/>
  <c r="G316" i="29" s="1"/>
  <c r="E317" i="29"/>
  <c r="F317" i="29"/>
  <c r="H317" i="29" s="1"/>
  <c r="I317" i="29" s="1"/>
  <c r="E318" i="29"/>
  <c r="F318" i="29"/>
  <c r="G318" i="29" s="1"/>
  <c r="E319" i="29"/>
  <c r="F319" i="29"/>
  <c r="H319" i="29" s="1"/>
  <c r="I319" i="29" s="1"/>
  <c r="E320" i="29"/>
  <c r="F320" i="29"/>
  <c r="H320" i="29" s="1"/>
  <c r="I320" i="29" s="1"/>
  <c r="E321" i="29"/>
  <c r="F321" i="29"/>
  <c r="G321" i="29" s="1"/>
  <c r="E322" i="29"/>
  <c r="F322" i="29"/>
  <c r="E323" i="29"/>
  <c r="F323" i="29"/>
  <c r="G323" i="29" s="1"/>
  <c r="E324" i="29"/>
  <c r="F324" i="29"/>
  <c r="H324" i="29" s="1"/>
  <c r="I324" i="29" s="1"/>
  <c r="E325" i="29"/>
  <c r="F325" i="29"/>
  <c r="G325" i="29" s="1"/>
  <c r="E326" i="29"/>
  <c r="F326" i="29"/>
  <c r="H326" i="29" s="1"/>
  <c r="I326" i="29" s="1"/>
  <c r="E327" i="29"/>
  <c r="F327" i="29"/>
  <c r="H327" i="29" s="1"/>
  <c r="I327" i="29" s="1"/>
  <c r="E328" i="29"/>
  <c r="F328" i="29"/>
  <c r="G328" i="29" s="1"/>
  <c r="E329" i="29"/>
  <c r="F329" i="29"/>
  <c r="H329" i="29" s="1"/>
  <c r="I329" i="29" s="1"/>
  <c r="E330" i="29"/>
  <c r="F330" i="29"/>
  <c r="H330" i="29" s="1"/>
  <c r="I330" i="29" s="1"/>
  <c r="E331" i="29"/>
  <c r="F331" i="29"/>
  <c r="H331" i="29" s="1"/>
  <c r="I331" i="29" s="1"/>
  <c r="E332" i="29"/>
  <c r="F332" i="29"/>
  <c r="H332" i="29" s="1"/>
  <c r="I332" i="29" s="1"/>
  <c r="E333" i="29"/>
  <c r="F333" i="29"/>
  <c r="H333" i="29" s="1"/>
  <c r="I333" i="29" s="1"/>
  <c r="E334" i="29"/>
  <c r="F334" i="29"/>
  <c r="G334" i="29" s="1"/>
  <c r="E335" i="29"/>
  <c r="F335" i="29"/>
  <c r="H335" i="29" s="1"/>
  <c r="I335" i="29" s="1"/>
  <c r="E336" i="29"/>
  <c r="F336" i="29"/>
  <c r="H336" i="29" s="1"/>
  <c r="I336" i="29" s="1"/>
  <c r="E337" i="29"/>
  <c r="F337" i="29"/>
  <c r="G337" i="29" s="1"/>
  <c r="E338" i="29"/>
  <c r="F338" i="29"/>
  <c r="E339" i="29"/>
  <c r="F339" i="29"/>
  <c r="G339" i="29" s="1"/>
  <c r="E340" i="29"/>
  <c r="F340" i="29"/>
  <c r="H340" i="29" s="1"/>
  <c r="I340" i="29" s="1"/>
  <c r="E341" i="29"/>
  <c r="F341" i="29"/>
  <c r="G341" i="29" s="1"/>
  <c r="E342" i="29"/>
  <c r="F342" i="29"/>
  <c r="H342" i="29" s="1"/>
  <c r="I342" i="29" s="1"/>
  <c r="E343" i="29"/>
  <c r="F343" i="29"/>
  <c r="H343" i="29" s="1"/>
  <c r="I343" i="29" s="1"/>
  <c r="E344" i="29"/>
  <c r="F344" i="29"/>
  <c r="G344" i="29" s="1"/>
  <c r="E345" i="29"/>
  <c r="F345" i="29"/>
  <c r="H345" i="29" s="1"/>
  <c r="I345" i="29" s="1"/>
  <c r="E346" i="29"/>
  <c r="F346" i="29"/>
  <c r="H346" i="29" s="1"/>
  <c r="I346" i="29" s="1"/>
  <c r="E347" i="29"/>
  <c r="F347" i="29"/>
  <c r="H347" i="29" s="1"/>
  <c r="I347" i="29" s="1"/>
  <c r="E348" i="29"/>
  <c r="F348" i="29"/>
  <c r="H348" i="29" s="1"/>
  <c r="I348" i="29" s="1"/>
  <c r="E349" i="29"/>
  <c r="F349" i="29"/>
  <c r="H349" i="29" s="1"/>
  <c r="I349" i="29" s="1"/>
  <c r="E350" i="29"/>
  <c r="F350" i="29"/>
  <c r="G350" i="29" s="1"/>
  <c r="E351" i="29"/>
  <c r="F351" i="29"/>
  <c r="H351" i="29" s="1"/>
  <c r="I351" i="29" s="1"/>
  <c r="E352" i="29"/>
  <c r="F352" i="29"/>
  <c r="H352" i="29" s="1"/>
  <c r="I352" i="29" s="1"/>
  <c r="E353" i="29"/>
  <c r="F353" i="29"/>
  <c r="H353" i="29" s="1"/>
  <c r="I353" i="29" s="1"/>
  <c r="E354" i="29"/>
  <c r="F354" i="29"/>
  <c r="E355" i="29"/>
  <c r="F355" i="29"/>
  <c r="G355" i="29" s="1"/>
  <c r="E356" i="29"/>
  <c r="F356" i="29"/>
  <c r="H356" i="29" s="1"/>
  <c r="I356" i="29" s="1"/>
  <c r="E357" i="29"/>
  <c r="F357" i="29"/>
  <c r="G357" i="29" s="1"/>
  <c r="E358" i="29"/>
  <c r="F358" i="29"/>
  <c r="H358" i="29" s="1"/>
  <c r="I358" i="29" s="1"/>
  <c r="E359" i="29"/>
  <c r="F359" i="29"/>
  <c r="H359" i="29" s="1"/>
  <c r="I359" i="29" s="1"/>
  <c r="E360" i="29"/>
  <c r="F360" i="29"/>
  <c r="G360" i="29" s="1"/>
  <c r="E361" i="29"/>
  <c r="F361" i="29"/>
  <c r="H361" i="29" s="1"/>
  <c r="I361" i="29" s="1"/>
  <c r="E362" i="29"/>
  <c r="F362" i="29"/>
  <c r="H362" i="29" s="1"/>
  <c r="I362" i="29" s="1"/>
  <c r="E363" i="29"/>
  <c r="F363" i="29"/>
  <c r="H363" i="29" s="1"/>
  <c r="I363" i="29" s="1"/>
  <c r="E364" i="29"/>
  <c r="F364" i="29"/>
  <c r="H364" i="29" s="1"/>
  <c r="I364" i="29" s="1"/>
  <c r="E365" i="29"/>
  <c r="F365" i="29"/>
  <c r="H365" i="29" s="1"/>
  <c r="I365" i="29" s="1"/>
  <c r="E366" i="29"/>
  <c r="F366" i="29"/>
  <c r="H366" i="29" s="1"/>
  <c r="I366" i="29" s="1"/>
  <c r="E367" i="29"/>
  <c r="F367" i="29"/>
  <c r="H367" i="29" s="1"/>
  <c r="I367" i="29" s="1"/>
  <c r="E368" i="29"/>
  <c r="F368" i="29"/>
  <c r="H368" i="29" s="1"/>
  <c r="I368" i="29" s="1"/>
  <c r="E369" i="29"/>
  <c r="F369" i="29"/>
  <c r="H369" i="29" s="1"/>
  <c r="I369" i="29" s="1"/>
  <c r="E370" i="29"/>
  <c r="F370" i="29"/>
  <c r="H370" i="29" s="1"/>
  <c r="I370" i="29" s="1"/>
  <c r="E371" i="29"/>
  <c r="F371" i="29"/>
  <c r="G371" i="29" s="1"/>
  <c r="E372" i="29"/>
  <c r="F372" i="29"/>
  <c r="H372" i="29" s="1"/>
  <c r="I372" i="29" s="1"/>
  <c r="E373" i="29"/>
  <c r="F373" i="29"/>
  <c r="H373" i="29" s="1"/>
  <c r="I373" i="29" s="1"/>
  <c r="E374" i="29"/>
  <c r="F374" i="29"/>
  <c r="H374" i="29" s="1"/>
  <c r="I374" i="29" s="1"/>
  <c r="E375" i="29"/>
  <c r="F375" i="29"/>
  <c r="H375" i="29" s="1"/>
  <c r="I375" i="29" s="1"/>
  <c r="E376" i="29"/>
  <c r="F376" i="29"/>
  <c r="G376" i="29" s="1"/>
  <c r="E377" i="29"/>
  <c r="F377" i="29"/>
  <c r="H377" i="29" s="1"/>
  <c r="I377" i="29" s="1"/>
  <c r="E378" i="29"/>
  <c r="F378" i="29"/>
  <c r="H378" i="29" s="1"/>
  <c r="I378" i="29" s="1"/>
  <c r="E379" i="29"/>
  <c r="F379" i="29"/>
  <c r="H379" i="29" s="1"/>
  <c r="I379" i="29" s="1"/>
  <c r="E380" i="29"/>
  <c r="F380" i="29"/>
  <c r="H380" i="29" s="1"/>
  <c r="I380" i="29" s="1"/>
  <c r="E381" i="29"/>
  <c r="F381" i="29"/>
  <c r="H381" i="29" s="1"/>
  <c r="I381" i="29" s="1"/>
  <c r="E382" i="29"/>
  <c r="F382" i="29"/>
  <c r="H382" i="29" s="1"/>
  <c r="I382" i="29" s="1"/>
  <c r="E383" i="29"/>
  <c r="F383" i="29"/>
  <c r="G383" i="29" s="1"/>
  <c r="E384" i="29"/>
  <c r="F384" i="29"/>
  <c r="H384" i="29" s="1"/>
  <c r="I384" i="29" s="1"/>
  <c r="E385" i="29"/>
  <c r="F385" i="29"/>
  <c r="H385" i="29" s="1"/>
  <c r="I385" i="29" s="1"/>
  <c r="E386" i="29"/>
  <c r="F386" i="29"/>
  <c r="H386" i="29" s="1"/>
  <c r="I386" i="29" s="1"/>
  <c r="E387" i="29"/>
  <c r="F387" i="29"/>
  <c r="G387" i="29" s="1"/>
  <c r="E388" i="29"/>
  <c r="F388" i="29"/>
  <c r="H388" i="29" s="1"/>
  <c r="I388" i="29" s="1"/>
  <c r="E389" i="29"/>
  <c r="F389" i="29"/>
  <c r="H389" i="29" s="1"/>
  <c r="I389" i="29" s="1"/>
  <c r="E390" i="29"/>
  <c r="F390" i="29"/>
  <c r="H390" i="29" s="1"/>
  <c r="I390" i="29" s="1"/>
  <c r="E391" i="29"/>
  <c r="F391" i="29"/>
  <c r="H391" i="29" s="1"/>
  <c r="I391" i="29" s="1"/>
  <c r="E392" i="29"/>
  <c r="F392" i="29"/>
  <c r="G392" i="29" s="1"/>
  <c r="E393" i="29"/>
  <c r="F393" i="29"/>
  <c r="H393" i="29" s="1"/>
  <c r="I393" i="29" s="1"/>
  <c r="E394" i="29"/>
  <c r="F394" i="29"/>
  <c r="H394" i="29" s="1"/>
  <c r="I394" i="29" s="1"/>
  <c r="E395" i="29"/>
  <c r="F395" i="29"/>
  <c r="H395" i="29" s="1"/>
  <c r="I395" i="29" s="1"/>
  <c r="E396" i="29"/>
  <c r="F396" i="29"/>
  <c r="H396" i="29" s="1"/>
  <c r="I396" i="29" s="1"/>
  <c r="E397" i="29"/>
  <c r="F397" i="29"/>
  <c r="H397" i="29" s="1"/>
  <c r="I397" i="29" s="1"/>
  <c r="E398" i="29"/>
  <c r="F398" i="29"/>
  <c r="H398" i="29" s="1"/>
  <c r="I398" i="29" s="1"/>
  <c r="E399" i="29"/>
  <c r="F399" i="29"/>
  <c r="G399" i="29" s="1"/>
  <c r="E400" i="29"/>
  <c r="F400" i="29"/>
  <c r="H400" i="29" s="1"/>
  <c r="I400" i="29" s="1"/>
  <c r="E401" i="29"/>
  <c r="F401" i="29"/>
  <c r="H401" i="29" s="1"/>
  <c r="I401" i="29" s="1"/>
  <c r="E402" i="29"/>
  <c r="F402" i="29"/>
  <c r="H402" i="29" s="1"/>
  <c r="I402" i="29" s="1"/>
  <c r="E403" i="29"/>
  <c r="F403" i="29"/>
  <c r="G403" i="29" s="1"/>
  <c r="E404" i="29"/>
  <c r="F404" i="29"/>
  <c r="G404" i="29" s="1"/>
  <c r="E405" i="29"/>
  <c r="F405" i="29"/>
  <c r="H405" i="29" s="1"/>
  <c r="I405" i="29" s="1"/>
  <c r="E406" i="29"/>
  <c r="F406" i="29"/>
  <c r="H406" i="29" s="1"/>
  <c r="I406" i="29" s="1"/>
  <c r="E407" i="29"/>
  <c r="F407" i="29"/>
  <c r="H407" i="29" s="1"/>
  <c r="I407" i="29" s="1"/>
  <c r="E408" i="29"/>
  <c r="F408" i="29"/>
  <c r="G408" i="29" s="1"/>
  <c r="E409" i="29"/>
  <c r="F409" i="29"/>
  <c r="H409" i="29" s="1"/>
  <c r="I409" i="29" s="1"/>
  <c r="E410" i="29"/>
  <c r="F410" i="29"/>
  <c r="H410" i="29" s="1"/>
  <c r="I410" i="29" s="1"/>
  <c r="E411" i="29"/>
  <c r="F411" i="29"/>
  <c r="H411" i="29" s="1"/>
  <c r="I411" i="29" s="1"/>
  <c r="E412" i="29"/>
  <c r="F412" i="29"/>
  <c r="H412" i="29" s="1"/>
  <c r="I412" i="29" s="1"/>
  <c r="E413" i="29"/>
  <c r="F413" i="29"/>
  <c r="H413" i="29" s="1"/>
  <c r="I413" i="29" s="1"/>
  <c r="E414" i="29"/>
  <c r="F414" i="29"/>
  <c r="H414" i="29" s="1"/>
  <c r="I414" i="29" s="1"/>
  <c r="E415" i="29"/>
  <c r="F415" i="29"/>
  <c r="H415" i="29" s="1"/>
  <c r="I415" i="29" s="1"/>
  <c r="E416" i="29"/>
  <c r="F416" i="29"/>
  <c r="H416" i="29" s="1"/>
  <c r="I416" i="29" s="1"/>
  <c r="E417" i="29"/>
  <c r="F417" i="29"/>
  <c r="H417" i="29" s="1"/>
  <c r="I417" i="29" s="1"/>
  <c r="E418" i="29"/>
  <c r="F418" i="29"/>
  <c r="H418" i="29" s="1"/>
  <c r="I418" i="29" s="1"/>
  <c r="E419" i="29"/>
  <c r="F419" i="29"/>
  <c r="G419" i="29" s="1"/>
  <c r="E420" i="29"/>
  <c r="F420" i="29"/>
  <c r="G420" i="29" s="1"/>
  <c r="E421" i="29"/>
  <c r="F421" i="29"/>
  <c r="H421" i="29" s="1"/>
  <c r="I421" i="29" s="1"/>
  <c r="E422" i="29"/>
  <c r="F422" i="29"/>
  <c r="H422" i="29" s="1"/>
  <c r="I422" i="29" s="1"/>
  <c r="E423" i="29"/>
  <c r="F423" i="29"/>
  <c r="H423" i="29" s="1"/>
  <c r="I423" i="29" s="1"/>
  <c r="E424" i="29"/>
  <c r="F424" i="29"/>
  <c r="H424" i="29" s="1"/>
  <c r="I424" i="29" s="1"/>
  <c r="E425" i="29"/>
  <c r="F425" i="29"/>
  <c r="H425" i="29" s="1"/>
  <c r="I425" i="29" s="1"/>
  <c r="E426" i="29"/>
  <c r="F426" i="29"/>
  <c r="H426" i="29" s="1"/>
  <c r="I426" i="29" s="1"/>
  <c r="E427" i="29"/>
  <c r="F427" i="29"/>
  <c r="H427" i="29" s="1"/>
  <c r="I427" i="29" s="1"/>
  <c r="E428" i="29"/>
  <c r="F428" i="29"/>
  <c r="H428" i="29" s="1"/>
  <c r="I428" i="29" s="1"/>
  <c r="E429" i="29"/>
  <c r="F429" i="29"/>
  <c r="H429" i="29" s="1"/>
  <c r="I429" i="29" s="1"/>
  <c r="E430" i="29"/>
  <c r="F430" i="29"/>
  <c r="H430" i="29" s="1"/>
  <c r="I430" i="29" s="1"/>
  <c r="E431" i="29"/>
  <c r="F431" i="29"/>
  <c r="H431" i="29" s="1"/>
  <c r="I431" i="29" s="1"/>
  <c r="E432" i="29"/>
  <c r="F432" i="29"/>
  <c r="H432" i="29" s="1"/>
  <c r="I432" i="29" s="1"/>
  <c r="E433" i="29"/>
  <c r="F433" i="29"/>
  <c r="H433" i="29" s="1"/>
  <c r="I433" i="29" s="1"/>
  <c r="E434" i="29"/>
  <c r="F434" i="29"/>
  <c r="H434" i="29" s="1"/>
  <c r="I434" i="29" s="1"/>
  <c r="E435" i="29"/>
  <c r="F435" i="29"/>
  <c r="G435" i="29" s="1"/>
  <c r="E436" i="29"/>
  <c r="F436" i="29"/>
  <c r="G436" i="29" s="1"/>
  <c r="E437" i="29"/>
  <c r="F437" i="29"/>
  <c r="H437" i="29" s="1"/>
  <c r="I437" i="29" s="1"/>
  <c r="E438" i="29"/>
  <c r="F438" i="29"/>
  <c r="H438" i="29" s="1"/>
  <c r="I438" i="29" s="1"/>
  <c r="E439" i="29"/>
  <c r="F439" i="29"/>
  <c r="H439" i="29" s="1"/>
  <c r="I439" i="29" s="1"/>
  <c r="E440" i="29"/>
  <c r="F440" i="29"/>
  <c r="G440" i="29" s="1"/>
  <c r="E441" i="29"/>
  <c r="F441" i="29"/>
  <c r="H441" i="29" s="1"/>
  <c r="I441" i="29" s="1"/>
  <c r="E442" i="29"/>
  <c r="F442" i="29"/>
  <c r="H442" i="29" s="1"/>
  <c r="I442" i="29" s="1"/>
  <c r="E443" i="29"/>
  <c r="F443" i="29"/>
  <c r="H443" i="29" s="1"/>
  <c r="I443" i="29" s="1"/>
  <c r="E444" i="29"/>
  <c r="F444" i="29"/>
  <c r="H444" i="29" s="1"/>
  <c r="I444" i="29" s="1"/>
  <c r="E445" i="29"/>
  <c r="F445" i="29"/>
  <c r="H445" i="29" s="1"/>
  <c r="I445" i="29" s="1"/>
  <c r="E446" i="29"/>
  <c r="F446" i="29"/>
  <c r="H446" i="29" s="1"/>
  <c r="I446" i="29" s="1"/>
  <c r="E447" i="29"/>
  <c r="F447" i="29"/>
  <c r="H447" i="29" s="1"/>
  <c r="I447" i="29" s="1"/>
  <c r="E448" i="29"/>
  <c r="F448" i="29"/>
  <c r="H448" i="29" s="1"/>
  <c r="I448" i="29" s="1"/>
  <c r="E449" i="29"/>
  <c r="F449" i="29"/>
  <c r="H449" i="29" s="1"/>
  <c r="I449" i="29" s="1"/>
  <c r="E450" i="29"/>
  <c r="F450" i="29"/>
  <c r="H450" i="29" s="1"/>
  <c r="I450" i="29" s="1"/>
  <c r="E451" i="29"/>
  <c r="F451" i="29"/>
  <c r="G451" i="29" s="1"/>
  <c r="E452" i="29"/>
  <c r="F452" i="29"/>
  <c r="G452" i="29" s="1"/>
  <c r="E453" i="29"/>
  <c r="F453" i="29"/>
  <c r="H453" i="29" s="1"/>
  <c r="I453" i="29" s="1"/>
  <c r="E454" i="29"/>
  <c r="F454" i="29"/>
  <c r="H454" i="29" s="1"/>
  <c r="I454" i="29" s="1"/>
  <c r="E455" i="29"/>
  <c r="F455" i="29"/>
  <c r="H455" i="29" s="1"/>
  <c r="I455" i="29" s="1"/>
  <c r="E456" i="29"/>
  <c r="F456" i="29"/>
  <c r="G456" i="29" s="1"/>
  <c r="E457" i="29"/>
  <c r="F457" i="29"/>
  <c r="H457" i="29" s="1"/>
  <c r="I457" i="29" s="1"/>
  <c r="E458" i="29"/>
  <c r="F458" i="29"/>
  <c r="H458" i="29" s="1"/>
  <c r="I458" i="29" s="1"/>
  <c r="E459" i="29"/>
  <c r="F459" i="29"/>
  <c r="H459" i="29" s="1"/>
  <c r="I459" i="29" s="1"/>
  <c r="E460" i="29"/>
  <c r="F460" i="29"/>
  <c r="E461" i="29"/>
  <c r="F461" i="29"/>
  <c r="H461" i="29" s="1"/>
  <c r="I461" i="29" s="1"/>
  <c r="E462" i="29"/>
  <c r="F462" i="29"/>
  <c r="H462" i="29" s="1"/>
  <c r="I462" i="29" s="1"/>
  <c r="E463" i="29"/>
  <c r="F463" i="29"/>
  <c r="H463" i="29" s="1"/>
  <c r="I463" i="29" s="1"/>
  <c r="E464" i="29"/>
  <c r="F464" i="29"/>
  <c r="H464" i="29" s="1"/>
  <c r="I464" i="29" s="1"/>
  <c r="E465" i="29"/>
  <c r="F465" i="29"/>
  <c r="H465" i="29" s="1"/>
  <c r="I465" i="29" s="1"/>
  <c r="E466" i="29"/>
  <c r="F466" i="29"/>
  <c r="H466" i="29" s="1"/>
  <c r="I466" i="29" s="1"/>
  <c r="E467" i="29"/>
  <c r="F467" i="29"/>
  <c r="G467" i="29" s="1"/>
  <c r="E468" i="29"/>
  <c r="F468" i="29"/>
  <c r="H468" i="29" s="1"/>
  <c r="I468" i="29" s="1"/>
  <c r="E469" i="29"/>
  <c r="F469" i="29"/>
  <c r="H469" i="29" s="1"/>
  <c r="I469" i="29" s="1"/>
  <c r="E470" i="29"/>
  <c r="F470" i="29"/>
  <c r="H470" i="29" s="1"/>
  <c r="I470" i="29" s="1"/>
  <c r="E471" i="29"/>
  <c r="F471" i="29"/>
  <c r="H471" i="29" s="1"/>
  <c r="I471" i="29" s="1"/>
  <c r="E472" i="29"/>
  <c r="F472" i="29"/>
  <c r="G472" i="29" s="1"/>
  <c r="E473" i="29"/>
  <c r="F473" i="29"/>
  <c r="H473" i="29" s="1"/>
  <c r="I473" i="29" s="1"/>
  <c r="E474" i="29"/>
  <c r="F474" i="29"/>
  <c r="H474" i="29" s="1"/>
  <c r="I474" i="29" s="1"/>
  <c r="E475" i="29"/>
  <c r="F475" i="29"/>
  <c r="H475" i="29" s="1"/>
  <c r="I475" i="29" s="1"/>
  <c r="E476" i="29"/>
  <c r="F476" i="29"/>
  <c r="H476" i="29" s="1"/>
  <c r="I476" i="29" s="1"/>
  <c r="E477" i="29"/>
  <c r="F477" i="29"/>
  <c r="H477" i="29" s="1"/>
  <c r="I477" i="29" s="1"/>
  <c r="E478" i="29"/>
  <c r="F478" i="29"/>
  <c r="H478" i="29" s="1"/>
  <c r="I478" i="29" s="1"/>
  <c r="E479" i="29"/>
  <c r="F479" i="29"/>
  <c r="G479" i="29" s="1"/>
  <c r="E480" i="29"/>
  <c r="F480" i="29"/>
  <c r="H480" i="29" s="1"/>
  <c r="I480" i="29" s="1"/>
  <c r="E481" i="29"/>
  <c r="F481" i="29"/>
  <c r="H481" i="29" s="1"/>
  <c r="I481" i="29" s="1"/>
  <c r="E482" i="29"/>
  <c r="F482" i="29"/>
  <c r="H482" i="29" s="1"/>
  <c r="I482" i="29" s="1"/>
  <c r="E483" i="29"/>
  <c r="F483" i="29"/>
  <c r="G483" i="29" s="1"/>
  <c r="E484" i="29"/>
  <c r="F484" i="29"/>
  <c r="G484" i="29" s="1"/>
  <c r="E485" i="29"/>
  <c r="F485" i="29"/>
  <c r="H485" i="29" s="1"/>
  <c r="I485" i="29" s="1"/>
  <c r="E486" i="29"/>
  <c r="F486" i="29"/>
  <c r="H486" i="29" s="1"/>
  <c r="I486" i="29" s="1"/>
  <c r="E487" i="29"/>
  <c r="F487" i="29"/>
  <c r="H487" i="29" s="1"/>
  <c r="I487" i="29" s="1"/>
  <c r="E488" i="29"/>
  <c r="F488" i="29"/>
  <c r="H488" i="29" s="1"/>
  <c r="I488" i="29" s="1"/>
  <c r="E489" i="29"/>
  <c r="F489" i="29"/>
  <c r="H489" i="29" s="1"/>
  <c r="I489" i="29" s="1"/>
  <c r="E490" i="29"/>
  <c r="F490" i="29"/>
  <c r="H490" i="29" s="1"/>
  <c r="I490" i="29" s="1"/>
  <c r="E491" i="29"/>
  <c r="F491" i="29"/>
  <c r="H491" i="29" s="1"/>
  <c r="I491" i="29" s="1"/>
  <c r="E492" i="29"/>
  <c r="F492" i="29"/>
  <c r="H492" i="29" s="1"/>
  <c r="I492" i="29" s="1"/>
  <c r="E493" i="29"/>
  <c r="F493" i="29"/>
  <c r="H493" i="29" s="1"/>
  <c r="I493" i="29" s="1"/>
  <c r="E494" i="29"/>
  <c r="F494" i="29"/>
  <c r="H494" i="29" s="1"/>
  <c r="I494" i="29" s="1"/>
  <c r="E495" i="29"/>
  <c r="F495" i="29"/>
  <c r="G495" i="29" s="1"/>
  <c r="E496" i="29"/>
  <c r="F496" i="29"/>
  <c r="H496" i="29" s="1"/>
  <c r="I496" i="29" s="1"/>
  <c r="E497" i="29"/>
  <c r="F497" i="29"/>
  <c r="H497" i="29" s="1"/>
  <c r="I497" i="29" s="1"/>
  <c r="E498" i="29"/>
  <c r="F498" i="29"/>
  <c r="H498" i="29" s="1"/>
  <c r="I498" i="29" s="1"/>
  <c r="E499" i="29"/>
  <c r="F499" i="29"/>
  <c r="G499" i="29" s="1"/>
  <c r="E500" i="29"/>
  <c r="F500" i="29"/>
  <c r="G500" i="29" s="1"/>
  <c r="E501" i="29"/>
  <c r="F501" i="29"/>
  <c r="E502" i="29"/>
  <c r="F502" i="29"/>
  <c r="G502" i="29" s="1"/>
  <c r="E503" i="29"/>
  <c r="F503" i="29"/>
  <c r="H503" i="29" s="1"/>
  <c r="I503" i="29" s="1"/>
  <c r="E504" i="29"/>
  <c r="F504" i="29"/>
  <c r="G504" i="29" s="1"/>
  <c r="E505" i="29"/>
  <c r="F505" i="29"/>
  <c r="H505" i="29" s="1"/>
  <c r="I505" i="29" s="1"/>
  <c r="E506" i="29"/>
  <c r="F506" i="29"/>
  <c r="H506" i="29" s="1"/>
  <c r="I506" i="29" s="1"/>
  <c r="E507" i="29"/>
  <c r="F507" i="29"/>
  <c r="H507" i="29" s="1"/>
  <c r="I507" i="29" s="1"/>
  <c r="E508" i="29"/>
  <c r="F508" i="29"/>
  <c r="H508" i="29" s="1"/>
  <c r="I508" i="29" s="1"/>
  <c r="E509" i="29"/>
  <c r="F509" i="29"/>
  <c r="H509" i="29" s="1"/>
  <c r="I509" i="29" s="1"/>
  <c r="E510" i="29"/>
  <c r="F510" i="29"/>
  <c r="H510" i="29" s="1"/>
  <c r="I510" i="29" s="1"/>
  <c r="E511" i="29"/>
  <c r="F511" i="29"/>
  <c r="H511" i="29" s="1"/>
  <c r="I511" i="29" s="1"/>
  <c r="E512" i="29"/>
  <c r="F512" i="29"/>
  <c r="H512" i="29" s="1"/>
  <c r="I512" i="29" s="1"/>
  <c r="E513" i="29"/>
  <c r="F513" i="29"/>
  <c r="H513" i="29" s="1"/>
  <c r="I513" i="29" s="1"/>
  <c r="E514" i="29"/>
  <c r="F514" i="29"/>
  <c r="E515" i="29"/>
  <c r="F515" i="29"/>
  <c r="E516" i="29"/>
  <c r="F516" i="29"/>
  <c r="G516" i="29" s="1"/>
  <c r="E517" i="29"/>
  <c r="F517" i="29"/>
  <c r="H517" i="29" s="1"/>
  <c r="I517" i="29" s="1"/>
  <c r="E518" i="29"/>
  <c r="F518" i="29"/>
  <c r="G518" i="29" s="1"/>
  <c r="E519" i="29"/>
  <c r="F519" i="29"/>
  <c r="H519" i="29" s="1"/>
  <c r="I519" i="29" s="1"/>
  <c r="E520" i="29"/>
  <c r="F520" i="29"/>
  <c r="G520" i="29" s="1"/>
  <c r="E521" i="29"/>
  <c r="F521" i="29"/>
  <c r="H521" i="29" s="1"/>
  <c r="I521" i="29" s="1"/>
  <c r="E522" i="29"/>
  <c r="F522" i="29"/>
  <c r="H522" i="29" s="1"/>
  <c r="I522" i="29" s="1"/>
  <c r="E523" i="29"/>
  <c r="F523" i="29"/>
  <c r="H523" i="29" s="1"/>
  <c r="I523" i="29" s="1"/>
  <c r="E524" i="29"/>
  <c r="F524" i="29"/>
  <c r="H524" i="29" s="1"/>
  <c r="I524" i="29" s="1"/>
  <c r="E525" i="29"/>
  <c r="F525" i="29"/>
  <c r="H525" i="29" s="1"/>
  <c r="I525" i="29" s="1"/>
  <c r="E526" i="29"/>
  <c r="F526" i="29"/>
  <c r="H526" i="29" s="1"/>
  <c r="I526" i="29" s="1"/>
  <c r="E527" i="29"/>
  <c r="F527" i="29"/>
  <c r="H527" i="29" s="1"/>
  <c r="I527" i="29" s="1"/>
  <c r="E528" i="29"/>
  <c r="F528" i="29"/>
  <c r="H528" i="29" s="1"/>
  <c r="I528" i="29" s="1"/>
  <c r="E529" i="29"/>
  <c r="F529" i="29"/>
  <c r="H529" i="29" s="1"/>
  <c r="I529" i="29" s="1"/>
  <c r="E530" i="29"/>
  <c r="F530" i="29"/>
  <c r="E531" i="29"/>
  <c r="F531" i="29"/>
  <c r="H531" i="29" s="1"/>
  <c r="I531" i="29" s="1"/>
  <c r="E532" i="29"/>
  <c r="F532" i="29"/>
  <c r="H532" i="29" s="1"/>
  <c r="I532" i="29" s="1"/>
  <c r="E533" i="29"/>
  <c r="F533" i="29"/>
  <c r="H533" i="29" s="1"/>
  <c r="I533" i="29" s="1"/>
  <c r="E534" i="29"/>
  <c r="F534" i="29"/>
  <c r="H534" i="29" s="1"/>
  <c r="I534" i="29" s="1"/>
  <c r="E535" i="29"/>
  <c r="F535" i="29"/>
  <c r="H535" i="29" s="1"/>
  <c r="I535" i="29" s="1"/>
  <c r="E536" i="29"/>
  <c r="F536" i="29"/>
  <c r="H536" i="29" s="1"/>
  <c r="I536" i="29" s="1"/>
  <c r="E537" i="29"/>
  <c r="F537" i="29"/>
  <c r="H537" i="29" s="1"/>
  <c r="I537" i="29" s="1"/>
  <c r="E538" i="29"/>
  <c r="F538" i="29"/>
  <c r="H538" i="29" s="1"/>
  <c r="I538" i="29" s="1"/>
  <c r="E539" i="29"/>
  <c r="F539" i="29"/>
  <c r="G539" i="29" s="1"/>
  <c r="E540" i="29"/>
  <c r="F540" i="29"/>
  <c r="H540" i="29" s="1"/>
  <c r="I540" i="29" s="1"/>
  <c r="E541" i="29"/>
  <c r="F541" i="29"/>
  <c r="H541" i="29" s="1"/>
  <c r="I541" i="29" s="1"/>
  <c r="E542" i="29"/>
  <c r="F542" i="29"/>
  <c r="H542" i="29" s="1"/>
  <c r="I542" i="29" s="1"/>
  <c r="E543" i="29"/>
  <c r="F543" i="29"/>
  <c r="H543" i="29" s="1"/>
  <c r="I543" i="29" s="1"/>
  <c r="E544" i="29"/>
  <c r="F544" i="29"/>
  <c r="H544" i="29" s="1"/>
  <c r="I544" i="29" s="1"/>
  <c r="E545" i="29"/>
  <c r="F545" i="29"/>
  <c r="H545" i="29" s="1"/>
  <c r="I545" i="29" s="1"/>
  <c r="E546" i="29"/>
  <c r="F546" i="29"/>
  <c r="H546" i="29" s="1"/>
  <c r="I546" i="29" s="1"/>
  <c r="E547" i="29"/>
  <c r="F547" i="29"/>
  <c r="H547" i="29" s="1"/>
  <c r="I547" i="29" s="1"/>
  <c r="E548" i="29"/>
  <c r="F548" i="29"/>
  <c r="G548" i="29" s="1"/>
  <c r="E549" i="29"/>
  <c r="F549" i="29"/>
  <c r="H549" i="29" s="1"/>
  <c r="I549" i="29" s="1"/>
  <c r="E550" i="29"/>
  <c r="F550" i="29"/>
  <c r="H550" i="29" s="1"/>
  <c r="I550" i="29" s="1"/>
  <c r="E551" i="29"/>
  <c r="F551" i="29"/>
  <c r="H551" i="29" s="1"/>
  <c r="I551" i="29" s="1"/>
  <c r="E552" i="29"/>
  <c r="F552" i="29"/>
  <c r="E553" i="29"/>
  <c r="F553" i="29"/>
  <c r="H553" i="29" s="1"/>
  <c r="I553" i="29" s="1"/>
  <c r="E554" i="29"/>
  <c r="F554" i="29"/>
  <c r="H554" i="29" s="1"/>
  <c r="I554" i="29" s="1"/>
  <c r="E555" i="29"/>
  <c r="F555" i="29"/>
  <c r="H555" i="29" s="1"/>
  <c r="I555" i="29" s="1"/>
  <c r="E556" i="29"/>
  <c r="F556" i="29"/>
  <c r="H556" i="29" s="1"/>
  <c r="I556" i="29" s="1"/>
  <c r="E557" i="29"/>
  <c r="F557" i="29"/>
  <c r="H557" i="29" s="1"/>
  <c r="I557" i="29" s="1"/>
  <c r="E558" i="29"/>
  <c r="F558" i="29"/>
  <c r="H558" i="29" s="1"/>
  <c r="I558" i="29" s="1"/>
  <c r="E559" i="29"/>
  <c r="F559" i="29"/>
  <c r="H559" i="29" s="1"/>
  <c r="I559" i="29" s="1"/>
  <c r="E560" i="29"/>
  <c r="F560" i="29"/>
  <c r="H560" i="29" s="1"/>
  <c r="I560" i="29" s="1"/>
  <c r="E561" i="29"/>
  <c r="F561" i="29"/>
  <c r="H561" i="29" s="1"/>
  <c r="I561" i="29" s="1"/>
  <c r="E562" i="29"/>
  <c r="F562" i="29"/>
  <c r="H562" i="29" s="1"/>
  <c r="I562" i="29" s="1"/>
  <c r="E563" i="29"/>
  <c r="F563" i="29"/>
  <c r="H563" i="29" s="1"/>
  <c r="I563" i="29" s="1"/>
  <c r="E564" i="29"/>
  <c r="F564" i="29"/>
  <c r="H564" i="29" s="1"/>
  <c r="I564" i="29" s="1"/>
  <c r="E565" i="29"/>
  <c r="F565" i="29"/>
  <c r="H565" i="29" s="1"/>
  <c r="I565" i="29" s="1"/>
  <c r="E566" i="29"/>
  <c r="F566" i="29"/>
  <c r="H566" i="29" s="1"/>
  <c r="I566" i="29" s="1"/>
  <c r="E567" i="29"/>
  <c r="F567" i="29"/>
  <c r="H567" i="29" s="1"/>
  <c r="I567" i="29" s="1"/>
  <c r="E568" i="29"/>
  <c r="F568" i="29"/>
  <c r="H568" i="29" s="1"/>
  <c r="I568" i="29" s="1"/>
  <c r="E569" i="29"/>
  <c r="F569" i="29"/>
  <c r="H569" i="29" s="1"/>
  <c r="I569" i="29" s="1"/>
  <c r="E570" i="29"/>
  <c r="F570" i="29"/>
  <c r="H570" i="29" s="1"/>
  <c r="I570" i="29" s="1"/>
  <c r="E571" i="29"/>
  <c r="F571" i="29"/>
  <c r="H571" i="29" s="1"/>
  <c r="I571" i="29" s="1"/>
  <c r="E572" i="29"/>
  <c r="F572" i="29"/>
  <c r="H572" i="29" s="1"/>
  <c r="I572" i="29" s="1"/>
  <c r="E573" i="29"/>
  <c r="F573" i="29"/>
  <c r="H573" i="29" s="1"/>
  <c r="I573" i="29" s="1"/>
  <c r="E574" i="29"/>
  <c r="F574" i="29"/>
  <c r="G574" i="29" s="1"/>
  <c r="E575" i="29"/>
  <c r="F575" i="29"/>
  <c r="H575" i="29" s="1"/>
  <c r="I575" i="29" s="1"/>
  <c r="E576" i="29"/>
  <c r="F576" i="29"/>
  <c r="H576" i="29" s="1"/>
  <c r="I576" i="29" s="1"/>
  <c r="E577" i="29"/>
  <c r="F577" i="29"/>
  <c r="H577" i="29" s="1"/>
  <c r="I577" i="29" s="1"/>
  <c r="E578" i="29"/>
  <c r="F578" i="29"/>
  <c r="H578" i="29" s="1"/>
  <c r="I578" i="29" s="1"/>
  <c r="E579" i="29"/>
  <c r="F579" i="29"/>
  <c r="G579" i="29" s="1"/>
  <c r="E580" i="29"/>
  <c r="F580" i="29"/>
  <c r="G580" i="29" s="1"/>
  <c r="E581" i="29"/>
  <c r="F581" i="29"/>
  <c r="G581" i="29" s="1"/>
  <c r="E582" i="29"/>
  <c r="F582" i="29"/>
  <c r="G582" i="29" s="1"/>
  <c r="E583" i="29"/>
  <c r="F583" i="29"/>
  <c r="H583" i="29" s="1"/>
  <c r="I583" i="29" s="1"/>
  <c r="E584" i="29"/>
  <c r="F584" i="29"/>
  <c r="H584" i="29" s="1"/>
  <c r="I584" i="29" s="1"/>
  <c r="E585" i="29"/>
  <c r="F585" i="29"/>
  <c r="H585" i="29" s="1"/>
  <c r="I585" i="29" s="1"/>
  <c r="E586" i="29"/>
  <c r="F586" i="29"/>
  <c r="H586" i="29" s="1"/>
  <c r="I586" i="29" s="1"/>
  <c r="E587" i="29"/>
  <c r="F587" i="29"/>
  <c r="G587" i="29" s="1"/>
  <c r="E588" i="29"/>
  <c r="F588" i="29"/>
  <c r="H588" i="29" s="1"/>
  <c r="I588" i="29" s="1"/>
  <c r="E589" i="29"/>
  <c r="F589" i="29"/>
  <c r="G589" i="29" s="1"/>
  <c r="E590" i="29"/>
  <c r="F590" i="29"/>
  <c r="G590" i="29" s="1"/>
  <c r="E591" i="29"/>
  <c r="F591" i="29"/>
  <c r="H591" i="29" s="1"/>
  <c r="I591" i="29" s="1"/>
  <c r="E592" i="29"/>
  <c r="F592" i="29"/>
  <c r="H592" i="29" s="1"/>
  <c r="I592" i="29" s="1"/>
  <c r="E593" i="29"/>
  <c r="F593" i="29"/>
  <c r="E594" i="29"/>
  <c r="F594" i="29"/>
  <c r="G594" i="29" s="1"/>
  <c r="E595" i="29"/>
  <c r="F595" i="29"/>
  <c r="G595" i="29" s="1"/>
  <c r="E596" i="29"/>
  <c r="F596" i="29"/>
  <c r="H596" i="29" s="1"/>
  <c r="I596" i="29" s="1"/>
  <c r="E597" i="29"/>
  <c r="F597" i="29"/>
  <c r="H597" i="29" s="1"/>
  <c r="I597" i="29" s="1"/>
  <c r="E598" i="29"/>
  <c r="F598" i="29"/>
  <c r="H598" i="29" s="1"/>
  <c r="I598" i="29" s="1"/>
  <c r="E599" i="29"/>
  <c r="F599" i="29"/>
  <c r="G599" i="29" s="1"/>
  <c r="E600" i="29"/>
  <c r="F600" i="29"/>
  <c r="H600" i="29" s="1"/>
  <c r="I600" i="29" s="1"/>
  <c r="E601" i="29"/>
  <c r="F601" i="29"/>
  <c r="H601" i="29" s="1"/>
  <c r="I601" i="29" s="1"/>
  <c r="E602" i="29"/>
  <c r="F602" i="29"/>
  <c r="H602" i="29" s="1"/>
  <c r="I602" i="29" s="1"/>
  <c r="E603" i="29"/>
  <c r="F603" i="29"/>
  <c r="H603" i="29" s="1"/>
  <c r="I603" i="29" s="1"/>
  <c r="E604" i="29"/>
  <c r="F604" i="29"/>
  <c r="E605" i="29"/>
  <c r="F605" i="29"/>
  <c r="G605" i="29" s="1"/>
  <c r="E606" i="29"/>
  <c r="F606" i="29"/>
  <c r="H606" i="29" s="1"/>
  <c r="I606" i="29" s="1"/>
  <c r="E607" i="29"/>
  <c r="F607" i="29"/>
  <c r="H607" i="29" s="1"/>
  <c r="I607" i="29" s="1"/>
  <c r="E608" i="29"/>
  <c r="F608" i="29"/>
  <c r="H608" i="29" s="1"/>
  <c r="I608" i="29" s="1"/>
  <c r="E609" i="29"/>
  <c r="F609" i="29"/>
  <c r="H609" i="29" s="1"/>
  <c r="I609" i="29" s="1"/>
  <c r="E610" i="29"/>
  <c r="F610" i="29"/>
  <c r="G610" i="29" s="1"/>
  <c r="E611" i="29"/>
  <c r="F611" i="29"/>
  <c r="H611" i="29" s="1"/>
  <c r="I611" i="29" s="1"/>
  <c r="E612" i="29"/>
  <c r="F612" i="29"/>
  <c r="H612" i="29" s="1"/>
  <c r="I612" i="29" s="1"/>
  <c r="E613" i="29"/>
  <c r="F613" i="29"/>
  <c r="H613" i="29" s="1"/>
  <c r="I613" i="29" s="1"/>
  <c r="E614" i="29"/>
  <c r="F614" i="29"/>
  <c r="G614" i="29" s="1"/>
  <c r="E615" i="29"/>
  <c r="F615" i="29"/>
  <c r="H615" i="29" s="1"/>
  <c r="I615" i="29" s="1"/>
  <c r="E616" i="29"/>
  <c r="F616" i="29"/>
  <c r="H616" i="29" s="1"/>
  <c r="I616" i="29" s="1"/>
  <c r="E617" i="29"/>
  <c r="F617" i="29"/>
  <c r="H617" i="29" s="1"/>
  <c r="I617" i="29" s="1"/>
  <c r="E618" i="29"/>
  <c r="F618" i="29"/>
  <c r="H618" i="29" s="1"/>
  <c r="I618" i="29" s="1"/>
  <c r="E619" i="29"/>
  <c r="F619" i="29"/>
  <c r="G619" i="29" s="1"/>
  <c r="E620" i="29"/>
  <c r="F620" i="29"/>
  <c r="H620" i="29" s="1"/>
  <c r="I620" i="29" s="1"/>
  <c r="E621" i="29"/>
  <c r="F621" i="29"/>
  <c r="H621" i="29" s="1"/>
  <c r="I621" i="29" s="1"/>
  <c r="E622" i="29"/>
  <c r="F622" i="29"/>
  <c r="H622" i="29" s="1"/>
  <c r="I622" i="29" s="1"/>
  <c r="E623" i="29"/>
  <c r="F623" i="29"/>
  <c r="H623" i="29" s="1"/>
  <c r="I623" i="29" s="1"/>
  <c r="E624" i="29"/>
  <c r="F624" i="29"/>
  <c r="G624" i="29" s="1"/>
  <c r="E625" i="29"/>
  <c r="F625" i="29"/>
  <c r="G625" i="29" s="1"/>
  <c r="E626" i="29"/>
  <c r="F626" i="29"/>
  <c r="H626" i="29" s="1"/>
  <c r="I626" i="29" s="1"/>
  <c r="E627" i="29"/>
  <c r="F627" i="29"/>
  <c r="G627" i="29" s="1"/>
  <c r="E628" i="29"/>
  <c r="F628" i="29"/>
  <c r="H628" i="29" s="1"/>
  <c r="I628" i="29" s="1"/>
  <c r="E629" i="29"/>
  <c r="F629" i="29"/>
  <c r="G629" i="29" s="1"/>
  <c r="E630" i="29"/>
  <c r="F630" i="29"/>
  <c r="G630" i="29" s="1"/>
  <c r="E631" i="29"/>
  <c r="F631" i="29"/>
  <c r="H631" i="29" s="1"/>
  <c r="I631" i="29" s="1"/>
  <c r="E632" i="29"/>
  <c r="F632" i="29"/>
  <c r="H632" i="29" s="1"/>
  <c r="I632" i="29" s="1"/>
  <c r="E633" i="29"/>
  <c r="F633" i="29"/>
  <c r="H633" i="29" s="1"/>
  <c r="I633" i="29" s="1"/>
  <c r="E634" i="29"/>
  <c r="F634" i="29"/>
  <c r="E635" i="29"/>
  <c r="F635" i="29"/>
  <c r="H635" i="29" s="1"/>
  <c r="I635" i="29" s="1"/>
  <c r="E636" i="29"/>
  <c r="F636" i="29"/>
  <c r="H636" i="29" s="1"/>
  <c r="I636" i="29" s="1"/>
  <c r="E637" i="29"/>
  <c r="F637" i="29"/>
  <c r="H637" i="29" s="1"/>
  <c r="I637" i="29" s="1"/>
  <c r="E638" i="29"/>
  <c r="F638" i="29"/>
  <c r="H638" i="29" s="1"/>
  <c r="I638" i="29" s="1"/>
  <c r="E639" i="29"/>
  <c r="F639" i="29"/>
  <c r="G639" i="29" s="1"/>
  <c r="E640" i="29"/>
  <c r="F640" i="29"/>
  <c r="H640" i="29" s="1"/>
  <c r="I640" i="29" s="1"/>
  <c r="E641" i="29"/>
  <c r="F641" i="29"/>
  <c r="H641" i="29" s="1"/>
  <c r="I641" i="29" s="1"/>
  <c r="E642" i="29"/>
  <c r="F642" i="29"/>
  <c r="H642" i="29" s="1"/>
  <c r="I642" i="29" s="1"/>
  <c r="E643" i="29"/>
  <c r="F643" i="29"/>
  <c r="G643" i="29" s="1"/>
  <c r="E644" i="29"/>
  <c r="F644" i="29"/>
  <c r="E645" i="29"/>
  <c r="F645" i="29"/>
  <c r="H645" i="29" s="1"/>
  <c r="I645" i="29" s="1"/>
  <c r="E646" i="29"/>
  <c r="F646" i="29"/>
  <c r="H646" i="29" s="1"/>
  <c r="I646" i="29" s="1"/>
  <c r="E647" i="29"/>
  <c r="F647" i="29"/>
  <c r="G647" i="29" s="1"/>
  <c r="E648" i="29"/>
  <c r="F648" i="29"/>
  <c r="G648" i="29" s="1"/>
  <c r="E649" i="29"/>
  <c r="F649" i="29"/>
  <c r="H649" i="29" s="1"/>
  <c r="I649" i="29" s="1"/>
  <c r="E650" i="29"/>
  <c r="F650" i="29"/>
  <c r="H650" i="29" s="1"/>
  <c r="I650" i="29" s="1"/>
  <c r="E651" i="29"/>
  <c r="F651" i="29"/>
  <c r="H651" i="29" s="1"/>
  <c r="I651" i="29" s="1"/>
  <c r="E652" i="29"/>
  <c r="F652" i="29"/>
  <c r="H652" i="29" s="1"/>
  <c r="I652" i="29" s="1"/>
  <c r="E653" i="29"/>
  <c r="F653" i="29"/>
  <c r="H653" i="29" s="1"/>
  <c r="I653" i="29" s="1"/>
  <c r="E654" i="29"/>
  <c r="F654" i="29"/>
  <c r="H654" i="29" s="1"/>
  <c r="I654" i="29" s="1"/>
  <c r="E655" i="29"/>
  <c r="F655" i="29"/>
  <c r="H655" i="29" s="1"/>
  <c r="I655" i="29" s="1"/>
  <c r="E656" i="29"/>
  <c r="F656" i="29"/>
  <c r="H656" i="29" s="1"/>
  <c r="I656" i="29" s="1"/>
  <c r="E657" i="29"/>
  <c r="F657" i="29"/>
  <c r="E658" i="29"/>
  <c r="F658" i="29"/>
  <c r="G658" i="29" s="1"/>
  <c r="E659" i="29"/>
  <c r="F659" i="29"/>
  <c r="H659" i="29" s="1"/>
  <c r="I659" i="29" s="1"/>
  <c r="E660" i="29"/>
  <c r="F660" i="29"/>
  <c r="G660" i="29" s="1"/>
  <c r="E661" i="29"/>
  <c r="F661" i="29"/>
  <c r="G661" i="29" s="1"/>
  <c r="E662" i="29"/>
  <c r="F662" i="29"/>
  <c r="H662" i="29" s="1"/>
  <c r="I662" i="29" s="1"/>
  <c r="E663" i="29"/>
  <c r="F663" i="29"/>
  <c r="H663" i="29" s="1"/>
  <c r="I663" i="29" s="1"/>
  <c r="E664" i="29"/>
  <c r="F664" i="29"/>
  <c r="H664" i="29" s="1"/>
  <c r="I664" i="29" s="1"/>
  <c r="E665" i="29"/>
  <c r="F665" i="29"/>
  <c r="H665" i="29" s="1"/>
  <c r="I665" i="29" s="1"/>
  <c r="E666" i="29"/>
  <c r="F666" i="29"/>
  <c r="H666" i="29" s="1"/>
  <c r="I666" i="29" s="1"/>
  <c r="E667" i="29"/>
  <c r="F667" i="29"/>
  <c r="H667" i="29" s="1"/>
  <c r="I667" i="29" s="1"/>
  <c r="E668" i="29"/>
  <c r="F668" i="29"/>
  <c r="H668" i="29" s="1"/>
  <c r="I668" i="29" s="1"/>
  <c r="E669" i="29"/>
  <c r="F669" i="29"/>
  <c r="G669" i="29" s="1"/>
  <c r="E670" i="29"/>
  <c r="F670" i="29"/>
  <c r="H670" i="29" s="1"/>
  <c r="I670" i="29" s="1"/>
  <c r="E671" i="29"/>
  <c r="F671" i="29"/>
  <c r="H671" i="29" s="1"/>
  <c r="I671" i="29" s="1"/>
  <c r="E672" i="29"/>
  <c r="F672" i="29"/>
  <c r="H672" i="29" s="1"/>
  <c r="I672" i="29" s="1"/>
  <c r="E673" i="29"/>
  <c r="F673" i="29"/>
  <c r="E674" i="29"/>
  <c r="F674" i="29"/>
  <c r="G674" i="29" s="1"/>
  <c r="E675" i="29"/>
  <c r="F675" i="29"/>
  <c r="H675" i="29" s="1"/>
  <c r="I675" i="29" s="1"/>
  <c r="E676" i="29"/>
  <c r="F676" i="29"/>
  <c r="G676" i="29" s="1"/>
  <c r="E677" i="29"/>
  <c r="F677" i="29"/>
  <c r="G677" i="29" s="1"/>
  <c r="E678" i="29"/>
  <c r="F678" i="29"/>
  <c r="H678" i="29" s="1"/>
  <c r="I678" i="29" s="1"/>
  <c r="E679" i="29"/>
  <c r="F679" i="29"/>
  <c r="H679" i="29" s="1"/>
  <c r="I679" i="29" s="1"/>
  <c r="E680" i="29"/>
  <c r="F680" i="29"/>
  <c r="H680" i="29" s="1"/>
  <c r="I680" i="29" s="1"/>
  <c r="E681" i="29"/>
  <c r="F681" i="29"/>
  <c r="H681" i="29" s="1"/>
  <c r="I681" i="29" s="1"/>
  <c r="E682" i="29"/>
  <c r="F682" i="29"/>
  <c r="H682" i="29" s="1"/>
  <c r="I682" i="29" s="1"/>
  <c r="E683" i="29"/>
  <c r="F683" i="29"/>
  <c r="H683" i="29" s="1"/>
  <c r="I683" i="29" s="1"/>
  <c r="E684" i="29"/>
  <c r="F684" i="29"/>
  <c r="H684" i="29" s="1"/>
  <c r="I684" i="29" s="1"/>
  <c r="E685" i="29"/>
  <c r="F685" i="29"/>
  <c r="G685" i="29" s="1"/>
  <c r="E686" i="29"/>
  <c r="F686" i="29"/>
  <c r="H686" i="29" s="1"/>
  <c r="I686" i="29" s="1"/>
  <c r="E687" i="29"/>
  <c r="F687" i="29"/>
  <c r="H687" i="29" s="1"/>
  <c r="I687" i="29" s="1"/>
  <c r="E688" i="29"/>
  <c r="F688" i="29"/>
  <c r="H688" i="29" s="1"/>
  <c r="I688" i="29" s="1"/>
  <c r="E689" i="29"/>
  <c r="F689" i="29"/>
  <c r="G689" i="29" s="1"/>
  <c r="E690" i="29"/>
  <c r="F690" i="29"/>
  <c r="G690" i="29" s="1"/>
  <c r="E691" i="29"/>
  <c r="F691" i="29"/>
  <c r="H691" i="29" s="1"/>
  <c r="I691" i="29" s="1"/>
  <c r="E692" i="29"/>
  <c r="F692" i="29"/>
  <c r="G692" i="29" s="1"/>
  <c r="E693" i="29"/>
  <c r="F693" i="29"/>
  <c r="G693" i="29" s="1"/>
  <c r="E694" i="29"/>
  <c r="F694" i="29"/>
  <c r="H694" i="29" s="1"/>
  <c r="I694" i="29" s="1"/>
  <c r="E695" i="29"/>
  <c r="F695" i="29"/>
  <c r="H695" i="29" s="1"/>
  <c r="I695" i="29" s="1"/>
  <c r="E696" i="29"/>
  <c r="F696" i="29"/>
  <c r="H696" i="29" s="1"/>
  <c r="I696" i="29" s="1"/>
  <c r="E697" i="29"/>
  <c r="F697" i="29"/>
  <c r="H697" i="29" s="1"/>
  <c r="I697" i="29" s="1"/>
  <c r="E698" i="29"/>
  <c r="F698" i="29"/>
  <c r="H698" i="29" s="1"/>
  <c r="I698" i="29" s="1"/>
  <c r="E699" i="29"/>
  <c r="F699" i="29"/>
  <c r="H699" i="29" s="1"/>
  <c r="I699" i="29" s="1"/>
  <c r="E700" i="29"/>
  <c r="F700" i="29"/>
  <c r="H700" i="29" s="1"/>
  <c r="I700" i="29" s="1"/>
  <c r="E701" i="29"/>
  <c r="F701" i="29"/>
  <c r="G701" i="29" s="1"/>
  <c r="E702" i="29"/>
  <c r="F702" i="29"/>
  <c r="H702" i="29" s="1"/>
  <c r="I702" i="29" s="1"/>
  <c r="E703" i="29"/>
  <c r="F703" i="29"/>
  <c r="H703" i="29" s="1"/>
  <c r="I703" i="29" s="1"/>
  <c r="E704" i="29"/>
  <c r="F704" i="29"/>
  <c r="H704" i="29" s="1"/>
  <c r="I704" i="29" s="1"/>
  <c r="E705" i="29"/>
  <c r="F705" i="29"/>
  <c r="G705" i="29" s="1"/>
  <c r="E706" i="29"/>
  <c r="F706" i="29"/>
  <c r="G706" i="29" s="1"/>
  <c r="E707" i="29"/>
  <c r="F707" i="29"/>
  <c r="H707" i="29" s="1"/>
  <c r="I707" i="29" s="1"/>
  <c r="E708" i="29"/>
  <c r="F708" i="29"/>
  <c r="G708" i="29" s="1"/>
  <c r="E709" i="29"/>
  <c r="F709" i="29"/>
  <c r="G709" i="29" s="1"/>
  <c r="E710" i="29"/>
  <c r="F710" i="29"/>
  <c r="H710" i="29" s="1"/>
  <c r="I710" i="29" s="1"/>
  <c r="E711" i="29"/>
  <c r="F711" i="29"/>
  <c r="H711" i="29" s="1"/>
  <c r="I711" i="29" s="1"/>
  <c r="E712" i="29"/>
  <c r="F712" i="29"/>
  <c r="H712" i="29" s="1"/>
  <c r="I712" i="29" s="1"/>
  <c r="E713" i="29"/>
  <c r="F713" i="29"/>
  <c r="H713" i="29" s="1"/>
  <c r="I713" i="29" s="1"/>
  <c r="E714" i="29"/>
  <c r="F714" i="29"/>
  <c r="H714" i="29" s="1"/>
  <c r="I714" i="29" s="1"/>
  <c r="E715" i="29"/>
  <c r="F715" i="29"/>
  <c r="H715" i="29" s="1"/>
  <c r="I715" i="29" s="1"/>
  <c r="E716" i="29"/>
  <c r="F716" i="29"/>
  <c r="H716" i="29" s="1"/>
  <c r="I716" i="29" s="1"/>
  <c r="E717" i="29"/>
  <c r="F717" i="29"/>
  <c r="G717" i="29" s="1"/>
  <c r="E718" i="29"/>
  <c r="F718" i="29"/>
  <c r="H718" i="29" s="1"/>
  <c r="I718" i="29" s="1"/>
  <c r="E719" i="29"/>
  <c r="F719" i="29"/>
  <c r="H719" i="29" s="1"/>
  <c r="I719" i="29" s="1"/>
  <c r="E720" i="29"/>
  <c r="F720" i="29"/>
  <c r="H720" i="29" s="1"/>
  <c r="I720" i="29" s="1"/>
  <c r="E721" i="29"/>
  <c r="F721" i="29"/>
  <c r="G721" i="29" s="1"/>
  <c r="E722" i="29"/>
  <c r="F722" i="29"/>
  <c r="G722" i="29" s="1"/>
  <c r="E723" i="29"/>
  <c r="F723" i="29"/>
  <c r="H723" i="29" s="1"/>
  <c r="I723" i="29" s="1"/>
  <c r="E724" i="29"/>
  <c r="F724" i="29"/>
  <c r="G724" i="29" s="1"/>
  <c r="E725" i="29"/>
  <c r="F725" i="29"/>
  <c r="G725" i="29" s="1"/>
  <c r="E726" i="29"/>
  <c r="F726" i="29"/>
  <c r="H726" i="29" s="1"/>
  <c r="I726" i="29" s="1"/>
  <c r="E727" i="29"/>
  <c r="F727" i="29"/>
  <c r="H727" i="29" s="1"/>
  <c r="I727" i="29" s="1"/>
  <c r="E728" i="29"/>
  <c r="F728" i="29"/>
  <c r="H728" i="29" s="1"/>
  <c r="I728" i="29" s="1"/>
  <c r="E729" i="29"/>
  <c r="F729" i="29"/>
  <c r="G729" i="29" s="1"/>
  <c r="E730" i="29"/>
  <c r="F730" i="29"/>
  <c r="H730" i="29" s="1"/>
  <c r="I730" i="29" s="1"/>
  <c r="E731" i="29"/>
  <c r="F731" i="29"/>
  <c r="H731" i="29" s="1"/>
  <c r="I731" i="29" s="1"/>
  <c r="E732" i="29"/>
  <c r="F732" i="29"/>
  <c r="H732" i="29" s="1"/>
  <c r="I732" i="29" s="1"/>
  <c r="E733" i="29"/>
  <c r="F733" i="29"/>
  <c r="H733" i="29" s="1"/>
  <c r="I733" i="29" s="1"/>
  <c r="E734" i="29"/>
  <c r="F734" i="29"/>
  <c r="H734" i="29" s="1"/>
  <c r="I734" i="29" s="1"/>
  <c r="E735" i="29"/>
  <c r="F735" i="29"/>
  <c r="H735" i="29" s="1"/>
  <c r="I735" i="29" s="1"/>
  <c r="E736" i="29"/>
  <c r="F736" i="29"/>
  <c r="H736" i="29" s="1"/>
  <c r="I736" i="29" s="1"/>
  <c r="E737" i="29"/>
  <c r="F737" i="29"/>
  <c r="G737" i="29" s="1"/>
  <c r="E738" i="29"/>
  <c r="F738" i="29"/>
  <c r="G738" i="29" s="1"/>
  <c r="E739" i="29"/>
  <c r="F739" i="29"/>
  <c r="H739" i="29" s="1"/>
  <c r="I739" i="29" s="1"/>
  <c r="E740" i="29"/>
  <c r="F740" i="29"/>
  <c r="G740" i="29" s="1"/>
  <c r="E741" i="29"/>
  <c r="F741" i="29"/>
  <c r="G741" i="29" s="1"/>
  <c r="E742" i="29"/>
  <c r="F742" i="29"/>
  <c r="H742" i="29" s="1"/>
  <c r="I742" i="29" s="1"/>
  <c r="E743" i="29"/>
  <c r="F743" i="29"/>
  <c r="H743" i="29" s="1"/>
  <c r="I743" i="29" s="1"/>
  <c r="E744" i="29"/>
  <c r="F744" i="29"/>
  <c r="H744" i="29" s="1"/>
  <c r="I744" i="29" s="1"/>
  <c r="E745" i="29"/>
  <c r="F745" i="29"/>
  <c r="H745" i="29" s="1"/>
  <c r="I745" i="29" s="1"/>
  <c r="E746" i="29"/>
  <c r="F746" i="29"/>
  <c r="G746" i="29" s="1"/>
  <c r="E747" i="29"/>
  <c r="F747" i="29"/>
  <c r="H747" i="29" s="1"/>
  <c r="I747" i="29" s="1"/>
  <c r="E748" i="29"/>
  <c r="F748" i="29"/>
  <c r="H748" i="29" s="1"/>
  <c r="I748" i="29" s="1"/>
  <c r="E749" i="29"/>
  <c r="F749" i="29"/>
  <c r="G749" i="29" s="1"/>
  <c r="E750" i="29"/>
  <c r="F750" i="29"/>
  <c r="H750" i="29" s="1"/>
  <c r="I750" i="29" s="1"/>
  <c r="E751" i="29"/>
  <c r="F751" i="29"/>
  <c r="H751" i="29" s="1"/>
  <c r="I751" i="29" s="1"/>
  <c r="E752" i="29"/>
  <c r="F752" i="29"/>
  <c r="H752" i="29" s="1"/>
  <c r="I752" i="29" s="1"/>
  <c r="E753" i="29"/>
  <c r="F753" i="29"/>
  <c r="G753" i="29" s="1"/>
  <c r="E754" i="29"/>
  <c r="F754" i="29"/>
  <c r="G754" i="29" s="1"/>
  <c r="E755" i="29"/>
  <c r="F755" i="29"/>
  <c r="H755" i="29" s="1"/>
  <c r="I755" i="29" s="1"/>
  <c r="E756" i="29"/>
  <c r="F756" i="29"/>
  <c r="H756" i="29" s="1"/>
  <c r="I756" i="29" s="1"/>
  <c r="E757" i="29"/>
  <c r="F757" i="29"/>
  <c r="G757" i="29" s="1"/>
  <c r="E758" i="29"/>
  <c r="F758" i="29"/>
  <c r="H758" i="29" s="1"/>
  <c r="I758" i="29" s="1"/>
  <c r="E759" i="29"/>
  <c r="F759" i="29"/>
  <c r="H759" i="29" s="1"/>
  <c r="I759" i="29" s="1"/>
  <c r="E760" i="29"/>
  <c r="F760" i="29"/>
  <c r="H760" i="29" s="1"/>
  <c r="I760" i="29" s="1"/>
  <c r="E761" i="29"/>
  <c r="F761" i="29"/>
  <c r="H761" i="29" s="1"/>
  <c r="I761" i="29" s="1"/>
  <c r="E762" i="29"/>
  <c r="F762" i="29"/>
  <c r="H762" i="29" s="1"/>
  <c r="I762" i="29" s="1"/>
  <c r="E763" i="29"/>
  <c r="F763" i="29"/>
  <c r="H763" i="29" s="1"/>
  <c r="I763" i="29" s="1"/>
  <c r="E764" i="29"/>
  <c r="F764" i="29"/>
  <c r="H764" i="29" s="1"/>
  <c r="I764" i="29" s="1"/>
  <c r="E765" i="29"/>
  <c r="F765" i="29"/>
  <c r="G765" i="29" s="1"/>
  <c r="E766" i="29"/>
  <c r="F766" i="29"/>
  <c r="H766" i="29" s="1"/>
  <c r="I766" i="29" s="1"/>
  <c r="E767" i="29"/>
  <c r="F767" i="29"/>
  <c r="H767" i="29" s="1"/>
  <c r="I767" i="29" s="1"/>
  <c r="E768" i="29"/>
  <c r="F768" i="29"/>
  <c r="H768" i="29" s="1"/>
  <c r="I768" i="29" s="1"/>
  <c r="E769" i="29"/>
  <c r="F769" i="29"/>
  <c r="G769" i="29" s="1"/>
  <c r="E770" i="29"/>
  <c r="F770" i="29"/>
  <c r="G770" i="29" s="1"/>
  <c r="E771" i="29"/>
  <c r="F771" i="29"/>
  <c r="H771" i="29" s="1"/>
  <c r="I771" i="29" s="1"/>
  <c r="E772" i="29"/>
  <c r="F772" i="29"/>
  <c r="G772" i="29" s="1"/>
  <c r="E773" i="29"/>
  <c r="F773" i="29"/>
  <c r="G773" i="29" s="1"/>
  <c r="E774" i="29"/>
  <c r="F774" i="29"/>
  <c r="H774" i="29" s="1"/>
  <c r="I774" i="29" s="1"/>
  <c r="E775" i="29"/>
  <c r="F775" i="29"/>
  <c r="H775" i="29" s="1"/>
  <c r="I775" i="29" s="1"/>
  <c r="E776" i="29"/>
  <c r="F776" i="29"/>
  <c r="H776" i="29" s="1"/>
  <c r="I776" i="29" s="1"/>
  <c r="E777" i="29"/>
  <c r="F777" i="29"/>
  <c r="H777" i="29" s="1"/>
  <c r="I777" i="29" s="1"/>
  <c r="E778" i="29"/>
  <c r="F778" i="29"/>
  <c r="H778" i="29" s="1"/>
  <c r="I778" i="29" s="1"/>
  <c r="E779" i="29"/>
  <c r="F779" i="29"/>
  <c r="H779" i="29" s="1"/>
  <c r="I779" i="29" s="1"/>
  <c r="E780" i="29"/>
  <c r="F780" i="29"/>
  <c r="H780" i="29" s="1"/>
  <c r="I780" i="29" s="1"/>
  <c r="E781" i="29"/>
  <c r="F781" i="29"/>
  <c r="G781" i="29" s="1"/>
  <c r="E782" i="29"/>
  <c r="F782" i="29"/>
  <c r="H782" i="29" s="1"/>
  <c r="I782" i="29" s="1"/>
  <c r="E783" i="29"/>
  <c r="F783" i="29"/>
  <c r="H783" i="29" s="1"/>
  <c r="I783" i="29" s="1"/>
  <c r="E784" i="29"/>
  <c r="F784" i="29"/>
  <c r="H784" i="29" s="1"/>
  <c r="I784" i="29" s="1"/>
  <c r="E785" i="29"/>
  <c r="F785" i="29"/>
  <c r="G785" i="29" s="1"/>
  <c r="E786" i="29"/>
  <c r="F786" i="29"/>
  <c r="G786" i="29" s="1"/>
  <c r="E787" i="29"/>
  <c r="F787" i="29"/>
  <c r="H787" i="29" s="1"/>
  <c r="I787" i="29" s="1"/>
  <c r="E788" i="29"/>
  <c r="F788" i="29"/>
  <c r="G788" i="29" s="1"/>
  <c r="E789" i="29"/>
  <c r="F789" i="29"/>
  <c r="G789" i="29" s="1"/>
  <c r="E790" i="29"/>
  <c r="F790" i="29"/>
  <c r="H790" i="29" s="1"/>
  <c r="I790" i="29" s="1"/>
  <c r="E791" i="29"/>
  <c r="F791" i="29"/>
  <c r="H791" i="29" s="1"/>
  <c r="I791" i="29" s="1"/>
  <c r="E792" i="29"/>
  <c r="F792" i="29"/>
  <c r="H792" i="29" s="1"/>
  <c r="I792" i="29" s="1"/>
  <c r="E793" i="29"/>
  <c r="F793" i="29"/>
  <c r="H793" i="29" s="1"/>
  <c r="I793" i="29" s="1"/>
  <c r="E794" i="29"/>
  <c r="F794" i="29"/>
  <c r="H794" i="29" s="1"/>
  <c r="I794" i="29" s="1"/>
  <c r="E795" i="29"/>
  <c r="F795" i="29"/>
  <c r="H795" i="29" s="1"/>
  <c r="I795" i="29" s="1"/>
  <c r="E796" i="29"/>
  <c r="F796" i="29"/>
  <c r="H796" i="29" s="1"/>
  <c r="I796" i="29" s="1"/>
  <c r="E797" i="29"/>
  <c r="F797" i="29"/>
  <c r="G797" i="29" s="1"/>
  <c r="E798" i="29"/>
  <c r="F798" i="29"/>
  <c r="H798" i="29" s="1"/>
  <c r="I798" i="29" s="1"/>
  <c r="E799" i="29"/>
  <c r="F799" i="29"/>
  <c r="H799" i="29" s="1"/>
  <c r="I799" i="29" s="1"/>
  <c r="E800" i="29"/>
  <c r="F800" i="29"/>
  <c r="H800" i="29" s="1"/>
  <c r="I800" i="29" s="1"/>
  <c r="E801" i="29"/>
  <c r="F801" i="29"/>
  <c r="G801" i="29" s="1"/>
  <c r="E802" i="29"/>
  <c r="F802" i="29"/>
  <c r="H802" i="29" s="1"/>
  <c r="I802" i="29" s="1"/>
  <c r="E803" i="29"/>
  <c r="F803" i="29"/>
  <c r="H803" i="29" s="1"/>
  <c r="I803" i="29" s="1"/>
  <c r="E804" i="29"/>
  <c r="F804" i="29"/>
  <c r="H804" i="29" s="1"/>
  <c r="I804" i="29" s="1"/>
  <c r="E805" i="29"/>
  <c r="F805" i="29"/>
  <c r="G805" i="29" s="1"/>
  <c r="E806" i="29"/>
  <c r="F806" i="29"/>
  <c r="H806" i="29" s="1"/>
  <c r="I806" i="29" s="1"/>
  <c r="E807" i="29"/>
  <c r="F807" i="29"/>
  <c r="H807" i="29" s="1"/>
  <c r="I807" i="29" s="1"/>
  <c r="E808" i="29"/>
  <c r="F808" i="29"/>
  <c r="H808" i="29" s="1"/>
  <c r="I808" i="29" s="1"/>
  <c r="E809" i="29"/>
  <c r="F809" i="29"/>
  <c r="H809" i="29" s="1"/>
  <c r="I809" i="29" s="1"/>
  <c r="E810" i="29"/>
  <c r="F810" i="29"/>
  <c r="H810" i="29" s="1"/>
  <c r="I810" i="29" s="1"/>
  <c r="E811" i="29"/>
  <c r="F811" i="29"/>
  <c r="H811" i="29" s="1"/>
  <c r="I811" i="29" s="1"/>
  <c r="E812" i="29"/>
  <c r="F812" i="29"/>
  <c r="H812" i="29" s="1"/>
  <c r="I812" i="29" s="1"/>
  <c r="E813" i="29"/>
  <c r="F813" i="29"/>
  <c r="G813" i="29" s="1"/>
  <c r="E814" i="29"/>
  <c r="F814" i="29"/>
  <c r="H814" i="29" s="1"/>
  <c r="I814" i="29" s="1"/>
  <c r="E815" i="29"/>
  <c r="F815" i="29"/>
  <c r="H815" i="29" s="1"/>
  <c r="I815" i="29" s="1"/>
  <c r="E816" i="29"/>
  <c r="F816" i="29"/>
  <c r="H816" i="29" s="1"/>
  <c r="I816" i="29" s="1"/>
  <c r="E817" i="29"/>
  <c r="F817" i="29"/>
  <c r="G817" i="29" s="1"/>
  <c r="E818" i="29"/>
  <c r="F818" i="29"/>
  <c r="G818" i="29" s="1"/>
  <c r="E819" i="29"/>
  <c r="F819" i="29"/>
  <c r="H819" i="29" s="1"/>
  <c r="I819" i="29" s="1"/>
  <c r="E820" i="29"/>
  <c r="F820" i="29"/>
  <c r="H820" i="29" s="1"/>
  <c r="I820" i="29" s="1"/>
  <c r="E821" i="29"/>
  <c r="F821" i="29"/>
  <c r="G821" i="29" s="1"/>
  <c r="E822" i="29"/>
  <c r="F822" i="29"/>
  <c r="H822" i="29" s="1"/>
  <c r="I822" i="29" s="1"/>
  <c r="E823" i="29"/>
  <c r="F823" i="29"/>
  <c r="H823" i="29" s="1"/>
  <c r="I823" i="29" s="1"/>
  <c r="E824" i="29"/>
  <c r="F824" i="29"/>
  <c r="H824" i="29" s="1"/>
  <c r="I824" i="29" s="1"/>
  <c r="E825" i="29"/>
  <c r="F825" i="29"/>
  <c r="G825" i="29" s="1"/>
  <c r="E826" i="29"/>
  <c r="F826" i="29"/>
  <c r="H826" i="29" s="1"/>
  <c r="I826" i="29" s="1"/>
  <c r="E827" i="29"/>
  <c r="F827" i="29"/>
  <c r="H827" i="29" s="1"/>
  <c r="I827" i="29" s="1"/>
  <c r="E828" i="29"/>
  <c r="F828" i="29"/>
  <c r="H828" i="29" s="1"/>
  <c r="I828" i="29" s="1"/>
  <c r="E829" i="29"/>
  <c r="F829" i="29"/>
  <c r="G829" i="29" s="1"/>
  <c r="E830" i="29"/>
  <c r="F830" i="29"/>
  <c r="H830" i="29" s="1"/>
  <c r="I830" i="29" s="1"/>
  <c r="E831" i="29"/>
  <c r="F831" i="29"/>
  <c r="H831" i="29" s="1"/>
  <c r="I831" i="29" s="1"/>
  <c r="E832" i="29"/>
  <c r="F832" i="29"/>
  <c r="H832" i="29" s="1"/>
  <c r="I832" i="29" s="1"/>
  <c r="E833" i="29"/>
  <c r="F833" i="29"/>
  <c r="G833" i="29" s="1"/>
  <c r="E834" i="29"/>
  <c r="F834" i="29"/>
  <c r="G834" i="29" s="1"/>
  <c r="E835" i="29"/>
  <c r="F835" i="29"/>
  <c r="H835" i="29" s="1"/>
  <c r="I835" i="29" s="1"/>
  <c r="E836" i="29"/>
  <c r="F836" i="29"/>
  <c r="G836" i="29" s="1"/>
  <c r="E837" i="29"/>
  <c r="F837" i="29"/>
  <c r="G837" i="29" s="1"/>
  <c r="E838" i="29"/>
  <c r="F838" i="29"/>
  <c r="H838" i="29" s="1"/>
  <c r="I838" i="29" s="1"/>
  <c r="E839" i="29"/>
  <c r="F839" i="29"/>
  <c r="H839" i="29" s="1"/>
  <c r="I839" i="29" s="1"/>
  <c r="E840" i="29"/>
  <c r="F840" i="29"/>
  <c r="H840" i="29" s="1"/>
  <c r="I840" i="29" s="1"/>
  <c r="E841" i="29"/>
  <c r="F841" i="29"/>
  <c r="H841" i="29" s="1"/>
  <c r="I841" i="29" s="1"/>
  <c r="E842" i="29"/>
  <c r="F842" i="29"/>
  <c r="H842" i="29" s="1"/>
  <c r="I842" i="29" s="1"/>
  <c r="E843" i="29"/>
  <c r="F843" i="29"/>
  <c r="H843" i="29" s="1"/>
  <c r="I843" i="29" s="1"/>
  <c r="E844" i="29"/>
  <c r="F844" i="29"/>
  <c r="H844" i="29" s="1"/>
  <c r="I844" i="29" s="1"/>
  <c r="E845" i="29"/>
  <c r="F845" i="29"/>
  <c r="H845" i="29" s="1"/>
  <c r="I845" i="29" s="1"/>
  <c r="E846" i="29"/>
  <c r="F846" i="29"/>
  <c r="H846" i="29" s="1"/>
  <c r="I846" i="29" s="1"/>
  <c r="E847" i="29"/>
  <c r="F847" i="29"/>
  <c r="H847" i="29" s="1"/>
  <c r="I847" i="29" s="1"/>
  <c r="E848" i="29"/>
  <c r="F848" i="29"/>
  <c r="H848" i="29" s="1"/>
  <c r="I848" i="29" s="1"/>
  <c r="E849" i="29"/>
  <c r="F849" i="29"/>
  <c r="G849" i="29" s="1"/>
  <c r="E850" i="29"/>
  <c r="F850" i="29"/>
  <c r="G850" i="29" s="1"/>
  <c r="E851" i="29"/>
  <c r="F851" i="29"/>
  <c r="H851" i="29" s="1"/>
  <c r="I851" i="29" s="1"/>
  <c r="E852" i="29"/>
  <c r="F852" i="29"/>
  <c r="G852" i="29" s="1"/>
  <c r="E853" i="29"/>
  <c r="F853" i="29"/>
  <c r="G853" i="29" s="1"/>
  <c r="E854" i="29"/>
  <c r="F854" i="29"/>
  <c r="H854" i="29" s="1"/>
  <c r="I854" i="29" s="1"/>
  <c r="E855" i="29"/>
  <c r="F855" i="29"/>
  <c r="H855" i="29" s="1"/>
  <c r="I855" i="29" s="1"/>
  <c r="E856" i="29"/>
  <c r="F856" i="29"/>
  <c r="H856" i="29" s="1"/>
  <c r="I856" i="29" s="1"/>
  <c r="E857" i="29"/>
  <c r="F857" i="29"/>
  <c r="G857" i="29" s="1"/>
  <c r="E858" i="29"/>
  <c r="F858" i="29"/>
  <c r="H858" i="29" s="1"/>
  <c r="I858" i="29" s="1"/>
  <c r="E859" i="29"/>
  <c r="F859" i="29"/>
  <c r="H859" i="29" s="1"/>
  <c r="I859" i="29" s="1"/>
  <c r="E860" i="29"/>
  <c r="F860" i="29"/>
  <c r="H860" i="29" s="1"/>
  <c r="I860" i="29" s="1"/>
  <c r="E861" i="29"/>
  <c r="F861" i="29"/>
  <c r="G861" i="29" s="1"/>
  <c r="E862" i="29"/>
  <c r="F862" i="29"/>
  <c r="H862" i="29" s="1"/>
  <c r="I862" i="29" s="1"/>
  <c r="E863" i="29"/>
  <c r="F863" i="29"/>
  <c r="H863" i="29" s="1"/>
  <c r="I863" i="29" s="1"/>
  <c r="E864" i="29"/>
  <c r="F864" i="29"/>
  <c r="H864" i="29" s="1"/>
  <c r="I864" i="29" s="1"/>
  <c r="E865" i="29"/>
  <c r="F865" i="29"/>
  <c r="G865" i="29" s="1"/>
  <c r="E866" i="29"/>
  <c r="F866" i="29"/>
  <c r="H866" i="29" s="1"/>
  <c r="I866" i="29" s="1"/>
  <c r="E867" i="29"/>
  <c r="F867" i="29"/>
  <c r="H867" i="29" s="1"/>
  <c r="I867" i="29" s="1"/>
  <c r="E868" i="29"/>
  <c r="F868" i="29"/>
  <c r="H868" i="29" s="1"/>
  <c r="I868" i="29" s="1"/>
  <c r="E869" i="29"/>
  <c r="F869" i="29"/>
  <c r="G869" i="29" s="1"/>
  <c r="E870" i="29"/>
  <c r="F870" i="29"/>
  <c r="H870" i="29" s="1"/>
  <c r="I870" i="29" s="1"/>
  <c r="E871" i="29"/>
  <c r="F871" i="29"/>
  <c r="H871" i="29" s="1"/>
  <c r="I871" i="29" s="1"/>
  <c r="E872" i="29"/>
  <c r="F872" i="29"/>
  <c r="G872" i="29" s="1"/>
  <c r="E873" i="29"/>
  <c r="F873" i="29"/>
  <c r="H873" i="29" s="1"/>
  <c r="I873" i="29" s="1"/>
  <c r="E874" i="29"/>
  <c r="F874" i="29"/>
  <c r="H874" i="29" s="1"/>
  <c r="I874" i="29" s="1"/>
  <c r="E875" i="29"/>
  <c r="F875" i="29"/>
  <c r="H875" i="29" s="1"/>
  <c r="I875" i="29" s="1"/>
  <c r="E876" i="29"/>
  <c r="F876" i="29"/>
  <c r="H876" i="29" s="1"/>
  <c r="I876" i="29" s="1"/>
  <c r="E877" i="29"/>
  <c r="F877" i="29"/>
  <c r="G877" i="29" s="1"/>
  <c r="E878" i="29"/>
  <c r="F878" i="29"/>
  <c r="H878" i="29" s="1"/>
  <c r="I878" i="29" s="1"/>
  <c r="E879" i="29"/>
  <c r="F879" i="29"/>
  <c r="H879" i="29" s="1"/>
  <c r="I879" i="29" s="1"/>
  <c r="E880" i="29"/>
  <c r="F880" i="29"/>
  <c r="H880" i="29" s="1"/>
  <c r="I880" i="29" s="1"/>
  <c r="E881" i="29"/>
  <c r="F881" i="29"/>
  <c r="G881" i="29" s="1"/>
  <c r="E882" i="29"/>
  <c r="F882" i="29"/>
  <c r="H882" i="29" s="1"/>
  <c r="I882" i="29" s="1"/>
  <c r="E883" i="29"/>
  <c r="F883" i="29"/>
  <c r="H883" i="29" s="1"/>
  <c r="I883" i="29" s="1"/>
  <c r="E884" i="29"/>
  <c r="F884" i="29"/>
  <c r="H884" i="29" s="1"/>
  <c r="I884" i="29" s="1"/>
  <c r="E885" i="29"/>
  <c r="F885" i="29"/>
  <c r="G885" i="29" s="1"/>
  <c r="E886" i="29"/>
  <c r="F886" i="29"/>
  <c r="H886" i="29" s="1"/>
  <c r="I886" i="29" s="1"/>
  <c r="E887" i="29"/>
  <c r="F887" i="29"/>
  <c r="H887" i="29" s="1"/>
  <c r="I887" i="29" s="1"/>
  <c r="E888" i="29"/>
  <c r="F888" i="29"/>
  <c r="G888" i="29" s="1"/>
  <c r="E889" i="29"/>
  <c r="F889" i="29"/>
  <c r="G889" i="29" s="1"/>
  <c r="E890" i="29"/>
  <c r="F890" i="29"/>
  <c r="H890" i="29" s="1"/>
  <c r="I890" i="29" s="1"/>
  <c r="E891" i="29"/>
  <c r="F891" i="29"/>
  <c r="H891" i="29" s="1"/>
  <c r="I891" i="29" s="1"/>
  <c r="E892" i="29"/>
  <c r="F892" i="29"/>
  <c r="H892" i="29" s="1"/>
  <c r="I892" i="29" s="1"/>
  <c r="E893" i="29"/>
  <c r="F893" i="29"/>
  <c r="G893" i="29" s="1"/>
  <c r="E894" i="29"/>
  <c r="F894" i="29"/>
  <c r="H894" i="29" s="1"/>
  <c r="I894" i="29" s="1"/>
  <c r="E895" i="29"/>
  <c r="F895" i="29"/>
  <c r="H895" i="29" s="1"/>
  <c r="I895" i="29" s="1"/>
  <c r="E896" i="29"/>
  <c r="F896" i="29"/>
  <c r="H896" i="29" s="1"/>
  <c r="I896" i="29" s="1"/>
  <c r="E897" i="29"/>
  <c r="F897" i="29"/>
  <c r="G897" i="29" s="1"/>
  <c r="E898" i="29"/>
  <c r="F898" i="29"/>
  <c r="H898" i="29" s="1"/>
  <c r="I898" i="29" s="1"/>
  <c r="E899" i="29"/>
  <c r="F899" i="29"/>
  <c r="H899" i="29" s="1"/>
  <c r="I899" i="29" s="1"/>
  <c r="E900" i="29"/>
  <c r="F900" i="29"/>
  <c r="H900" i="29" s="1"/>
  <c r="I900" i="29" s="1"/>
  <c r="E901" i="29"/>
  <c r="F901" i="29"/>
  <c r="G901" i="29" s="1"/>
  <c r="E902" i="29"/>
  <c r="F902" i="29"/>
  <c r="H902" i="29" s="1"/>
  <c r="I902" i="29" s="1"/>
  <c r="E903" i="29"/>
  <c r="F903" i="29"/>
  <c r="H903" i="29" s="1"/>
  <c r="I903" i="29" s="1"/>
  <c r="E904" i="29"/>
  <c r="F904" i="29"/>
  <c r="H904" i="29" s="1"/>
  <c r="I904" i="29" s="1"/>
  <c r="E905" i="29"/>
  <c r="F905" i="29"/>
  <c r="G905" i="29" s="1"/>
  <c r="E906" i="29"/>
  <c r="F906" i="29"/>
  <c r="H906" i="29" s="1"/>
  <c r="I906" i="29" s="1"/>
  <c r="E907" i="29"/>
  <c r="F907" i="29"/>
  <c r="H907" i="29" s="1"/>
  <c r="I907" i="29" s="1"/>
  <c r="E908" i="29"/>
  <c r="F908" i="29"/>
  <c r="H908" i="29" s="1"/>
  <c r="I908" i="29" s="1"/>
  <c r="E909" i="29"/>
  <c r="F909" i="29"/>
  <c r="G909" i="29" s="1"/>
  <c r="E910" i="29"/>
  <c r="F910" i="29"/>
  <c r="H910" i="29" s="1"/>
  <c r="I910" i="29" s="1"/>
  <c r="E911" i="29"/>
  <c r="F911" i="29"/>
  <c r="H911" i="29" s="1"/>
  <c r="I911" i="29" s="1"/>
  <c r="E912" i="29"/>
  <c r="F912" i="29"/>
  <c r="H912" i="29" s="1"/>
  <c r="I912" i="29" s="1"/>
  <c r="E913" i="29"/>
  <c r="F913" i="29"/>
  <c r="G913" i="29" s="1"/>
  <c r="E914" i="29"/>
  <c r="F914" i="29"/>
  <c r="H914" i="29" s="1"/>
  <c r="I914" i="29" s="1"/>
  <c r="E915" i="29"/>
  <c r="F915" i="29"/>
  <c r="H915" i="29" s="1"/>
  <c r="I915" i="29" s="1"/>
  <c r="E916" i="29"/>
  <c r="F916" i="29"/>
  <c r="G916" i="29" s="1"/>
  <c r="E917" i="29"/>
  <c r="F917" i="29"/>
  <c r="G917" i="29" s="1"/>
  <c r="E918" i="29"/>
  <c r="F918" i="29"/>
  <c r="H918" i="29" s="1"/>
  <c r="I918" i="29" s="1"/>
  <c r="E919" i="29"/>
  <c r="F919" i="29"/>
  <c r="H919" i="29" s="1"/>
  <c r="I919" i="29" s="1"/>
  <c r="E920" i="29"/>
  <c r="F920" i="29"/>
  <c r="G920" i="29" s="1"/>
  <c r="E921" i="29"/>
  <c r="F921" i="29"/>
  <c r="G921" i="29" s="1"/>
  <c r="E922" i="29"/>
  <c r="F922" i="29"/>
  <c r="H922" i="29" s="1"/>
  <c r="I922" i="29" s="1"/>
  <c r="E923" i="29"/>
  <c r="F923" i="29"/>
  <c r="H923" i="29" s="1"/>
  <c r="I923" i="29" s="1"/>
  <c r="E924" i="29"/>
  <c r="F924" i="29"/>
  <c r="H924" i="29" s="1"/>
  <c r="I924" i="29" s="1"/>
  <c r="E925" i="29"/>
  <c r="F925" i="29"/>
  <c r="G925" i="29" s="1"/>
  <c r="E926" i="29"/>
  <c r="F926" i="29"/>
  <c r="H926" i="29" s="1"/>
  <c r="I926" i="29" s="1"/>
  <c r="E201" i="31"/>
  <c r="F201" i="31"/>
  <c r="H201" i="31" s="1"/>
  <c r="I201" i="31" s="1"/>
  <c r="E202" i="31"/>
  <c r="F202" i="31"/>
  <c r="H202" i="31" s="1"/>
  <c r="I202" i="31" s="1"/>
  <c r="E203" i="31"/>
  <c r="F203" i="31"/>
  <c r="E204" i="31"/>
  <c r="F204" i="31"/>
  <c r="H204" i="31" s="1"/>
  <c r="I204" i="31" s="1"/>
  <c r="E205" i="31"/>
  <c r="F205" i="31"/>
  <c r="G205" i="31" s="1"/>
  <c r="E206" i="31"/>
  <c r="F206" i="31"/>
  <c r="E207" i="31"/>
  <c r="F207" i="31"/>
  <c r="H207" i="31" s="1"/>
  <c r="I207" i="31" s="1"/>
  <c r="E208" i="31"/>
  <c r="F208" i="31"/>
  <c r="G208" i="31" s="1"/>
  <c r="E209" i="31"/>
  <c r="F209" i="31"/>
  <c r="G209" i="31" s="1"/>
  <c r="E210" i="31"/>
  <c r="F210" i="31"/>
  <c r="E211" i="31"/>
  <c r="F211" i="31"/>
  <c r="G211" i="31" s="1"/>
  <c r="E212" i="31"/>
  <c r="F212" i="31"/>
  <c r="G212" i="31" s="1"/>
  <c r="E213" i="31"/>
  <c r="F213" i="31"/>
  <c r="E214" i="31"/>
  <c r="F214" i="31"/>
  <c r="H214" i="31" s="1"/>
  <c r="I214" i="31" s="1"/>
  <c r="E215" i="31"/>
  <c r="F215" i="31"/>
  <c r="H215" i="31" s="1"/>
  <c r="I215" i="31" s="1"/>
  <c r="E216" i="31"/>
  <c r="F216" i="31"/>
  <c r="G216" i="31" s="1"/>
  <c r="E217" i="31"/>
  <c r="F217" i="31"/>
  <c r="H217" i="31" s="1"/>
  <c r="I217" i="31" s="1"/>
  <c r="E218" i="31"/>
  <c r="F218" i="31"/>
  <c r="H218" i="31" s="1"/>
  <c r="I218" i="31" s="1"/>
  <c r="E219" i="31"/>
  <c r="F219" i="31"/>
  <c r="H219" i="31" s="1"/>
  <c r="I219" i="31" s="1"/>
  <c r="E220" i="31"/>
  <c r="F220" i="31"/>
  <c r="H220" i="31" s="1"/>
  <c r="I220" i="31" s="1"/>
  <c r="E221" i="31"/>
  <c r="F221" i="31"/>
  <c r="G221" i="31" s="1"/>
  <c r="E222" i="31"/>
  <c r="F222" i="31"/>
  <c r="G222" i="31" s="1"/>
  <c r="E223" i="31"/>
  <c r="F223" i="31"/>
  <c r="H223" i="31" s="1"/>
  <c r="I223" i="31" s="1"/>
  <c r="E224" i="31"/>
  <c r="F224" i="31"/>
  <c r="G224" i="31" s="1"/>
  <c r="E225" i="31"/>
  <c r="F225" i="31"/>
  <c r="H225" i="31" s="1"/>
  <c r="I225" i="31" s="1"/>
  <c r="E226" i="31"/>
  <c r="F226" i="31"/>
  <c r="E227" i="31"/>
  <c r="F227" i="31"/>
  <c r="H227" i="31" s="1"/>
  <c r="I227" i="31" s="1"/>
  <c r="E228" i="31"/>
  <c r="F228" i="31"/>
  <c r="G228" i="31" s="1"/>
  <c r="E229" i="31"/>
  <c r="F229" i="31"/>
  <c r="H229" i="31" s="1"/>
  <c r="I229" i="31" s="1"/>
  <c r="E230" i="31"/>
  <c r="F230" i="31"/>
  <c r="H230" i="31" s="1"/>
  <c r="I230" i="31" s="1"/>
  <c r="E231" i="31"/>
  <c r="F231" i="31"/>
  <c r="H231" i="31" s="1"/>
  <c r="I231" i="31" s="1"/>
  <c r="E232" i="31"/>
  <c r="F232" i="31"/>
  <c r="G232" i="31" s="1"/>
  <c r="E233" i="31"/>
  <c r="F233" i="31"/>
  <c r="G233" i="31" s="1"/>
  <c r="E234" i="31"/>
  <c r="F234" i="31"/>
  <c r="H234" i="31" s="1"/>
  <c r="I234" i="31" s="1"/>
  <c r="E235" i="31"/>
  <c r="F235" i="31"/>
  <c r="G235" i="31" s="1"/>
  <c r="E236" i="31"/>
  <c r="F236" i="31"/>
  <c r="H236" i="31" s="1"/>
  <c r="I236" i="31" s="1"/>
  <c r="E237" i="31"/>
  <c r="F237" i="31"/>
  <c r="G237" i="31" s="1"/>
  <c r="E238" i="31"/>
  <c r="F238" i="31"/>
  <c r="G238" i="31" s="1"/>
  <c r="E239" i="31"/>
  <c r="F239" i="31"/>
  <c r="H239" i="31" s="1"/>
  <c r="I239" i="31" s="1"/>
  <c r="E240" i="31"/>
  <c r="F240" i="31"/>
  <c r="H240" i="31" s="1"/>
  <c r="I240" i="31" s="1"/>
  <c r="E241" i="31"/>
  <c r="F241" i="31"/>
  <c r="H241" i="31" s="1"/>
  <c r="I241" i="31" s="1"/>
  <c r="E242" i="31"/>
  <c r="F242" i="31"/>
  <c r="E243" i="31"/>
  <c r="F243" i="31"/>
  <c r="H243" i="31" s="1"/>
  <c r="I243" i="31" s="1"/>
  <c r="E244" i="31"/>
  <c r="F244" i="31"/>
  <c r="G244" i="31" s="1"/>
  <c r="E245" i="31"/>
  <c r="F245" i="31"/>
  <c r="G245" i="31" s="1"/>
  <c r="E246" i="31"/>
  <c r="F246" i="31"/>
  <c r="G246" i="31" s="1"/>
  <c r="E247" i="31"/>
  <c r="F247" i="31"/>
  <c r="H247" i="31" s="1"/>
  <c r="I247" i="31" s="1"/>
  <c r="E248" i="31"/>
  <c r="F248" i="31"/>
  <c r="G248" i="31" s="1"/>
  <c r="E249" i="31"/>
  <c r="F249" i="31"/>
  <c r="G249" i="31" s="1"/>
  <c r="E250" i="31"/>
  <c r="F250" i="31"/>
  <c r="H250" i="31" s="1"/>
  <c r="I250" i="31" s="1"/>
  <c r="E251" i="31"/>
  <c r="F251" i="31"/>
  <c r="G251" i="31" s="1"/>
  <c r="E252" i="31"/>
  <c r="F252" i="31"/>
  <c r="H252" i="31" s="1"/>
  <c r="I252" i="31" s="1"/>
  <c r="E253" i="31"/>
  <c r="F253" i="31"/>
  <c r="G253" i="31" s="1"/>
  <c r="E254" i="31"/>
  <c r="F254" i="31"/>
  <c r="G254" i="31" s="1"/>
  <c r="E255" i="31"/>
  <c r="F255" i="31"/>
  <c r="H255" i="31" s="1"/>
  <c r="I255" i="31" s="1"/>
  <c r="E256" i="31"/>
  <c r="F256" i="31"/>
  <c r="G256" i="31" s="1"/>
  <c r="E257" i="31"/>
  <c r="F257" i="31"/>
  <c r="G257" i="31" s="1"/>
  <c r="E258" i="31"/>
  <c r="F258" i="31"/>
  <c r="E259" i="31"/>
  <c r="F259" i="31"/>
  <c r="H259" i="31" s="1"/>
  <c r="I259" i="31" s="1"/>
  <c r="E260" i="31"/>
  <c r="F260" i="31"/>
  <c r="H260" i="31" s="1"/>
  <c r="I260" i="31" s="1"/>
  <c r="E261" i="31"/>
  <c r="F261" i="31"/>
  <c r="G261" i="31" s="1"/>
  <c r="E262" i="31"/>
  <c r="F262" i="31"/>
  <c r="G262" i="31" s="1"/>
  <c r="E263" i="31"/>
  <c r="F263" i="31"/>
  <c r="H263" i="31" s="1"/>
  <c r="I263" i="31" s="1"/>
  <c r="E264" i="31"/>
  <c r="F264" i="31"/>
  <c r="G264" i="31" s="1"/>
  <c r="E265" i="31"/>
  <c r="F265" i="31"/>
  <c r="G265" i="31" s="1"/>
  <c r="E266" i="31"/>
  <c r="F266" i="31"/>
  <c r="H266" i="31" s="1"/>
  <c r="I266" i="31" s="1"/>
  <c r="E267" i="31"/>
  <c r="F267" i="31"/>
  <c r="G267" i="31" s="1"/>
  <c r="E268" i="31"/>
  <c r="F268" i="31"/>
  <c r="H268" i="31" s="1"/>
  <c r="I268" i="31" s="1"/>
  <c r="E269" i="31"/>
  <c r="F269" i="31"/>
  <c r="G269" i="31" s="1"/>
  <c r="E270" i="31"/>
  <c r="F270" i="31"/>
  <c r="G270" i="31" s="1"/>
  <c r="E271" i="31"/>
  <c r="F271" i="31"/>
  <c r="H271" i="31" s="1"/>
  <c r="I271" i="31" s="1"/>
  <c r="E272" i="31"/>
  <c r="F272" i="31"/>
  <c r="G272" i="31" s="1"/>
  <c r="E273" i="31"/>
  <c r="F273" i="31"/>
  <c r="G273" i="31" s="1"/>
  <c r="E274" i="31"/>
  <c r="F274" i="31"/>
  <c r="E275" i="31"/>
  <c r="F275" i="31"/>
  <c r="H275" i="31" s="1"/>
  <c r="I275" i="31" s="1"/>
  <c r="E276" i="31"/>
  <c r="F276" i="31"/>
  <c r="G276" i="31" s="1"/>
  <c r="E277" i="31"/>
  <c r="F277" i="31"/>
  <c r="G277" i="31" s="1"/>
  <c r="E278" i="31"/>
  <c r="F278" i="31"/>
  <c r="G278" i="31" s="1"/>
  <c r="E279" i="31"/>
  <c r="F279" i="31"/>
  <c r="H279" i="31" s="1"/>
  <c r="I279" i="31" s="1"/>
  <c r="E280" i="31"/>
  <c r="F280" i="31"/>
  <c r="G280" i="31" s="1"/>
  <c r="E281" i="31"/>
  <c r="F281" i="31"/>
  <c r="H281" i="31" s="1"/>
  <c r="I281" i="31" s="1"/>
  <c r="E282" i="31"/>
  <c r="F282" i="31"/>
  <c r="H282" i="31" s="1"/>
  <c r="I282" i="31" s="1"/>
  <c r="E283" i="31"/>
  <c r="F283" i="31"/>
  <c r="H283" i="31" s="1"/>
  <c r="I283" i="31" s="1"/>
  <c r="E284" i="31"/>
  <c r="F284" i="31"/>
  <c r="H284" i="31" s="1"/>
  <c r="I284" i="31" s="1"/>
  <c r="E285" i="31"/>
  <c r="F285" i="31"/>
  <c r="G285" i="31" s="1"/>
  <c r="E286" i="31"/>
  <c r="F286" i="31"/>
  <c r="H286" i="31" s="1"/>
  <c r="I286" i="31" s="1"/>
  <c r="E287" i="31"/>
  <c r="F287" i="31"/>
  <c r="H287" i="31" s="1"/>
  <c r="I287" i="31" s="1"/>
  <c r="E288" i="31"/>
  <c r="F288" i="31"/>
  <c r="H288" i="31" s="1"/>
  <c r="I288" i="31" s="1"/>
  <c r="E289" i="31"/>
  <c r="F289" i="31"/>
  <c r="H289" i="31" s="1"/>
  <c r="I289" i="31" s="1"/>
  <c r="E290" i="31"/>
  <c r="F290" i="31"/>
  <c r="E291" i="31"/>
  <c r="F291" i="31"/>
  <c r="H291" i="31" s="1"/>
  <c r="I291" i="31" s="1"/>
  <c r="E292" i="31"/>
  <c r="F292" i="31"/>
  <c r="G292" i="31" s="1"/>
  <c r="E293" i="31"/>
  <c r="F293" i="31"/>
  <c r="H293" i="31" s="1"/>
  <c r="I293" i="31" s="1"/>
  <c r="E294" i="31"/>
  <c r="F294" i="31"/>
  <c r="G294" i="31" s="1"/>
  <c r="E295" i="31"/>
  <c r="F295" i="31"/>
  <c r="H295" i="31" s="1"/>
  <c r="I295" i="31" s="1"/>
  <c r="E296" i="31"/>
  <c r="F296" i="31"/>
  <c r="G296" i="31" s="1"/>
  <c r="E297" i="31"/>
  <c r="F297" i="31"/>
  <c r="H297" i="31" s="1"/>
  <c r="I297" i="31" s="1"/>
  <c r="E298" i="31"/>
  <c r="F298" i="31"/>
  <c r="H298" i="31" s="1"/>
  <c r="I298" i="31" s="1"/>
  <c r="E299" i="31"/>
  <c r="F299" i="31"/>
  <c r="H299" i="31" s="1"/>
  <c r="I299" i="31" s="1"/>
  <c r="E300" i="31"/>
  <c r="F300" i="31"/>
  <c r="H300" i="31" s="1"/>
  <c r="I300" i="31" s="1"/>
  <c r="E301" i="31"/>
  <c r="F301" i="31"/>
  <c r="G301" i="31" s="1"/>
  <c r="E302" i="31"/>
  <c r="F302" i="31"/>
  <c r="H302" i="31" s="1"/>
  <c r="I302" i="31" s="1"/>
  <c r="E303" i="31"/>
  <c r="F303" i="31"/>
  <c r="H303" i="31" s="1"/>
  <c r="I303" i="31" s="1"/>
  <c r="E304" i="31"/>
  <c r="F304" i="31"/>
  <c r="G304" i="31" s="1"/>
  <c r="E305" i="31"/>
  <c r="F305" i="31"/>
  <c r="G305" i="31" s="1"/>
  <c r="E306" i="31"/>
  <c r="F306" i="31"/>
  <c r="E307" i="31"/>
  <c r="F307" i="31"/>
  <c r="H307" i="31" s="1"/>
  <c r="I307" i="31" s="1"/>
  <c r="E308" i="31"/>
  <c r="F308" i="31"/>
  <c r="H308" i="31" s="1"/>
  <c r="I308" i="31" s="1"/>
  <c r="E309" i="31"/>
  <c r="F309" i="31"/>
  <c r="G309" i="31" s="1"/>
  <c r="E310" i="31"/>
  <c r="F310" i="31"/>
  <c r="H310" i="31" s="1"/>
  <c r="I310" i="31" s="1"/>
  <c r="E311" i="31"/>
  <c r="F311" i="31"/>
  <c r="H311" i="31" s="1"/>
  <c r="I311" i="31" s="1"/>
  <c r="E312" i="31"/>
  <c r="F312" i="31"/>
  <c r="G312" i="31" s="1"/>
  <c r="E313" i="31"/>
  <c r="F313" i="31"/>
  <c r="G313" i="31" s="1"/>
  <c r="E314" i="31"/>
  <c r="F314" i="31"/>
  <c r="H314" i="31" s="1"/>
  <c r="I314" i="31" s="1"/>
  <c r="E315" i="31"/>
  <c r="F315" i="31"/>
  <c r="G315" i="31" s="1"/>
  <c r="E316" i="31"/>
  <c r="F316" i="31"/>
  <c r="H316" i="31" s="1"/>
  <c r="I316" i="31" s="1"/>
  <c r="E317" i="31"/>
  <c r="F317" i="31"/>
  <c r="G317" i="31" s="1"/>
  <c r="E318" i="31"/>
  <c r="F318" i="31"/>
  <c r="G318" i="31" s="1"/>
  <c r="E319" i="31"/>
  <c r="F319" i="31"/>
  <c r="H319" i="31" s="1"/>
  <c r="I319" i="31" s="1"/>
  <c r="E320" i="31"/>
  <c r="F320" i="31"/>
  <c r="G320" i="31" s="1"/>
  <c r="E321" i="31"/>
  <c r="F321" i="31"/>
  <c r="H321" i="31" s="1"/>
  <c r="I321" i="31" s="1"/>
  <c r="E322" i="31"/>
  <c r="F322" i="31"/>
  <c r="E323" i="31"/>
  <c r="F323" i="31"/>
  <c r="H323" i="31" s="1"/>
  <c r="I323" i="31" s="1"/>
  <c r="E324" i="31"/>
  <c r="F324" i="31"/>
  <c r="G324" i="31" s="1"/>
  <c r="E325" i="31"/>
  <c r="F325" i="31"/>
  <c r="G325" i="31" s="1"/>
  <c r="E326" i="31"/>
  <c r="F326" i="31"/>
  <c r="H326" i="31" s="1"/>
  <c r="I326" i="31" s="1"/>
  <c r="E327" i="31"/>
  <c r="F327" i="31"/>
  <c r="H327" i="31" s="1"/>
  <c r="I327" i="31" s="1"/>
  <c r="E328" i="31"/>
  <c r="F328" i="31"/>
  <c r="G328" i="31" s="1"/>
  <c r="E329" i="31"/>
  <c r="F329" i="31"/>
  <c r="G329" i="31" s="1"/>
  <c r="E330" i="31"/>
  <c r="F330" i="31"/>
  <c r="H330" i="31" s="1"/>
  <c r="I330" i="31" s="1"/>
  <c r="E331" i="31"/>
  <c r="F331" i="31"/>
  <c r="G331" i="31" s="1"/>
  <c r="E332" i="31"/>
  <c r="F332" i="31"/>
  <c r="H332" i="31" s="1"/>
  <c r="I332" i="31" s="1"/>
  <c r="E333" i="31"/>
  <c r="F333" i="31"/>
  <c r="G333" i="31" s="1"/>
  <c r="E334" i="31"/>
  <c r="F334" i="31"/>
  <c r="G334" i="31" s="1"/>
  <c r="E335" i="31"/>
  <c r="F335" i="31"/>
  <c r="H335" i="31" s="1"/>
  <c r="I335" i="31" s="1"/>
  <c r="E336" i="31"/>
  <c r="F336" i="31"/>
  <c r="G336" i="31" s="1"/>
  <c r="E337" i="31"/>
  <c r="F337" i="31"/>
  <c r="G337" i="31" s="1"/>
  <c r="E338" i="31"/>
  <c r="F338" i="31"/>
  <c r="E339" i="31"/>
  <c r="F339" i="31"/>
  <c r="H339" i="31" s="1"/>
  <c r="I339" i="31" s="1"/>
  <c r="E340" i="31"/>
  <c r="F340" i="31"/>
  <c r="G340" i="31" s="1"/>
  <c r="E341" i="31"/>
  <c r="F341" i="31"/>
  <c r="H341" i="31" s="1"/>
  <c r="I341" i="31" s="1"/>
  <c r="E342" i="31"/>
  <c r="F342" i="31"/>
  <c r="H342" i="31" s="1"/>
  <c r="I342" i="31" s="1"/>
  <c r="E343" i="31"/>
  <c r="F343" i="31"/>
  <c r="H343" i="31" s="1"/>
  <c r="I343" i="31" s="1"/>
  <c r="E344" i="31"/>
  <c r="F344" i="31"/>
  <c r="G344" i="31" s="1"/>
  <c r="E345" i="31"/>
  <c r="F345" i="31"/>
  <c r="G345" i="31" s="1"/>
  <c r="E346" i="31"/>
  <c r="F346" i="31"/>
  <c r="H346" i="31" s="1"/>
  <c r="I346" i="31" s="1"/>
  <c r="E347" i="31"/>
  <c r="F347" i="31"/>
  <c r="G347" i="31" s="1"/>
  <c r="E348" i="31"/>
  <c r="F348" i="31"/>
  <c r="H348" i="31" s="1"/>
  <c r="I348" i="31" s="1"/>
  <c r="E349" i="31"/>
  <c r="F349" i="31"/>
  <c r="G349" i="31" s="1"/>
  <c r="E350" i="31"/>
  <c r="F350" i="31"/>
  <c r="H350" i="31" s="1"/>
  <c r="I350" i="31" s="1"/>
  <c r="E351" i="31"/>
  <c r="F351" i="31"/>
  <c r="H351" i="31" s="1"/>
  <c r="I351" i="31" s="1"/>
  <c r="E352" i="31"/>
  <c r="F352" i="31"/>
  <c r="G352" i="31" s="1"/>
  <c r="E353" i="31"/>
  <c r="F353" i="31"/>
  <c r="G353" i="31" s="1"/>
  <c r="E354" i="31"/>
  <c r="F354" i="31"/>
  <c r="H354" i="31" s="1"/>
  <c r="I354" i="31" s="1"/>
  <c r="E355" i="31"/>
  <c r="F355" i="31"/>
  <c r="H355" i="31" s="1"/>
  <c r="I355" i="31" s="1"/>
  <c r="E356" i="31"/>
  <c r="F356" i="31"/>
  <c r="H356" i="31" s="1"/>
  <c r="I356" i="31" s="1"/>
  <c r="E357" i="31"/>
  <c r="F357" i="31"/>
  <c r="G357" i="31" s="1"/>
  <c r="E358" i="31"/>
  <c r="F358" i="31"/>
  <c r="H358" i="31" s="1"/>
  <c r="I358" i="31" s="1"/>
  <c r="E359" i="31"/>
  <c r="F359" i="31"/>
  <c r="H359" i="31" s="1"/>
  <c r="I359" i="31" s="1"/>
  <c r="E360" i="31"/>
  <c r="F360" i="31"/>
  <c r="G360" i="31" s="1"/>
  <c r="E361" i="31"/>
  <c r="F361" i="31"/>
  <c r="G361" i="31" s="1"/>
  <c r="E362" i="31"/>
  <c r="F362" i="31"/>
  <c r="H362" i="31" s="1"/>
  <c r="I362" i="31" s="1"/>
  <c r="E363" i="31"/>
  <c r="F363" i="31"/>
  <c r="G363" i="31" s="1"/>
  <c r="E364" i="31"/>
  <c r="F364" i="31"/>
  <c r="H364" i="31" s="1"/>
  <c r="I364" i="31" s="1"/>
  <c r="E365" i="31"/>
  <c r="F365" i="31"/>
  <c r="G365" i="31" s="1"/>
  <c r="E366" i="31"/>
  <c r="F366" i="31"/>
  <c r="G366" i="31" s="1"/>
  <c r="E367" i="31"/>
  <c r="F367" i="31"/>
  <c r="H367" i="31" s="1"/>
  <c r="I367" i="31" s="1"/>
  <c r="E368" i="31"/>
  <c r="F368" i="31"/>
  <c r="G368" i="31" s="1"/>
  <c r="E369" i="31"/>
  <c r="F369" i="31"/>
  <c r="G369" i="31" s="1"/>
  <c r="E370" i="31"/>
  <c r="F370" i="31"/>
  <c r="H370" i="31" s="1"/>
  <c r="I370" i="31" s="1"/>
  <c r="E371" i="31"/>
  <c r="F371" i="31"/>
  <c r="H371" i="31" s="1"/>
  <c r="I371" i="31" s="1"/>
  <c r="E372" i="31"/>
  <c r="F372" i="31"/>
  <c r="G372" i="31" s="1"/>
  <c r="E373" i="31"/>
  <c r="F373" i="31"/>
  <c r="G373" i="31" s="1"/>
  <c r="E374" i="31"/>
  <c r="F374" i="31"/>
  <c r="G374" i="31" s="1"/>
  <c r="E375" i="31"/>
  <c r="F375" i="31"/>
  <c r="H375" i="31" s="1"/>
  <c r="I375" i="31" s="1"/>
  <c r="E376" i="31"/>
  <c r="F376" i="31"/>
  <c r="G376" i="31" s="1"/>
  <c r="E377" i="31"/>
  <c r="F377" i="31"/>
  <c r="G377" i="31" s="1"/>
  <c r="E378" i="31"/>
  <c r="F378" i="31"/>
  <c r="H378" i="31" s="1"/>
  <c r="I378" i="31" s="1"/>
  <c r="E379" i="31"/>
  <c r="F379" i="31"/>
  <c r="G379" i="31" s="1"/>
  <c r="E380" i="31"/>
  <c r="F380" i="31"/>
  <c r="H380" i="31" s="1"/>
  <c r="I380" i="31" s="1"/>
  <c r="E381" i="31"/>
  <c r="F381" i="31"/>
  <c r="G381" i="31" s="1"/>
  <c r="E382" i="31"/>
  <c r="F382" i="31"/>
  <c r="G382" i="31" s="1"/>
  <c r="E383" i="31"/>
  <c r="F383" i="31"/>
  <c r="H383" i="31" s="1"/>
  <c r="I383" i="31" s="1"/>
  <c r="E384" i="31"/>
  <c r="F384" i="31"/>
  <c r="G384" i="31" s="1"/>
  <c r="E385" i="31"/>
  <c r="F385" i="31"/>
  <c r="G385" i="31" s="1"/>
  <c r="E386" i="31"/>
  <c r="F386" i="31"/>
  <c r="H386" i="31" s="1"/>
  <c r="I386" i="31" s="1"/>
  <c r="E387" i="31"/>
  <c r="F387" i="31"/>
  <c r="H387" i="31" s="1"/>
  <c r="I387" i="31" s="1"/>
  <c r="E388" i="31"/>
  <c r="F388" i="31"/>
  <c r="G388" i="31" s="1"/>
  <c r="E389" i="31"/>
  <c r="F389" i="31"/>
  <c r="H389" i="31" s="1"/>
  <c r="I389" i="31" s="1"/>
  <c r="E390" i="31"/>
  <c r="F390" i="31"/>
  <c r="G390" i="31" s="1"/>
  <c r="E391" i="31"/>
  <c r="F391" i="31"/>
  <c r="H391" i="31" s="1"/>
  <c r="I391" i="31" s="1"/>
  <c r="E392" i="31"/>
  <c r="F392" i="31"/>
  <c r="H392" i="31" s="1"/>
  <c r="I392" i="31" s="1"/>
  <c r="E393" i="31"/>
  <c r="F393" i="31"/>
  <c r="G393" i="31" s="1"/>
  <c r="E394" i="31"/>
  <c r="F394" i="31"/>
  <c r="H394" i="31" s="1"/>
  <c r="I394" i="31" s="1"/>
  <c r="E395" i="31"/>
  <c r="F395" i="31"/>
  <c r="H395" i="31" s="1"/>
  <c r="I395" i="31" s="1"/>
  <c r="E396" i="31"/>
  <c r="F396" i="31"/>
  <c r="H396" i="31" s="1"/>
  <c r="I396" i="31" s="1"/>
  <c r="E397" i="31"/>
  <c r="F397" i="31"/>
  <c r="G397" i="31" s="1"/>
  <c r="E398" i="31"/>
  <c r="F398" i="31"/>
  <c r="H398" i="31" s="1"/>
  <c r="I398" i="31" s="1"/>
  <c r="E399" i="31"/>
  <c r="F399" i="31"/>
  <c r="H399" i="31" s="1"/>
  <c r="I399" i="31" s="1"/>
  <c r="E400" i="31"/>
  <c r="F400" i="31"/>
  <c r="H400" i="31" s="1"/>
  <c r="I400" i="31" s="1"/>
  <c r="E401" i="31"/>
  <c r="F401" i="31"/>
  <c r="H401" i="31" s="1"/>
  <c r="I401" i="31" s="1"/>
  <c r="E402" i="31"/>
  <c r="F402" i="31"/>
  <c r="H402" i="31" s="1"/>
  <c r="I402" i="31" s="1"/>
  <c r="E403" i="31"/>
  <c r="F403" i="31"/>
  <c r="H403" i="31" s="1"/>
  <c r="I403" i="31" s="1"/>
  <c r="E404" i="31"/>
  <c r="F404" i="31"/>
  <c r="G404" i="31" s="1"/>
  <c r="E405" i="31"/>
  <c r="F405" i="31"/>
  <c r="H405" i="31" s="1"/>
  <c r="I405" i="31" s="1"/>
  <c r="E406" i="31"/>
  <c r="F406" i="31"/>
  <c r="G406" i="31" s="1"/>
  <c r="E407" i="31"/>
  <c r="F407" i="31"/>
  <c r="H407" i="31" s="1"/>
  <c r="I407" i="31" s="1"/>
  <c r="E408" i="31"/>
  <c r="F408" i="31"/>
  <c r="H408" i="31" s="1"/>
  <c r="I408" i="31" s="1"/>
  <c r="E409" i="31"/>
  <c r="F409" i="31"/>
  <c r="G409" i="31" s="1"/>
  <c r="E410" i="31"/>
  <c r="F410" i="31"/>
  <c r="H410" i="31" s="1"/>
  <c r="I410" i="31" s="1"/>
  <c r="E411" i="31"/>
  <c r="F411" i="31"/>
  <c r="H411" i="31" s="1"/>
  <c r="I411" i="31" s="1"/>
  <c r="E412" i="31"/>
  <c r="F412" i="31"/>
  <c r="H412" i="31" s="1"/>
  <c r="I412" i="31" s="1"/>
  <c r="E413" i="31"/>
  <c r="F413" i="31"/>
  <c r="E414" i="31"/>
  <c r="F414" i="31"/>
  <c r="G414" i="31" s="1"/>
  <c r="E415" i="31"/>
  <c r="F415" i="31"/>
  <c r="H415" i="31" s="1"/>
  <c r="I415" i="31" s="1"/>
  <c r="E416" i="31"/>
  <c r="F416" i="31"/>
  <c r="G416" i="31" s="1"/>
  <c r="E417" i="31"/>
  <c r="F417" i="31"/>
  <c r="G417" i="31" s="1"/>
  <c r="E418" i="31"/>
  <c r="F418" i="31"/>
  <c r="H418" i="31" s="1"/>
  <c r="I418" i="31" s="1"/>
  <c r="E419" i="31"/>
  <c r="F419" i="31"/>
  <c r="H419" i="31" s="1"/>
  <c r="I419" i="31" s="1"/>
  <c r="E420" i="31"/>
  <c r="F420" i="31"/>
  <c r="H420" i="31" s="1"/>
  <c r="I420" i="31" s="1"/>
  <c r="E421" i="31"/>
  <c r="F421" i="31"/>
  <c r="G421" i="31" s="1"/>
  <c r="E422" i="31"/>
  <c r="F422" i="31"/>
  <c r="G422" i="31" s="1"/>
  <c r="E423" i="31"/>
  <c r="F423" i="31"/>
  <c r="H423" i="31" s="1"/>
  <c r="I423" i="31" s="1"/>
  <c r="E424" i="31"/>
  <c r="F424" i="31"/>
  <c r="H424" i="31" s="1"/>
  <c r="I424" i="31" s="1"/>
  <c r="E425" i="31"/>
  <c r="F425" i="31"/>
  <c r="G425" i="31" s="1"/>
  <c r="E426" i="31"/>
  <c r="F426" i="31"/>
  <c r="H426" i="31" s="1"/>
  <c r="I426" i="31" s="1"/>
  <c r="E427" i="31"/>
  <c r="F427" i="31"/>
  <c r="H427" i="31" s="1"/>
  <c r="I427" i="31" s="1"/>
  <c r="E428" i="31"/>
  <c r="F428" i="31"/>
  <c r="H428" i="31" s="1"/>
  <c r="I428" i="31" s="1"/>
  <c r="E429" i="31"/>
  <c r="F429" i="31"/>
  <c r="E430" i="31"/>
  <c r="F430" i="31"/>
  <c r="G430" i="31" s="1"/>
  <c r="E431" i="31"/>
  <c r="F431" i="31"/>
  <c r="H431" i="31" s="1"/>
  <c r="I431" i="31" s="1"/>
  <c r="E432" i="31"/>
  <c r="F432" i="31"/>
  <c r="G432" i="31" s="1"/>
  <c r="E433" i="31"/>
  <c r="F433" i="31"/>
  <c r="G433" i="31" s="1"/>
  <c r="E434" i="31"/>
  <c r="F434" i="31"/>
  <c r="H434" i="31" s="1"/>
  <c r="I434" i="31" s="1"/>
  <c r="E435" i="31"/>
  <c r="F435" i="31"/>
  <c r="H435" i="31" s="1"/>
  <c r="I435" i="31" s="1"/>
  <c r="E436" i="31"/>
  <c r="F436" i="31"/>
  <c r="G436" i="31" s="1"/>
  <c r="E437" i="31"/>
  <c r="F437" i="31"/>
  <c r="G437" i="31" s="1"/>
  <c r="E438" i="31"/>
  <c r="F438" i="31"/>
  <c r="G438" i="31" s="1"/>
  <c r="E439" i="31"/>
  <c r="F439" i="31"/>
  <c r="H439" i="31" s="1"/>
  <c r="I439" i="31" s="1"/>
  <c r="E440" i="31"/>
  <c r="F440" i="31"/>
  <c r="H440" i="31" s="1"/>
  <c r="I440" i="31" s="1"/>
  <c r="E441" i="31"/>
  <c r="F441" i="31"/>
  <c r="G441" i="31" s="1"/>
  <c r="E442" i="31"/>
  <c r="F442" i="31"/>
  <c r="H442" i="31" s="1"/>
  <c r="I442" i="31" s="1"/>
  <c r="E443" i="31"/>
  <c r="F443" i="31"/>
  <c r="H443" i="31" s="1"/>
  <c r="I443" i="31" s="1"/>
  <c r="E444" i="31"/>
  <c r="F444" i="31"/>
  <c r="H444" i="31" s="1"/>
  <c r="I444" i="31" s="1"/>
  <c r="E445" i="31"/>
  <c r="F445" i="31"/>
  <c r="E446" i="31"/>
  <c r="F446" i="31"/>
  <c r="H446" i="31" s="1"/>
  <c r="I446" i="31" s="1"/>
  <c r="E447" i="31"/>
  <c r="F447" i="31"/>
  <c r="H447" i="31" s="1"/>
  <c r="I447" i="31" s="1"/>
  <c r="E448" i="31"/>
  <c r="F448" i="31"/>
  <c r="G448" i="31" s="1"/>
  <c r="E449" i="31"/>
  <c r="F449" i="31"/>
  <c r="G449" i="31" s="1"/>
  <c r="E450" i="31"/>
  <c r="F450" i="31"/>
  <c r="H450" i="31" s="1"/>
  <c r="I450" i="31" s="1"/>
  <c r="E451" i="31"/>
  <c r="F451" i="31"/>
  <c r="H451" i="31" s="1"/>
  <c r="I451" i="31" s="1"/>
  <c r="E452" i="31"/>
  <c r="F452" i="31"/>
  <c r="H452" i="31" s="1"/>
  <c r="I452" i="31" s="1"/>
  <c r="E453" i="31"/>
  <c r="F453" i="31"/>
  <c r="H453" i="31" s="1"/>
  <c r="I453" i="31" s="1"/>
  <c r="E454" i="31"/>
  <c r="F454" i="31"/>
  <c r="E455" i="31"/>
  <c r="F455" i="31"/>
  <c r="H455" i="31" s="1"/>
  <c r="I455" i="31" s="1"/>
  <c r="E456" i="31"/>
  <c r="F456" i="31"/>
  <c r="H456" i="31" s="1"/>
  <c r="I456" i="31" s="1"/>
  <c r="E457" i="31"/>
  <c r="F457" i="31"/>
  <c r="H457" i="31" s="1"/>
  <c r="I457" i="31" s="1"/>
  <c r="E458" i="31"/>
  <c r="F458" i="31"/>
  <c r="H458" i="31" s="1"/>
  <c r="I458" i="31" s="1"/>
  <c r="E459" i="31"/>
  <c r="F459" i="31"/>
  <c r="H459" i="31" s="1"/>
  <c r="I459" i="31" s="1"/>
  <c r="E460" i="31"/>
  <c r="F460" i="31"/>
  <c r="H460" i="31" s="1"/>
  <c r="I460" i="31" s="1"/>
  <c r="E461" i="31"/>
  <c r="F461" i="31"/>
  <c r="E462" i="31"/>
  <c r="F462" i="31"/>
  <c r="H462" i="31" s="1"/>
  <c r="I462" i="31" s="1"/>
  <c r="E463" i="31"/>
  <c r="F463" i="31"/>
  <c r="H463" i="31" s="1"/>
  <c r="I463" i="31" s="1"/>
  <c r="E464" i="31"/>
  <c r="F464" i="31"/>
  <c r="G464" i="31" s="1"/>
  <c r="E465" i="31"/>
  <c r="F465" i="31"/>
  <c r="G465" i="31" s="1"/>
  <c r="E466" i="31"/>
  <c r="F466" i="31"/>
  <c r="H466" i="31" s="1"/>
  <c r="I466" i="31" s="1"/>
  <c r="E467" i="31"/>
  <c r="F467" i="31"/>
  <c r="H467" i="31" s="1"/>
  <c r="I467" i="31" s="1"/>
  <c r="E468" i="31"/>
  <c r="F468" i="31"/>
  <c r="H468" i="31" s="1"/>
  <c r="I468" i="31" s="1"/>
  <c r="E469" i="31"/>
  <c r="F469" i="31"/>
  <c r="H469" i="31" s="1"/>
  <c r="I469" i="31" s="1"/>
  <c r="E470" i="31"/>
  <c r="F470" i="31"/>
  <c r="E471" i="31"/>
  <c r="F471" i="31"/>
  <c r="H471" i="31" s="1"/>
  <c r="I471" i="31" s="1"/>
  <c r="E472" i="31"/>
  <c r="F472" i="31"/>
  <c r="H472" i="31" s="1"/>
  <c r="I472" i="31" s="1"/>
  <c r="E473" i="31"/>
  <c r="F473" i="31"/>
  <c r="G473" i="31" s="1"/>
  <c r="E474" i="31"/>
  <c r="F474" i="31"/>
  <c r="H474" i="31" s="1"/>
  <c r="I474" i="31" s="1"/>
  <c r="E475" i="31"/>
  <c r="F475" i="31"/>
  <c r="H475" i="31" s="1"/>
  <c r="I475" i="31" s="1"/>
  <c r="E476" i="31"/>
  <c r="F476" i="31"/>
  <c r="H476" i="31" s="1"/>
  <c r="I476" i="31" s="1"/>
  <c r="E477" i="31"/>
  <c r="F477" i="31"/>
  <c r="E478" i="31"/>
  <c r="F478" i="31"/>
  <c r="H478" i="31" s="1"/>
  <c r="I478" i="31" s="1"/>
  <c r="E479" i="31"/>
  <c r="F479" i="31"/>
  <c r="H479" i="31" s="1"/>
  <c r="I479" i="31" s="1"/>
  <c r="E480" i="31"/>
  <c r="F480" i="31"/>
  <c r="H480" i="31" s="1"/>
  <c r="I480" i="31" s="1"/>
  <c r="E481" i="31"/>
  <c r="F481" i="31"/>
  <c r="G481" i="31" s="1"/>
  <c r="E482" i="31"/>
  <c r="F482" i="31"/>
  <c r="H482" i="31" s="1"/>
  <c r="I482" i="31" s="1"/>
  <c r="E483" i="31"/>
  <c r="F483" i="31"/>
  <c r="H483" i="31" s="1"/>
  <c r="I483" i="31" s="1"/>
  <c r="E484" i="31"/>
  <c r="F484" i="31"/>
  <c r="G484" i="31" s="1"/>
  <c r="E485" i="31"/>
  <c r="F485" i="31"/>
  <c r="G485" i="31" s="1"/>
  <c r="E486" i="31"/>
  <c r="F486" i="31"/>
  <c r="E487" i="31"/>
  <c r="F487" i="31"/>
  <c r="H487" i="31" s="1"/>
  <c r="I487" i="31" s="1"/>
  <c r="E488" i="31"/>
  <c r="F488" i="31"/>
  <c r="H488" i="31" s="1"/>
  <c r="I488" i="31" s="1"/>
  <c r="E489" i="31"/>
  <c r="F489" i="31"/>
  <c r="G489" i="31" s="1"/>
  <c r="E490" i="31"/>
  <c r="F490" i="31"/>
  <c r="H490" i="31" s="1"/>
  <c r="I490" i="31" s="1"/>
  <c r="E491" i="31"/>
  <c r="F491" i="31"/>
  <c r="H491" i="31" s="1"/>
  <c r="I491" i="31" s="1"/>
  <c r="E492" i="31"/>
  <c r="F492" i="31"/>
  <c r="H492" i="31" s="1"/>
  <c r="I492" i="31" s="1"/>
  <c r="E493" i="31"/>
  <c r="F493" i="31"/>
  <c r="E494" i="31"/>
  <c r="F494" i="31"/>
  <c r="G494" i="31" s="1"/>
  <c r="E495" i="31"/>
  <c r="F495" i="31"/>
  <c r="H495" i="31" s="1"/>
  <c r="I495" i="31" s="1"/>
  <c r="E496" i="31"/>
  <c r="F496" i="31"/>
  <c r="H496" i="31" s="1"/>
  <c r="I496" i="31" s="1"/>
  <c r="E497" i="31"/>
  <c r="F497" i="31"/>
  <c r="G497" i="31" s="1"/>
  <c r="E498" i="31"/>
  <c r="F498" i="31"/>
  <c r="H498" i="31" s="1"/>
  <c r="I498" i="31" s="1"/>
  <c r="E499" i="31"/>
  <c r="F499" i="31"/>
  <c r="H499" i="31" s="1"/>
  <c r="I499" i="31" s="1"/>
  <c r="E500" i="31"/>
  <c r="F500" i="31"/>
  <c r="G500" i="31" s="1"/>
  <c r="E501" i="31"/>
  <c r="F501" i="31"/>
  <c r="G501" i="31" s="1"/>
  <c r="E502" i="31"/>
  <c r="F502" i="31"/>
  <c r="E503" i="31"/>
  <c r="F503" i="31"/>
  <c r="H503" i="31" s="1"/>
  <c r="I503" i="31" s="1"/>
  <c r="E504" i="31"/>
  <c r="F504" i="31"/>
  <c r="H504" i="31" s="1"/>
  <c r="I504" i="31" s="1"/>
  <c r="E505" i="31"/>
  <c r="F505" i="31"/>
  <c r="G505" i="31" s="1"/>
  <c r="E506" i="31"/>
  <c r="F506" i="31"/>
  <c r="H506" i="31" s="1"/>
  <c r="I506" i="31" s="1"/>
  <c r="E507" i="31"/>
  <c r="F507" i="31"/>
  <c r="H507" i="31" s="1"/>
  <c r="I507" i="31" s="1"/>
  <c r="E508" i="31"/>
  <c r="F508" i="31"/>
  <c r="H508" i="31" s="1"/>
  <c r="I508" i="31" s="1"/>
  <c r="E509" i="31"/>
  <c r="F509" i="31"/>
  <c r="E510" i="31"/>
  <c r="F510" i="31"/>
  <c r="G510" i="31" s="1"/>
  <c r="E511" i="31"/>
  <c r="F511" i="31"/>
  <c r="H511" i="31" s="1"/>
  <c r="I511" i="31" s="1"/>
  <c r="E512" i="31"/>
  <c r="F512" i="31"/>
  <c r="G512" i="31" s="1"/>
  <c r="E513" i="31"/>
  <c r="F513" i="31"/>
  <c r="G513" i="31" s="1"/>
  <c r="E514" i="31"/>
  <c r="F514" i="31"/>
  <c r="H514" i="31" s="1"/>
  <c r="I514" i="31" s="1"/>
  <c r="E515" i="31"/>
  <c r="F515" i="31"/>
  <c r="H515" i="31" s="1"/>
  <c r="I515" i="31" s="1"/>
  <c r="E516" i="31"/>
  <c r="F516" i="31"/>
  <c r="G516" i="31" s="1"/>
  <c r="E517" i="31"/>
  <c r="F517" i="31"/>
  <c r="H517" i="31" s="1"/>
  <c r="I517" i="31" s="1"/>
  <c r="E518" i="31"/>
  <c r="F518" i="31"/>
  <c r="E519" i="31"/>
  <c r="F519" i="31"/>
  <c r="H519" i="31" s="1"/>
  <c r="I519" i="31" s="1"/>
  <c r="E520" i="31"/>
  <c r="F520" i="31"/>
  <c r="H520" i="31" s="1"/>
  <c r="I520" i="31" s="1"/>
  <c r="E521" i="31"/>
  <c r="F521" i="31"/>
  <c r="G521" i="31" s="1"/>
  <c r="E522" i="31"/>
  <c r="F522" i="31"/>
  <c r="H522" i="31" s="1"/>
  <c r="I522" i="31" s="1"/>
  <c r="E523" i="31"/>
  <c r="F523" i="31"/>
  <c r="H523" i="31" s="1"/>
  <c r="I523" i="31" s="1"/>
  <c r="E524" i="31"/>
  <c r="F524" i="31"/>
  <c r="H524" i="31" s="1"/>
  <c r="I524" i="31" s="1"/>
  <c r="E525" i="31"/>
  <c r="F525" i="31"/>
  <c r="H525" i="31" s="1"/>
  <c r="I525" i="31" s="1"/>
  <c r="E526" i="31"/>
  <c r="F526" i="31"/>
  <c r="G526" i="31" s="1"/>
  <c r="E527" i="31"/>
  <c r="F527" i="31"/>
  <c r="H527" i="31" s="1"/>
  <c r="I527" i="31" s="1"/>
  <c r="E528" i="31"/>
  <c r="F528" i="31"/>
  <c r="H528" i="31" s="1"/>
  <c r="I528" i="31" s="1"/>
  <c r="E529" i="31"/>
  <c r="F529" i="31"/>
  <c r="G529" i="31" s="1"/>
  <c r="E530" i="31"/>
  <c r="F530" i="31"/>
  <c r="H530" i="31" s="1"/>
  <c r="I530" i="31" s="1"/>
  <c r="E531" i="31"/>
  <c r="F531" i="31"/>
  <c r="H531" i="31" s="1"/>
  <c r="I531" i="31" s="1"/>
  <c r="E532" i="31"/>
  <c r="F532" i="31"/>
  <c r="G532" i="31" s="1"/>
  <c r="E533" i="31"/>
  <c r="F533" i="31"/>
  <c r="H533" i="31" s="1"/>
  <c r="I533" i="31" s="1"/>
  <c r="E534" i="31"/>
  <c r="F534" i="31"/>
  <c r="E535" i="31"/>
  <c r="F535" i="31"/>
  <c r="H535" i="31" s="1"/>
  <c r="I535" i="31" s="1"/>
  <c r="E536" i="31"/>
  <c r="F536" i="31"/>
  <c r="H536" i="31" s="1"/>
  <c r="I536" i="31" s="1"/>
  <c r="E537" i="31"/>
  <c r="F537" i="31"/>
  <c r="G537" i="31" s="1"/>
  <c r="E538" i="31"/>
  <c r="F538" i="31"/>
  <c r="H538" i="31" s="1"/>
  <c r="I538" i="31" s="1"/>
  <c r="E539" i="31"/>
  <c r="F539" i="31"/>
  <c r="H539" i="31" s="1"/>
  <c r="I539" i="31" s="1"/>
  <c r="E540" i="31"/>
  <c r="F540" i="31"/>
  <c r="H540" i="31" s="1"/>
  <c r="I540" i="31" s="1"/>
  <c r="E541" i="31"/>
  <c r="F541" i="31"/>
  <c r="H541" i="31" s="1"/>
  <c r="I541" i="31" s="1"/>
  <c r="E542" i="31"/>
  <c r="F542" i="31"/>
  <c r="G542" i="31" s="1"/>
  <c r="E543" i="31"/>
  <c r="F543" i="31"/>
  <c r="H543" i="31" s="1"/>
  <c r="I543" i="31" s="1"/>
  <c r="E544" i="31"/>
  <c r="F544" i="31"/>
  <c r="G544" i="31" s="1"/>
  <c r="E545" i="31"/>
  <c r="F545" i="31"/>
  <c r="G545" i="31" s="1"/>
  <c r="E546" i="31"/>
  <c r="F546" i="31"/>
  <c r="H546" i="31" s="1"/>
  <c r="I546" i="31" s="1"/>
  <c r="E547" i="31"/>
  <c r="F547" i="31"/>
  <c r="H547" i="31" s="1"/>
  <c r="I547" i="31" s="1"/>
  <c r="E548" i="31"/>
  <c r="F548" i="31"/>
  <c r="G548" i="31" s="1"/>
  <c r="E549" i="31"/>
  <c r="F549" i="31"/>
  <c r="G549" i="31" s="1"/>
  <c r="E550" i="31"/>
  <c r="F550" i="31"/>
  <c r="E551" i="31"/>
  <c r="F551" i="31"/>
  <c r="H551" i="31" s="1"/>
  <c r="I551" i="31" s="1"/>
  <c r="E552" i="31"/>
  <c r="F552" i="31"/>
  <c r="H552" i="31" s="1"/>
  <c r="I552" i="31" s="1"/>
  <c r="E553" i="31"/>
  <c r="F553" i="31"/>
  <c r="H553" i="31" s="1"/>
  <c r="I553" i="31" s="1"/>
  <c r="E554" i="31"/>
  <c r="F554" i="31"/>
  <c r="H554" i="31" s="1"/>
  <c r="I554" i="31" s="1"/>
  <c r="E555" i="31"/>
  <c r="F555" i="31"/>
  <c r="H555" i="31" s="1"/>
  <c r="I555" i="31" s="1"/>
  <c r="E556" i="31"/>
  <c r="F556" i="31"/>
  <c r="H556" i="31" s="1"/>
  <c r="I556" i="31" s="1"/>
  <c r="E557" i="31"/>
  <c r="F557" i="31"/>
  <c r="H557" i="31" s="1"/>
  <c r="I557" i="31" s="1"/>
  <c r="E558" i="31"/>
  <c r="F558" i="31"/>
  <c r="G558" i="31" s="1"/>
  <c r="E559" i="31"/>
  <c r="F559" i="31"/>
  <c r="H559" i="31" s="1"/>
  <c r="I559" i="31" s="1"/>
  <c r="E560" i="31"/>
  <c r="F560" i="31"/>
  <c r="H560" i="31" s="1"/>
  <c r="I560" i="31" s="1"/>
  <c r="E561" i="31"/>
  <c r="F561" i="31"/>
  <c r="G561" i="31" s="1"/>
  <c r="E562" i="31"/>
  <c r="F562" i="31"/>
  <c r="H562" i="31" s="1"/>
  <c r="I562" i="31" s="1"/>
  <c r="E563" i="31"/>
  <c r="F563" i="31"/>
  <c r="H563" i="31" s="1"/>
  <c r="I563" i="31" s="1"/>
  <c r="E564" i="31"/>
  <c r="F564" i="31"/>
  <c r="G564" i="31" s="1"/>
  <c r="E565" i="31"/>
  <c r="F565" i="31"/>
  <c r="G565" i="31" s="1"/>
  <c r="E566" i="31"/>
  <c r="F566" i="31"/>
  <c r="E567" i="31"/>
  <c r="F567" i="31"/>
  <c r="H567" i="31" s="1"/>
  <c r="I567" i="31" s="1"/>
  <c r="E568" i="31"/>
  <c r="F568" i="31"/>
  <c r="G568" i="31" s="1"/>
  <c r="E569" i="31"/>
  <c r="F569" i="31"/>
  <c r="G569" i="31" s="1"/>
  <c r="E570" i="31"/>
  <c r="F570" i="31"/>
  <c r="H570" i="31" s="1"/>
  <c r="I570" i="31" s="1"/>
  <c r="E571" i="31"/>
  <c r="F571" i="31"/>
  <c r="H571" i="31" s="1"/>
  <c r="I571" i="31" s="1"/>
  <c r="E572" i="31"/>
  <c r="F572" i="31"/>
  <c r="H572" i="31" s="1"/>
  <c r="I572" i="31" s="1"/>
  <c r="E573" i="31"/>
  <c r="F573" i="31"/>
  <c r="H573" i="31" s="1"/>
  <c r="I573" i="31" s="1"/>
  <c r="E574" i="31"/>
  <c r="F574" i="31"/>
  <c r="H574" i="31" s="1"/>
  <c r="I574" i="31" s="1"/>
  <c r="E575" i="31"/>
  <c r="F575" i="31"/>
  <c r="H575" i="31" s="1"/>
  <c r="I575" i="31" s="1"/>
  <c r="E576" i="31"/>
  <c r="F576" i="31"/>
  <c r="H576" i="31" s="1"/>
  <c r="I576" i="31" s="1"/>
  <c r="E577" i="31"/>
  <c r="F577" i="31"/>
  <c r="G577" i="31" s="1"/>
  <c r="E578" i="31"/>
  <c r="F578" i="31"/>
  <c r="H578" i="31" s="1"/>
  <c r="I578" i="31" s="1"/>
  <c r="E579" i="31"/>
  <c r="F579" i="31"/>
  <c r="H579" i="31" s="1"/>
  <c r="I579" i="31" s="1"/>
  <c r="E580" i="31"/>
  <c r="F580" i="31"/>
  <c r="G580" i="31" s="1"/>
  <c r="E581" i="31"/>
  <c r="F581" i="31"/>
  <c r="H581" i="31" s="1"/>
  <c r="I581" i="31" s="1"/>
  <c r="E582" i="31"/>
  <c r="F582" i="31"/>
  <c r="E583" i="31"/>
  <c r="F583" i="31"/>
  <c r="H583" i="31" s="1"/>
  <c r="I583" i="31" s="1"/>
  <c r="E584" i="31"/>
  <c r="F584" i="31"/>
  <c r="H584" i="31" s="1"/>
  <c r="I584" i="31" s="1"/>
  <c r="E585" i="31"/>
  <c r="F585" i="31"/>
  <c r="G585" i="31" s="1"/>
  <c r="E586" i="31"/>
  <c r="F586" i="31"/>
  <c r="H586" i="31" s="1"/>
  <c r="I586" i="31" s="1"/>
  <c r="E587" i="31"/>
  <c r="F587" i="31"/>
  <c r="G587" i="31" s="1"/>
  <c r="E588" i="31"/>
  <c r="F588" i="31"/>
  <c r="H588" i="31" s="1"/>
  <c r="I588" i="31" s="1"/>
  <c r="E589" i="31"/>
  <c r="F589" i="31"/>
  <c r="H589" i="31" s="1"/>
  <c r="I589" i="31" s="1"/>
  <c r="E590" i="31"/>
  <c r="F590" i="31"/>
  <c r="H590" i="31" s="1"/>
  <c r="I590" i="31" s="1"/>
  <c r="E591" i="31"/>
  <c r="F591" i="31"/>
  <c r="H591" i="31" s="1"/>
  <c r="I591" i="31" s="1"/>
  <c r="E592" i="31"/>
  <c r="F592" i="31"/>
  <c r="H592" i="31" s="1"/>
  <c r="I592" i="31" s="1"/>
  <c r="E593" i="31"/>
  <c r="F593" i="31"/>
  <c r="H593" i="31" s="1"/>
  <c r="I593" i="31" s="1"/>
  <c r="E594" i="31"/>
  <c r="F594" i="31"/>
  <c r="H594" i="31" s="1"/>
  <c r="I594" i="31" s="1"/>
  <c r="E595" i="31"/>
  <c r="F595" i="31"/>
  <c r="H595" i="31" s="1"/>
  <c r="I595" i="31" s="1"/>
  <c r="E596" i="31"/>
  <c r="F596" i="31"/>
  <c r="G596" i="31" s="1"/>
  <c r="E597" i="31"/>
  <c r="F597" i="31"/>
  <c r="H597" i="31" s="1"/>
  <c r="I597" i="31" s="1"/>
  <c r="E598" i="31"/>
  <c r="F598" i="31"/>
  <c r="E599" i="31"/>
  <c r="F599" i="31"/>
  <c r="H599" i="31" s="1"/>
  <c r="I599" i="31" s="1"/>
  <c r="E600" i="31"/>
  <c r="F600" i="31"/>
  <c r="H600" i="31" s="1"/>
  <c r="I600" i="31" s="1"/>
  <c r="E601" i="31"/>
  <c r="F601" i="31"/>
  <c r="G601" i="31" s="1"/>
  <c r="E602" i="31"/>
  <c r="F602" i="31"/>
  <c r="H602" i="31" s="1"/>
  <c r="I602" i="31" s="1"/>
  <c r="E603" i="31"/>
  <c r="F603" i="31"/>
  <c r="H603" i="31" s="1"/>
  <c r="I603" i="31" s="1"/>
  <c r="E604" i="31"/>
  <c r="F604" i="31"/>
  <c r="H604" i="31" s="1"/>
  <c r="I604" i="31" s="1"/>
  <c r="E605" i="31"/>
  <c r="F605" i="31"/>
  <c r="H605" i="31" s="1"/>
  <c r="I605" i="31" s="1"/>
  <c r="E606" i="31"/>
  <c r="F606" i="31"/>
  <c r="H606" i="31" s="1"/>
  <c r="I606" i="31" s="1"/>
  <c r="E607" i="31"/>
  <c r="F607" i="31"/>
  <c r="H607" i="31" s="1"/>
  <c r="I607" i="31" s="1"/>
  <c r="E608" i="31"/>
  <c r="F608" i="31"/>
  <c r="G608" i="31" s="1"/>
  <c r="E609" i="31"/>
  <c r="F609" i="31"/>
  <c r="H609" i="31" s="1"/>
  <c r="I609" i="31" s="1"/>
  <c r="E610" i="31"/>
  <c r="F610" i="31"/>
  <c r="H610" i="31" s="1"/>
  <c r="I610" i="31" s="1"/>
  <c r="E611" i="31"/>
  <c r="F611" i="31"/>
  <c r="H611" i="31" s="1"/>
  <c r="I611" i="31" s="1"/>
  <c r="E612" i="31"/>
  <c r="F612" i="31"/>
  <c r="G612" i="31" s="1"/>
  <c r="E613" i="31"/>
  <c r="F613" i="31"/>
  <c r="H613" i="31" s="1"/>
  <c r="I613" i="31" s="1"/>
  <c r="E614" i="31"/>
  <c r="F614" i="31"/>
  <c r="E615" i="31"/>
  <c r="F615" i="31"/>
  <c r="H615" i="31" s="1"/>
  <c r="I615" i="31" s="1"/>
  <c r="E616" i="31"/>
  <c r="F616" i="31"/>
  <c r="H616" i="31" s="1"/>
  <c r="I616" i="31" s="1"/>
  <c r="E617" i="31"/>
  <c r="F617" i="31"/>
  <c r="G617" i="31" s="1"/>
  <c r="E618" i="31"/>
  <c r="F618" i="31"/>
  <c r="H618" i="31" s="1"/>
  <c r="I618" i="31" s="1"/>
  <c r="E619" i="31"/>
  <c r="F619" i="31"/>
  <c r="H619" i="31" s="1"/>
  <c r="I619" i="31" s="1"/>
  <c r="E620" i="31"/>
  <c r="F620" i="31"/>
  <c r="H620" i="31" s="1"/>
  <c r="I620" i="31" s="1"/>
  <c r="E621" i="31"/>
  <c r="F621" i="31"/>
  <c r="H621" i="31" s="1"/>
  <c r="I621" i="31" s="1"/>
  <c r="E622" i="31"/>
  <c r="F622" i="31"/>
  <c r="H622" i="31" s="1"/>
  <c r="I622" i="31" s="1"/>
  <c r="E623" i="31"/>
  <c r="F623" i="31"/>
  <c r="H623" i="31" s="1"/>
  <c r="I623" i="31" s="1"/>
  <c r="E624" i="31"/>
  <c r="F624" i="31"/>
  <c r="G624" i="31" s="1"/>
  <c r="E625" i="31"/>
  <c r="F625" i="31"/>
  <c r="G625" i="31" s="1"/>
  <c r="E626" i="31"/>
  <c r="F626" i="31"/>
  <c r="H626" i="31" s="1"/>
  <c r="I626" i="31" s="1"/>
  <c r="E627" i="31"/>
  <c r="F627" i="31"/>
  <c r="H627" i="31" s="1"/>
  <c r="I627" i="31" s="1"/>
  <c r="E628" i="31"/>
  <c r="F628" i="31"/>
  <c r="H628" i="31" s="1"/>
  <c r="I628" i="31" s="1"/>
  <c r="E629" i="31"/>
  <c r="F629" i="31"/>
  <c r="H629" i="31" s="1"/>
  <c r="I629" i="31" s="1"/>
  <c r="E630" i="31"/>
  <c r="F630" i="31"/>
  <c r="H630" i="31" s="1"/>
  <c r="I630" i="31" s="1"/>
  <c r="E631" i="31"/>
  <c r="F631" i="31"/>
  <c r="H631" i="31" s="1"/>
  <c r="I631" i="31" s="1"/>
  <c r="E632" i="31"/>
  <c r="F632" i="31"/>
  <c r="H632" i="31" s="1"/>
  <c r="I632" i="31" s="1"/>
  <c r="E633" i="31"/>
  <c r="F633" i="31"/>
  <c r="H633" i="31" s="1"/>
  <c r="I633" i="31" s="1"/>
  <c r="E634" i="31"/>
  <c r="F634" i="31"/>
  <c r="H634" i="31" s="1"/>
  <c r="I634" i="31" s="1"/>
  <c r="E635" i="31"/>
  <c r="F635" i="31"/>
  <c r="H635" i="31" s="1"/>
  <c r="I635" i="31" s="1"/>
  <c r="E636" i="31"/>
  <c r="F636" i="31"/>
  <c r="H636" i="31" s="1"/>
  <c r="I636" i="31" s="1"/>
  <c r="E637" i="31"/>
  <c r="F637" i="31"/>
  <c r="H637" i="31" s="1"/>
  <c r="I637" i="31" s="1"/>
  <c r="E638" i="31"/>
  <c r="F638" i="31"/>
  <c r="G638" i="31" s="1"/>
  <c r="E639" i="31"/>
  <c r="F639" i="31"/>
  <c r="H639" i="31" s="1"/>
  <c r="I639" i="31" s="1"/>
  <c r="E640" i="31"/>
  <c r="F640" i="31"/>
  <c r="G640" i="31" s="1"/>
  <c r="E641" i="31"/>
  <c r="F641" i="31"/>
  <c r="H641" i="31" s="1"/>
  <c r="I641" i="31" s="1"/>
  <c r="E642" i="31"/>
  <c r="F642" i="31"/>
  <c r="H642" i="31" s="1"/>
  <c r="I642" i="31" s="1"/>
  <c r="E643" i="31"/>
  <c r="F643" i="31"/>
  <c r="H643" i="31" s="1"/>
  <c r="I643" i="31" s="1"/>
  <c r="E644" i="31"/>
  <c r="F644" i="31"/>
  <c r="H644" i="31" s="1"/>
  <c r="I644" i="31" s="1"/>
  <c r="E645" i="31"/>
  <c r="F645" i="31"/>
  <c r="H645" i="31" s="1"/>
  <c r="I645" i="31" s="1"/>
  <c r="E646" i="31"/>
  <c r="F646" i="31"/>
  <c r="H646" i="31" s="1"/>
  <c r="I646" i="31" s="1"/>
  <c r="E647" i="31"/>
  <c r="F647" i="31"/>
  <c r="H647" i="31" s="1"/>
  <c r="I647" i="31" s="1"/>
  <c r="E648" i="31"/>
  <c r="F648" i="31"/>
  <c r="G648" i="31" s="1"/>
  <c r="E649" i="31"/>
  <c r="F649" i="31"/>
  <c r="G649" i="31" s="1"/>
  <c r="E650" i="31"/>
  <c r="F650" i="31"/>
  <c r="H650" i="31" s="1"/>
  <c r="I650" i="31" s="1"/>
  <c r="E651" i="31"/>
  <c r="F651" i="31"/>
  <c r="H651" i="31" s="1"/>
  <c r="I651" i="31" s="1"/>
  <c r="E652" i="31"/>
  <c r="F652" i="31"/>
  <c r="H652" i="31" s="1"/>
  <c r="I652" i="31" s="1"/>
  <c r="E653" i="31"/>
  <c r="F653" i="31"/>
  <c r="H653" i="31" s="1"/>
  <c r="I653" i="31" s="1"/>
  <c r="E654" i="31"/>
  <c r="F654" i="31"/>
  <c r="H654" i="31" s="1"/>
  <c r="I654" i="31" s="1"/>
  <c r="E655" i="31"/>
  <c r="F655" i="31"/>
  <c r="H655" i="31" s="1"/>
  <c r="I655" i="31" s="1"/>
  <c r="E656" i="31"/>
  <c r="F656" i="31"/>
  <c r="H656" i="31" s="1"/>
  <c r="I656" i="31" s="1"/>
  <c r="E657" i="31"/>
  <c r="F657" i="31"/>
  <c r="H657" i="31" s="1"/>
  <c r="I657" i="31" s="1"/>
  <c r="E658" i="31"/>
  <c r="F658" i="31"/>
  <c r="G658" i="31" s="1"/>
  <c r="E659" i="31"/>
  <c r="F659" i="31"/>
  <c r="G659" i="31" s="1"/>
  <c r="E660" i="31"/>
  <c r="F660" i="31"/>
  <c r="H660" i="31" s="1"/>
  <c r="I660" i="31" s="1"/>
  <c r="E661" i="31"/>
  <c r="F661" i="31"/>
  <c r="H661" i="31" s="1"/>
  <c r="I661" i="31" s="1"/>
  <c r="E662" i="31"/>
  <c r="F662" i="31"/>
  <c r="G662" i="31" s="1"/>
  <c r="E663" i="31"/>
  <c r="F663" i="31"/>
  <c r="H663" i="31" s="1"/>
  <c r="I663" i="31" s="1"/>
  <c r="E664" i="31"/>
  <c r="F664" i="31"/>
  <c r="H664" i="31" s="1"/>
  <c r="I664" i="31" s="1"/>
  <c r="E665" i="31"/>
  <c r="F665" i="31"/>
  <c r="H665" i="31" s="1"/>
  <c r="I665" i="31" s="1"/>
  <c r="E666" i="31"/>
  <c r="F666" i="31"/>
  <c r="H666" i="31" s="1"/>
  <c r="I666" i="31" s="1"/>
  <c r="E667" i="31"/>
  <c r="F667" i="31"/>
  <c r="H667" i="31" s="1"/>
  <c r="I667" i="31" s="1"/>
  <c r="E668" i="31"/>
  <c r="F668" i="31"/>
  <c r="H668" i="31" s="1"/>
  <c r="I668" i="31" s="1"/>
  <c r="E669" i="31"/>
  <c r="F669" i="31"/>
  <c r="H669" i="31" s="1"/>
  <c r="I669" i="31" s="1"/>
  <c r="E670" i="31"/>
  <c r="F670" i="31"/>
  <c r="H670" i="31" s="1"/>
  <c r="I670" i="31" s="1"/>
  <c r="E671" i="31"/>
  <c r="F671" i="31"/>
  <c r="H671" i="31" s="1"/>
  <c r="I671" i="31" s="1"/>
  <c r="E672" i="31"/>
  <c r="F672" i="31"/>
  <c r="H672" i="31" s="1"/>
  <c r="I672" i="31" s="1"/>
  <c r="E673" i="31"/>
  <c r="F673" i="31"/>
  <c r="H673" i="31" s="1"/>
  <c r="I673" i="31" s="1"/>
  <c r="E674" i="31"/>
  <c r="F674" i="31"/>
  <c r="G674" i="31" s="1"/>
  <c r="E675" i="31"/>
  <c r="F675" i="31"/>
  <c r="G675" i="31" s="1"/>
  <c r="E676" i="31"/>
  <c r="F676" i="31"/>
  <c r="G676" i="31" s="1"/>
  <c r="E677" i="31"/>
  <c r="F677" i="31"/>
  <c r="H677" i="31" s="1"/>
  <c r="I677" i="31" s="1"/>
  <c r="E678" i="31"/>
  <c r="F678" i="31"/>
  <c r="H678" i="31" s="1"/>
  <c r="I678" i="31" s="1"/>
  <c r="E679" i="31"/>
  <c r="F679" i="31"/>
  <c r="H679" i="31" s="1"/>
  <c r="I679" i="31" s="1"/>
  <c r="E680" i="31"/>
  <c r="F680" i="31"/>
  <c r="H680" i="31" s="1"/>
  <c r="I680" i="31" s="1"/>
  <c r="E681" i="31"/>
  <c r="F681" i="31"/>
  <c r="H681" i="31" s="1"/>
  <c r="I681" i="31" s="1"/>
  <c r="E682" i="31"/>
  <c r="F682" i="31"/>
  <c r="H682" i="31" s="1"/>
  <c r="I682" i="31" s="1"/>
  <c r="E683" i="31"/>
  <c r="F683" i="31"/>
  <c r="H683" i="31" s="1"/>
  <c r="I683" i="31" s="1"/>
  <c r="E684" i="31"/>
  <c r="F684" i="31"/>
  <c r="H684" i="31" s="1"/>
  <c r="I684" i="31" s="1"/>
  <c r="E685" i="31"/>
  <c r="F685" i="31"/>
  <c r="H685" i="31" s="1"/>
  <c r="I685" i="31" s="1"/>
  <c r="E686" i="31"/>
  <c r="F686" i="31"/>
  <c r="H686" i="31" s="1"/>
  <c r="I686" i="31" s="1"/>
  <c r="E687" i="31"/>
  <c r="F687" i="31"/>
  <c r="H687" i="31" s="1"/>
  <c r="I687" i="31" s="1"/>
  <c r="E688" i="31"/>
  <c r="F688" i="31"/>
  <c r="H688" i="31" s="1"/>
  <c r="I688" i="31" s="1"/>
  <c r="E689" i="31"/>
  <c r="F689" i="31"/>
  <c r="H689" i="31" s="1"/>
  <c r="I689" i="31" s="1"/>
  <c r="E690" i="31"/>
  <c r="F690" i="31"/>
  <c r="H690" i="31" s="1"/>
  <c r="I690" i="31" s="1"/>
  <c r="E691" i="31"/>
  <c r="F691" i="31"/>
  <c r="G691" i="31" s="1"/>
  <c r="E692" i="31"/>
  <c r="F692" i="31"/>
  <c r="G692" i="31" s="1"/>
  <c r="E693" i="31"/>
  <c r="F693" i="31"/>
  <c r="G693" i="31" s="1"/>
  <c r="E694" i="31"/>
  <c r="F694" i="31"/>
  <c r="G694" i="31" s="1"/>
  <c r="E695" i="31"/>
  <c r="F695" i="31"/>
  <c r="H695" i="31" s="1"/>
  <c r="I695" i="31" s="1"/>
  <c r="E696" i="31"/>
  <c r="F696" i="31"/>
  <c r="H696" i="31" s="1"/>
  <c r="I696" i="31" s="1"/>
  <c r="E697" i="31"/>
  <c r="F697" i="31"/>
  <c r="H697" i="31" s="1"/>
  <c r="I697" i="31" s="1"/>
  <c r="E698" i="31"/>
  <c r="F698" i="31"/>
  <c r="H698" i="31" s="1"/>
  <c r="I698" i="31" s="1"/>
  <c r="E699" i="31"/>
  <c r="F699" i="31"/>
  <c r="H699" i="31" s="1"/>
  <c r="I699" i="31" s="1"/>
  <c r="E700" i="31"/>
  <c r="F700" i="31"/>
  <c r="H700" i="31" s="1"/>
  <c r="I700" i="31" s="1"/>
  <c r="E701" i="31"/>
  <c r="F701" i="31"/>
  <c r="H701" i="31" s="1"/>
  <c r="I701" i="31" s="1"/>
  <c r="E702" i="31"/>
  <c r="F702" i="31"/>
  <c r="H702" i="31" s="1"/>
  <c r="I702" i="31" s="1"/>
  <c r="E703" i="31"/>
  <c r="F703" i="31"/>
  <c r="H703" i="31" s="1"/>
  <c r="I703" i="31" s="1"/>
  <c r="E704" i="31"/>
  <c r="F704" i="31"/>
  <c r="H704" i="31" s="1"/>
  <c r="I704" i="31" s="1"/>
  <c r="E705" i="31"/>
  <c r="F705" i="31"/>
  <c r="H705" i="31" s="1"/>
  <c r="I705" i="31" s="1"/>
  <c r="E706" i="31"/>
  <c r="F706" i="31"/>
  <c r="H706" i="31" s="1"/>
  <c r="I706" i="31" s="1"/>
  <c r="E707" i="31"/>
  <c r="F707" i="31"/>
  <c r="G707" i="31" s="1"/>
  <c r="E708" i="31"/>
  <c r="F708" i="31"/>
  <c r="G708" i="31" s="1"/>
  <c r="E709" i="31"/>
  <c r="F709" i="31"/>
  <c r="H709" i="31" s="1"/>
  <c r="I709" i="31" s="1"/>
  <c r="E710" i="31"/>
  <c r="F710" i="31"/>
  <c r="G710" i="31" s="1"/>
  <c r="E711" i="31"/>
  <c r="F711" i="31"/>
  <c r="H711" i="31" s="1"/>
  <c r="I711" i="31" s="1"/>
  <c r="E712" i="31"/>
  <c r="F712" i="31"/>
  <c r="H712" i="31" s="1"/>
  <c r="I712" i="31" s="1"/>
  <c r="E713" i="31"/>
  <c r="F713" i="31"/>
  <c r="H713" i="31" s="1"/>
  <c r="I713" i="31" s="1"/>
  <c r="E714" i="31"/>
  <c r="F714" i="31"/>
  <c r="H714" i="31" s="1"/>
  <c r="I714" i="31" s="1"/>
  <c r="E715" i="31"/>
  <c r="F715" i="31"/>
  <c r="H715" i="31" s="1"/>
  <c r="I715" i="31" s="1"/>
  <c r="E716" i="31"/>
  <c r="F716" i="31"/>
  <c r="H716" i="31" s="1"/>
  <c r="I716" i="31" s="1"/>
  <c r="E717" i="31"/>
  <c r="F717" i="31"/>
  <c r="H717" i="31" s="1"/>
  <c r="I717" i="31" s="1"/>
  <c r="E718" i="31"/>
  <c r="F718" i="31"/>
  <c r="H718" i="31" s="1"/>
  <c r="I718" i="31" s="1"/>
  <c r="E719" i="31"/>
  <c r="F719" i="31"/>
  <c r="H719" i="31" s="1"/>
  <c r="I719" i="31" s="1"/>
  <c r="E720" i="31"/>
  <c r="F720" i="31"/>
  <c r="H720" i="31" s="1"/>
  <c r="I720" i="31" s="1"/>
  <c r="E721" i="31"/>
  <c r="F721" i="31"/>
  <c r="H721" i="31" s="1"/>
  <c r="I721" i="31" s="1"/>
  <c r="E722" i="31"/>
  <c r="F722" i="31"/>
  <c r="G722" i="31" s="1"/>
  <c r="E723" i="31"/>
  <c r="F723" i="31"/>
  <c r="G723" i="31" s="1"/>
  <c r="E724" i="31"/>
  <c r="F724" i="31"/>
  <c r="G724" i="31" s="1"/>
  <c r="E725" i="31"/>
  <c r="F725" i="31"/>
  <c r="H725" i="31" s="1"/>
  <c r="I725" i="31" s="1"/>
  <c r="E726" i="31"/>
  <c r="F726" i="31"/>
  <c r="H726" i="31" s="1"/>
  <c r="I726" i="31" s="1"/>
  <c r="E727" i="31"/>
  <c r="F727" i="31"/>
  <c r="H727" i="31" s="1"/>
  <c r="I727" i="31" s="1"/>
  <c r="E728" i="31"/>
  <c r="F728" i="31"/>
  <c r="H728" i="31" s="1"/>
  <c r="I728" i="31" s="1"/>
  <c r="E729" i="31"/>
  <c r="F729" i="31"/>
  <c r="H729" i="31" s="1"/>
  <c r="I729" i="31" s="1"/>
  <c r="E730" i="31"/>
  <c r="F730" i="31"/>
  <c r="H730" i="31" s="1"/>
  <c r="I730" i="31" s="1"/>
  <c r="E731" i="31"/>
  <c r="F731" i="31"/>
  <c r="H731" i="31" s="1"/>
  <c r="I731" i="31" s="1"/>
  <c r="E732" i="31"/>
  <c r="F732" i="31"/>
  <c r="H732" i="31" s="1"/>
  <c r="I732" i="31" s="1"/>
  <c r="E733" i="31"/>
  <c r="F733" i="31"/>
  <c r="H733" i="31" s="1"/>
  <c r="I733" i="31" s="1"/>
  <c r="E734" i="31"/>
  <c r="F734" i="31"/>
  <c r="H734" i="31" s="1"/>
  <c r="I734" i="31" s="1"/>
  <c r="E735" i="31"/>
  <c r="F735" i="31"/>
  <c r="H735" i="31" s="1"/>
  <c r="I735" i="31" s="1"/>
  <c r="E736" i="31"/>
  <c r="F736" i="31"/>
  <c r="H736" i="31" s="1"/>
  <c r="I736" i="31" s="1"/>
  <c r="E737" i="31"/>
  <c r="F737" i="31"/>
  <c r="H737" i="31" s="1"/>
  <c r="I737" i="31" s="1"/>
  <c r="E738" i="31"/>
  <c r="F738" i="31"/>
  <c r="G738" i="31" s="1"/>
  <c r="E739" i="31"/>
  <c r="F739" i="31"/>
  <c r="H739" i="31" s="1"/>
  <c r="I739" i="31" s="1"/>
  <c r="E740" i="31"/>
  <c r="F740" i="31"/>
  <c r="G740" i="31" s="1"/>
  <c r="E741" i="31"/>
  <c r="F741" i="31"/>
  <c r="G741" i="31" s="1"/>
  <c r="E742" i="31"/>
  <c r="F742" i="31"/>
  <c r="G742" i="31" s="1"/>
  <c r="E743" i="31"/>
  <c r="F743" i="31"/>
  <c r="H743" i="31" s="1"/>
  <c r="I743" i="31" s="1"/>
  <c r="E744" i="31"/>
  <c r="F744" i="31"/>
  <c r="H744" i="31" s="1"/>
  <c r="I744" i="31" s="1"/>
  <c r="E745" i="31"/>
  <c r="F745" i="31"/>
  <c r="H745" i="31" s="1"/>
  <c r="I745" i="31" s="1"/>
  <c r="E746" i="31"/>
  <c r="F746" i="31"/>
  <c r="H746" i="31" s="1"/>
  <c r="I746" i="31" s="1"/>
  <c r="E747" i="31"/>
  <c r="F747" i="31"/>
  <c r="H747" i="31" s="1"/>
  <c r="I747" i="31" s="1"/>
  <c r="E748" i="31"/>
  <c r="F748" i="31"/>
  <c r="H748" i="31" s="1"/>
  <c r="I748" i="31" s="1"/>
  <c r="E749" i="31"/>
  <c r="F749" i="31"/>
  <c r="H749" i="31" s="1"/>
  <c r="I749" i="31" s="1"/>
  <c r="E750" i="31"/>
  <c r="F750" i="31"/>
  <c r="H750" i="31" s="1"/>
  <c r="I750" i="31" s="1"/>
  <c r="E751" i="31"/>
  <c r="F751" i="31"/>
  <c r="H751" i="31" s="1"/>
  <c r="I751" i="31" s="1"/>
  <c r="E752" i="31"/>
  <c r="F752" i="31"/>
  <c r="H752" i="31" s="1"/>
  <c r="I752" i="31" s="1"/>
  <c r="E753" i="31"/>
  <c r="F753" i="31"/>
  <c r="H753" i="31" s="1"/>
  <c r="I753" i="31" s="1"/>
  <c r="E754" i="31"/>
  <c r="F754" i="31"/>
  <c r="G754" i="31" s="1"/>
  <c r="E755" i="31"/>
  <c r="F755" i="31"/>
  <c r="G755" i="31" s="1"/>
  <c r="E756" i="31"/>
  <c r="F756" i="31"/>
  <c r="G756" i="31" s="1"/>
  <c r="E757" i="31"/>
  <c r="F757" i="31"/>
  <c r="G757" i="31" s="1"/>
  <c r="E758" i="31"/>
  <c r="F758" i="31"/>
  <c r="H758" i="31" s="1"/>
  <c r="I758" i="31" s="1"/>
  <c r="E759" i="31"/>
  <c r="F759" i="31"/>
  <c r="G759" i="31" s="1"/>
  <c r="E760" i="31"/>
  <c r="F760" i="31"/>
  <c r="H760" i="31" s="1"/>
  <c r="I760" i="31" s="1"/>
  <c r="E761" i="31"/>
  <c r="F761" i="31"/>
  <c r="H761" i="31" s="1"/>
  <c r="I761" i="31" s="1"/>
  <c r="E762" i="31"/>
  <c r="F762" i="31"/>
  <c r="H762" i="31" s="1"/>
  <c r="I762" i="31" s="1"/>
  <c r="E763" i="31"/>
  <c r="F763" i="31"/>
  <c r="H763" i="31" s="1"/>
  <c r="I763" i="31" s="1"/>
  <c r="E764" i="31"/>
  <c r="F764" i="31"/>
  <c r="H764" i="31" s="1"/>
  <c r="I764" i="31" s="1"/>
  <c r="E765" i="31"/>
  <c r="F765" i="31"/>
  <c r="H765" i="31" s="1"/>
  <c r="I765" i="31" s="1"/>
  <c r="E766" i="31"/>
  <c r="F766" i="31"/>
  <c r="H766" i="31" s="1"/>
  <c r="I766" i="31" s="1"/>
  <c r="E767" i="31"/>
  <c r="F767" i="31"/>
  <c r="H767" i="31" s="1"/>
  <c r="I767" i="31" s="1"/>
  <c r="E768" i="31"/>
  <c r="F768" i="31"/>
  <c r="H768" i="31" s="1"/>
  <c r="I768" i="31" s="1"/>
  <c r="E769" i="31"/>
  <c r="F769" i="31"/>
  <c r="H769" i="31" s="1"/>
  <c r="I769" i="31" s="1"/>
  <c r="E770" i="31"/>
  <c r="F770" i="31"/>
  <c r="G770" i="31" s="1"/>
  <c r="E771" i="31"/>
  <c r="F771" i="31"/>
  <c r="G771" i="31" s="1"/>
  <c r="E772" i="31"/>
  <c r="F772" i="31"/>
  <c r="G772" i="31" s="1"/>
  <c r="E773" i="31"/>
  <c r="F773" i="31"/>
  <c r="H773" i="31" s="1"/>
  <c r="I773" i="31" s="1"/>
  <c r="E774" i="31"/>
  <c r="F774" i="31"/>
  <c r="G774" i="31" s="1"/>
  <c r="E775" i="31"/>
  <c r="F775" i="31"/>
  <c r="G775" i="31" s="1"/>
  <c r="E776" i="31"/>
  <c r="F776" i="31"/>
  <c r="H776" i="31" s="1"/>
  <c r="I776" i="31" s="1"/>
  <c r="E777" i="31"/>
  <c r="F777" i="31"/>
  <c r="H777" i="31" s="1"/>
  <c r="I777" i="31" s="1"/>
  <c r="E778" i="31"/>
  <c r="F778" i="31"/>
  <c r="H778" i="31" s="1"/>
  <c r="I778" i="31" s="1"/>
  <c r="E779" i="31"/>
  <c r="F779" i="31"/>
  <c r="H779" i="31" s="1"/>
  <c r="I779" i="31" s="1"/>
  <c r="E780" i="31"/>
  <c r="F780" i="31"/>
  <c r="H780" i="31" s="1"/>
  <c r="I780" i="31" s="1"/>
  <c r="E781" i="31"/>
  <c r="F781" i="31"/>
  <c r="H781" i="31" s="1"/>
  <c r="I781" i="31" s="1"/>
  <c r="E782" i="31"/>
  <c r="F782" i="31"/>
  <c r="H782" i="31" s="1"/>
  <c r="I782" i="31" s="1"/>
  <c r="E783" i="31"/>
  <c r="F783" i="31"/>
  <c r="H783" i="31" s="1"/>
  <c r="I783" i="31" s="1"/>
  <c r="E784" i="31"/>
  <c r="F784" i="31"/>
  <c r="H784" i="31" s="1"/>
  <c r="I784" i="31" s="1"/>
  <c r="E785" i="31"/>
  <c r="F785" i="31"/>
  <c r="H785" i="31" s="1"/>
  <c r="I785" i="31" s="1"/>
  <c r="E786" i="31"/>
  <c r="F786" i="31"/>
  <c r="G786" i="31" s="1"/>
  <c r="E787" i="31"/>
  <c r="F787" i="31"/>
  <c r="H787" i="31" s="1"/>
  <c r="I787" i="31" s="1"/>
  <c r="E788" i="31"/>
  <c r="F788" i="31"/>
  <c r="G788" i="31" s="1"/>
  <c r="E789" i="31"/>
  <c r="F789" i="31"/>
  <c r="G789" i="31" s="1"/>
  <c r="E790" i="31"/>
  <c r="F790" i="31"/>
  <c r="G790" i="31" s="1"/>
  <c r="E791" i="31"/>
  <c r="F791" i="31"/>
  <c r="H791" i="31" s="1"/>
  <c r="I791" i="31" s="1"/>
  <c r="E792" i="31"/>
  <c r="F792" i="31"/>
  <c r="H792" i="31" s="1"/>
  <c r="I792" i="31" s="1"/>
  <c r="E793" i="31"/>
  <c r="F793" i="31"/>
  <c r="H793" i="31" s="1"/>
  <c r="I793" i="31" s="1"/>
  <c r="E794" i="31"/>
  <c r="F794" i="31"/>
  <c r="H794" i="31" s="1"/>
  <c r="I794" i="31" s="1"/>
  <c r="E795" i="31"/>
  <c r="F795" i="31"/>
  <c r="H795" i="31" s="1"/>
  <c r="I795" i="31" s="1"/>
  <c r="E796" i="31"/>
  <c r="F796" i="31"/>
  <c r="H796" i="31" s="1"/>
  <c r="I796" i="31" s="1"/>
  <c r="E797" i="31"/>
  <c r="F797" i="31"/>
  <c r="H797" i="31" s="1"/>
  <c r="I797" i="31" s="1"/>
  <c r="E798" i="31"/>
  <c r="F798" i="31"/>
  <c r="H798" i="31" s="1"/>
  <c r="I798" i="31" s="1"/>
  <c r="E799" i="31"/>
  <c r="F799" i="31"/>
  <c r="H799" i="31" s="1"/>
  <c r="I799" i="31" s="1"/>
  <c r="E800" i="31"/>
  <c r="F800" i="31"/>
  <c r="H800" i="31" s="1"/>
  <c r="I800" i="31" s="1"/>
  <c r="E801" i="31"/>
  <c r="F801" i="31"/>
  <c r="H801" i="31" s="1"/>
  <c r="I801" i="31" s="1"/>
  <c r="E802" i="31"/>
  <c r="F802" i="31"/>
  <c r="H802" i="31" s="1"/>
  <c r="I802" i="31" s="1"/>
  <c r="E803" i="31"/>
  <c r="F803" i="31"/>
  <c r="H803" i="31" s="1"/>
  <c r="I803" i="31" s="1"/>
  <c r="E804" i="31"/>
  <c r="F804" i="31"/>
  <c r="G804" i="31" s="1"/>
  <c r="E805" i="31"/>
  <c r="F805" i="31"/>
  <c r="G805" i="31" s="1"/>
  <c r="E806" i="31"/>
  <c r="F806" i="31"/>
  <c r="H806" i="31" s="1"/>
  <c r="I806" i="31" s="1"/>
  <c r="E807" i="31"/>
  <c r="F807" i="31"/>
  <c r="H807" i="31" s="1"/>
  <c r="I807" i="31" s="1"/>
  <c r="E808" i="31"/>
  <c r="F808" i="31"/>
  <c r="H808" i="31" s="1"/>
  <c r="I808" i="31" s="1"/>
  <c r="E809" i="31"/>
  <c r="F809" i="31"/>
  <c r="H809" i="31" s="1"/>
  <c r="I809" i="31" s="1"/>
  <c r="E810" i="31"/>
  <c r="F810" i="31"/>
  <c r="H810" i="31" s="1"/>
  <c r="I810" i="31" s="1"/>
  <c r="E811" i="31"/>
  <c r="F811" i="31"/>
  <c r="H811" i="31" s="1"/>
  <c r="I811" i="31" s="1"/>
  <c r="E812" i="31"/>
  <c r="F812" i="31"/>
  <c r="H812" i="31" s="1"/>
  <c r="I812" i="31" s="1"/>
  <c r="E813" i="31"/>
  <c r="F813" i="31"/>
  <c r="H813" i="31" s="1"/>
  <c r="I813" i="31" s="1"/>
  <c r="E814" i="31"/>
  <c r="F814" i="31"/>
  <c r="H814" i="31" s="1"/>
  <c r="I814" i="31" s="1"/>
  <c r="E815" i="31"/>
  <c r="F815" i="31"/>
  <c r="H815" i="31" s="1"/>
  <c r="I815" i="31" s="1"/>
  <c r="E816" i="31"/>
  <c r="F816" i="31"/>
  <c r="H816" i="31" s="1"/>
  <c r="I816" i="31" s="1"/>
  <c r="E817" i="31"/>
  <c r="F817" i="31"/>
  <c r="H817" i="31" s="1"/>
  <c r="I817" i="31" s="1"/>
  <c r="E818" i="31"/>
  <c r="F818" i="31"/>
  <c r="G818" i="31" s="1"/>
  <c r="E819" i="31"/>
  <c r="F819" i="31"/>
  <c r="G819" i="31" s="1"/>
  <c r="E820" i="31"/>
  <c r="F820" i="31"/>
  <c r="G820" i="31" s="1"/>
  <c r="E821" i="31"/>
  <c r="F821" i="31"/>
  <c r="H821" i="31" s="1"/>
  <c r="I821" i="31" s="1"/>
  <c r="E822" i="31"/>
  <c r="F822" i="31"/>
  <c r="H822" i="31" s="1"/>
  <c r="I822" i="31" s="1"/>
  <c r="E823" i="31"/>
  <c r="F823" i="31"/>
  <c r="G823" i="31" s="1"/>
  <c r="E824" i="31"/>
  <c r="F824" i="31"/>
  <c r="H824" i="31" s="1"/>
  <c r="I824" i="31" s="1"/>
  <c r="E825" i="31"/>
  <c r="F825" i="31"/>
  <c r="H825" i="31" s="1"/>
  <c r="I825" i="31" s="1"/>
  <c r="E826" i="31"/>
  <c r="F826" i="31"/>
  <c r="H826" i="31" s="1"/>
  <c r="I826" i="31" s="1"/>
  <c r="E827" i="31"/>
  <c r="F827" i="31"/>
  <c r="H827" i="31" s="1"/>
  <c r="I827" i="31" s="1"/>
  <c r="E828" i="31"/>
  <c r="F828" i="31"/>
  <c r="H828" i="31" s="1"/>
  <c r="I828" i="31" s="1"/>
  <c r="E829" i="31"/>
  <c r="F829" i="31"/>
  <c r="H829" i="31" s="1"/>
  <c r="I829" i="31" s="1"/>
  <c r="E830" i="31"/>
  <c r="F830" i="31"/>
  <c r="H830" i="31" s="1"/>
  <c r="I830" i="31" s="1"/>
  <c r="E831" i="31"/>
  <c r="F831" i="31"/>
  <c r="H831" i="31" s="1"/>
  <c r="I831" i="31" s="1"/>
  <c r="E832" i="31"/>
  <c r="F832" i="31"/>
  <c r="H832" i="31" s="1"/>
  <c r="I832" i="31" s="1"/>
  <c r="E833" i="31"/>
  <c r="F833" i="31"/>
  <c r="H833" i="31" s="1"/>
  <c r="I833" i="31" s="1"/>
  <c r="E834" i="31"/>
  <c r="F834" i="31"/>
  <c r="G834" i="31" s="1"/>
  <c r="E835" i="31"/>
  <c r="F835" i="31"/>
  <c r="G835" i="31" s="1"/>
  <c r="E836" i="31"/>
  <c r="F836" i="31"/>
  <c r="G836" i="31" s="1"/>
  <c r="E837" i="31"/>
  <c r="F837" i="31"/>
  <c r="H837" i="31" s="1"/>
  <c r="I837" i="31" s="1"/>
  <c r="E838" i="31"/>
  <c r="F838" i="31"/>
  <c r="G838" i="31" s="1"/>
  <c r="E839" i="31"/>
  <c r="F839" i="31"/>
  <c r="G839" i="31" s="1"/>
  <c r="E840" i="31"/>
  <c r="F840" i="31"/>
  <c r="H840" i="31" s="1"/>
  <c r="I840" i="31" s="1"/>
  <c r="E841" i="31"/>
  <c r="F841" i="31"/>
  <c r="H841" i="31" s="1"/>
  <c r="I841" i="31" s="1"/>
  <c r="E842" i="31"/>
  <c r="F842" i="31"/>
  <c r="H842" i="31" s="1"/>
  <c r="I842" i="31" s="1"/>
  <c r="E843" i="31"/>
  <c r="F843" i="31"/>
  <c r="H843" i="31" s="1"/>
  <c r="I843" i="31" s="1"/>
  <c r="E844" i="31"/>
  <c r="F844" i="31"/>
  <c r="H844" i="31" s="1"/>
  <c r="I844" i="31" s="1"/>
  <c r="E845" i="31"/>
  <c r="F845" i="31"/>
  <c r="H845" i="31" s="1"/>
  <c r="I845" i="31" s="1"/>
  <c r="E846" i="31"/>
  <c r="F846" i="31"/>
  <c r="H846" i="31" s="1"/>
  <c r="I846" i="31" s="1"/>
  <c r="E847" i="31"/>
  <c r="F847" i="31"/>
  <c r="H847" i="31" s="1"/>
  <c r="I847" i="31" s="1"/>
  <c r="E848" i="31"/>
  <c r="F848" i="31"/>
  <c r="H848" i="31" s="1"/>
  <c r="I848" i="31" s="1"/>
  <c r="E849" i="31"/>
  <c r="F849" i="31"/>
  <c r="H849" i="31" s="1"/>
  <c r="I849" i="31" s="1"/>
  <c r="E850" i="31"/>
  <c r="F850" i="31"/>
  <c r="H850" i="31" s="1"/>
  <c r="I850" i="31" s="1"/>
  <c r="E851" i="31"/>
  <c r="F851" i="31"/>
  <c r="G851" i="31" s="1"/>
  <c r="E852" i="31"/>
  <c r="F852" i="31"/>
  <c r="G852" i="31" s="1"/>
  <c r="E853" i="31"/>
  <c r="F853" i="31"/>
  <c r="H853" i="31" s="1"/>
  <c r="I853" i="31" s="1"/>
  <c r="E854" i="31"/>
  <c r="F854" i="31"/>
  <c r="G854" i="31" s="1"/>
  <c r="E855" i="31"/>
  <c r="F855" i="31"/>
  <c r="G855" i="31" s="1"/>
  <c r="E856" i="31"/>
  <c r="F856" i="31"/>
  <c r="H856" i="31" s="1"/>
  <c r="I856" i="31" s="1"/>
  <c r="E857" i="31"/>
  <c r="F857" i="31"/>
  <c r="H857" i="31" s="1"/>
  <c r="I857" i="31" s="1"/>
  <c r="E858" i="31"/>
  <c r="F858" i="31"/>
  <c r="H858" i="31" s="1"/>
  <c r="I858" i="31" s="1"/>
  <c r="E859" i="31"/>
  <c r="F859" i="31"/>
  <c r="H859" i="31" s="1"/>
  <c r="I859" i="31" s="1"/>
  <c r="E860" i="31"/>
  <c r="F860" i="31"/>
  <c r="H860" i="31" s="1"/>
  <c r="I860" i="31" s="1"/>
  <c r="E861" i="31"/>
  <c r="F861" i="31"/>
  <c r="H861" i="31" s="1"/>
  <c r="I861" i="31" s="1"/>
  <c r="E862" i="31"/>
  <c r="F862" i="31"/>
  <c r="H862" i="31" s="1"/>
  <c r="I862" i="31" s="1"/>
  <c r="E863" i="31"/>
  <c r="F863" i="31"/>
  <c r="H863" i="31" s="1"/>
  <c r="I863" i="31" s="1"/>
  <c r="E864" i="31"/>
  <c r="F864" i="31"/>
  <c r="H864" i="31" s="1"/>
  <c r="I864" i="31" s="1"/>
  <c r="E865" i="31"/>
  <c r="F865" i="31"/>
  <c r="H865" i="31" s="1"/>
  <c r="I865" i="31" s="1"/>
  <c r="E866" i="31"/>
  <c r="F866" i="31"/>
  <c r="G866" i="31" s="1"/>
  <c r="E867" i="31"/>
  <c r="F867" i="31"/>
  <c r="G867" i="31" s="1"/>
  <c r="E868" i="31"/>
  <c r="F868" i="31"/>
  <c r="G868" i="31" s="1"/>
  <c r="E869" i="31"/>
  <c r="F869" i="31"/>
  <c r="G869" i="31" s="1"/>
  <c r="E870" i="31"/>
  <c r="F870" i="31"/>
  <c r="H870" i="31" s="1"/>
  <c r="I870" i="31" s="1"/>
  <c r="E871" i="31"/>
  <c r="F871" i="31"/>
  <c r="H871" i="31" s="1"/>
  <c r="I871" i="31" s="1"/>
  <c r="E872" i="31"/>
  <c r="F872" i="31"/>
  <c r="H872" i="31" s="1"/>
  <c r="I872" i="31" s="1"/>
  <c r="E873" i="31"/>
  <c r="F873" i="31"/>
  <c r="H873" i="31" s="1"/>
  <c r="I873" i="31" s="1"/>
  <c r="E874" i="31"/>
  <c r="F874" i="31"/>
  <c r="H874" i="31" s="1"/>
  <c r="I874" i="31" s="1"/>
  <c r="E875" i="31"/>
  <c r="F875" i="31"/>
  <c r="H875" i="31" s="1"/>
  <c r="I875" i="31" s="1"/>
  <c r="E876" i="31"/>
  <c r="F876" i="31"/>
  <c r="H876" i="31" s="1"/>
  <c r="I876" i="31" s="1"/>
  <c r="E877" i="31"/>
  <c r="F877" i="31"/>
  <c r="H877" i="31" s="1"/>
  <c r="I877" i="31" s="1"/>
  <c r="E878" i="31"/>
  <c r="F878" i="31"/>
  <c r="H878" i="31" s="1"/>
  <c r="I878" i="31" s="1"/>
  <c r="E879" i="31"/>
  <c r="F879" i="31"/>
  <c r="H879" i="31" s="1"/>
  <c r="I879" i="31" s="1"/>
  <c r="E880" i="31"/>
  <c r="F880" i="31"/>
  <c r="H880" i="31" s="1"/>
  <c r="I880" i="31" s="1"/>
  <c r="E881" i="31"/>
  <c r="F881" i="31"/>
  <c r="H881" i="31" s="1"/>
  <c r="I881" i="31" s="1"/>
  <c r="E882" i="31"/>
  <c r="F882" i="31"/>
  <c r="G882" i="31" s="1"/>
  <c r="E883" i="31"/>
  <c r="F883" i="31"/>
  <c r="G883" i="31" s="1"/>
  <c r="E884" i="31"/>
  <c r="F884" i="31"/>
  <c r="G884" i="31" s="1"/>
  <c r="E885" i="31"/>
  <c r="F885" i="31"/>
  <c r="G885" i="31" s="1"/>
  <c r="E886" i="31"/>
  <c r="F886" i="31"/>
  <c r="H886" i="31" s="1"/>
  <c r="I886" i="31" s="1"/>
  <c r="E887" i="31"/>
  <c r="F887" i="31"/>
  <c r="G887" i="31" s="1"/>
  <c r="E888" i="31"/>
  <c r="F888" i="31"/>
  <c r="H888" i="31" s="1"/>
  <c r="I888" i="31" s="1"/>
  <c r="E889" i="31"/>
  <c r="F889" i="31"/>
  <c r="H889" i="31" s="1"/>
  <c r="I889" i="31" s="1"/>
  <c r="E890" i="31"/>
  <c r="F890" i="31"/>
  <c r="H890" i="31" s="1"/>
  <c r="I890" i="31" s="1"/>
  <c r="E891" i="31"/>
  <c r="F891" i="31"/>
  <c r="H891" i="31" s="1"/>
  <c r="I891" i="31" s="1"/>
  <c r="E892" i="31"/>
  <c r="F892" i="31"/>
  <c r="H892" i="31" s="1"/>
  <c r="I892" i="31" s="1"/>
  <c r="E893" i="31"/>
  <c r="F893" i="31"/>
  <c r="H893" i="31" s="1"/>
  <c r="I893" i="31" s="1"/>
  <c r="E894" i="31"/>
  <c r="F894" i="31"/>
  <c r="H894" i="31" s="1"/>
  <c r="I894" i="31" s="1"/>
  <c r="E895" i="31"/>
  <c r="F895" i="31"/>
  <c r="H895" i="31" s="1"/>
  <c r="I895" i="31" s="1"/>
  <c r="E896" i="31"/>
  <c r="F896" i="31"/>
  <c r="H896" i="31" s="1"/>
  <c r="I896" i="31" s="1"/>
  <c r="E897" i="31"/>
  <c r="F897" i="31"/>
  <c r="H897" i="31" s="1"/>
  <c r="I897" i="31" s="1"/>
  <c r="E898" i="31"/>
  <c r="F898" i="31"/>
  <c r="G898" i="31" s="1"/>
  <c r="E899" i="31"/>
  <c r="F899" i="31"/>
  <c r="G899" i="31" s="1"/>
  <c r="E900" i="31"/>
  <c r="F900" i="31"/>
  <c r="G900" i="31" s="1"/>
  <c r="E901" i="31"/>
  <c r="F901" i="31"/>
  <c r="H901" i="31" s="1"/>
  <c r="I901" i="31" s="1"/>
  <c r="E902" i="31"/>
  <c r="F902" i="31"/>
  <c r="G902" i="31" s="1"/>
  <c r="E903" i="31"/>
  <c r="F903" i="31"/>
  <c r="G903" i="31" s="1"/>
  <c r="E904" i="31"/>
  <c r="F904" i="31"/>
  <c r="H904" i="31" s="1"/>
  <c r="I904" i="31" s="1"/>
  <c r="E905" i="31"/>
  <c r="F905" i="31"/>
  <c r="H905" i="31" s="1"/>
  <c r="I905" i="31" s="1"/>
  <c r="E906" i="31"/>
  <c r="F906" i="31"/>
  <c r="H906" i="31" s="1"/>
  <c r="I906" i="31" s="1"/>
  <c r="E907" i="31"/>
  <c r="F907" i="31"/>
  <c r="H907" i="31" s="1"/>
  <c r="I907" i="31" s="1"/>
  <c r="E908" i="31"/>
  <c r="F908" i="31"/>
  <c r="H908" i="31" s="1"/>
  <c r="I908" i="31" s="1"/>
  <c r="E909" i="31"/>
  <c r="F909" i="31"/>
  <c r="H909" i="31" s="1"/>
  <c r="I909" i="31" s="1"/>
  <c r="E910" i="31"/>
  <c r="F910" i="31"/>
  <c r="H910" i="31" s="1"/>
  <c r="I910" i="31" s="1"/>
  <c r="E911" i="31"/>
  <c r="F911" i="31"/>
  <c r="H911" i="31" s="1"/>
  <c r="I911" i="31" s="1"/>
  <c r="E912" i="31"/>
  <c r="F912" i="31"/>
  <c r="H912" i="31" s="1"/>
  <c r="I912" i="31" s="1"/>
  <c r="E913" i="31"/>
  <c r="F913" i="31"/>
  <c r="H913" i="31" s="1"/>
  <c r="I913" i="31" s="1"/>
  <c r="E914" i="31"/>
  <c r="F914" i="31"/>
  <c r="G914" i="31" s="1"/>
  <c r="E915" i="31"/>
  <c r="F915" i="31"/>
  <c r="H915" i="31" s="1"/>
  <c r="I915" i="31" s="1"/>
  <c r="E916" i="31"/>
  <c r="F916" i="31"/>
  <c r="G916" i="31" s="1"/>
  <c r="E917" i="31"/>
  <c r="F917" i="31"/>
  <c r="G917" i="31" s="1"/>
  <c r="E918" i="31"/>
  <c r="F918" i="31"/>
  <c r="G918" i="31" s="1"/>
  <c r="E919" i="31"/>
  <c r="F919" i="31"/>
  <c r="H919" i="31" s="1"/>
  <c r="I919" i="31" s="1"/>
  <c r="E920" i="31"/>
  <c r="F920" i="31"/>
  <c r="H920" i="31" s="1"/>
  <c r="I920" i="31" s="1"/>
  <c r="E921" i="31"/>
  <c r="F921" i="31"/>
  <c r="H921" i="31" s="1"/>
  <c r="I921" i="31" s="1"/>
  <c r="E922" i="31"/>
  <c r="F922" i="31"/>
  <c r="H922" i="31" s="1"/>
  <c r="I922" i="31" s="1"/>
  <c r="E923" i="31"/>
  <c r="F923" i="31"/>
  <c r="H923" i="31" s="1"/>
  <c r="I923" i="31" s="1"/>
  <c r="E924" i="31"/>
  <c r="F924" i="31"/>
  <c r="H924" i="31" s="1"/>
  <c r="I924" i="31" s="1"/>
  <c r="E925" i="31"/>
  <c r="F925" i="31"/>
  <c r="H925" i="31" s="1"/>
  <c r="I925" i="31" s="1"/>
  <c r="E926" i="31"/>
  <c r="F926" i="31"/>
  <c r="H926" i="31" s="1"/>
  <c r="I926" i="31" s="1"/>
  <c r="H516" i="29" l="1"/>
  <c r="I516" i="29" s="1"/>
  <c r="G882" i="29"/>
  <c r="H724" i="29"/>
  <c r="I724" i="29" s="1"/>
  <c r="G653" i="29"/>
  <c r="H376" i="29"/>
  <c r="I376" i="29" s="1"/>
  <c r="H740" i="29"/>
  <c r="I740" i="29" s="1"/>
  <c r="H495" i="29"/>
  <c r="I495" i="29" s="1"/>
  <c r="H888" i="29"/>
  <c r="I888" i="29" s="1"/>
  <c r="G843" i="29"/>
  <c r="G424" i="29"/>
  <c r="H917" i="29"/>
  <c r="I917" i="29" s="1"/>
  <c r="H360" i="29"/>
  <c r="I360" i="29" s="1"/>
  <c r="H241" i="29"/>
  <c r="I241" i="29" s="1"/>
  <c r="G444" i="29"/>
  <c r="H905" i="29"/>
  <c r="I905" i="29" s="1"/>
  <c r="G898" i="29"/>
  <c r="G814" i="29"/>
  <c r="H852" i="29"/>
  <c r="I852" i="29" s="1"/>
  <c r="G431" i="29"/>
  <c r="G756" i="29"/>
  <c r="G733" i="29"/>
  <c r="G250" i="29"/>
  <c r="G543" i="29"/>
  <c r="H218" i="29"/>
  <c r="I218" i="29" s="1"/>
  <c r="H921" i="29"/>
  <c r="I921" i="29" s="1"/>
  <c r="G225" i="29"/>
  <c r="G914" i="29"/>
  <c r="G713" i="29"/>
  <c r="G388" i="29"/>
  <c r="H829" i="29"/>
  <c r="I829" i="29" s="1"/>
  <c r="H669" i="29"/>
  <c r="I669" i="29" s="1"/>
  <c r="H344" i="29"/>
  <c r="I344" i="29" s="1"/>
  <c r="H916" i="29"/>
  <c r="I916" i="29" s="1"/>
  <c r="G873" i="29"/>
  <c r="G804" i="29"/>
  <c r="G682" i="29"/>
  <c r="H357" i="29"/>
  <c r="I357" i="29" s="1"/>
  <c r="G620" i="29"/>
  <c r="H504" i="29"/>
  <c r="I504" i="29" s="1"/>
  <c r="G490" i="29"/>
  <c r="G378" i="29"/>
  <c r="G687" i="29"/>
  <c r="G571" i="29"/>
  <c r="G362" i="29"/>
  <c r="G285" i="29"/>
  <c r="H769" i="29"/>
  <c r="I769" i="29" s="1"/>
  <c r="G755" i="29"/>
  <c r="G443" i="29"/>
  <c r="H420" i="29"/>
  <c r="I420" i="29" s="1"/>
  <c r="G346" i="29"/>
  <c r="G777" i="29"/>
  <c r="G533" i="29"/>
  <c r="G476" i="29"/>
  <c r="G356" i="29"/>
  <c r="G681" i="29"/>
  <c r="G631" i="29"/>
  <c r="H738" i="29"/>
  <c r="I738" i="29" s="1"/>
  <c r="G532" i="29"/>
  <c r="G526" i="29"/>
  <c r="H658" i="29"/>
  <c r="I658" i="29" s="1"/>
  <c r="H325" i="29"/>
  <c r="I325" i="29" s="1"/>
  <c r="G879" i="29"/>
  <c r="G568" i="29"/>
  <c r="G538" i="29"/>
  <c r="G423" i="29"/>
  <c r="G416" i="29"/>
  <c r="H213" i="29"/>
  <c r="I213" i="29" s="1"/>
  <c r="G828" i="29"/>
  <c r="G422" i="29"/>
  <c r="G401" i="29"/>
  <c r="G375" i="29"/>
  <c r="G240" i="29"/>
  <c r="G508" i="29"/>
  <c r="G841" i="29"/>
  <c r="G911" i="29"/>
  <c r="H869" i="29"/>
  <c r="I869" i="29" s="1"/>
  <c r="G640" i="29"/>
  <c r="G611" i="29"/>
  <c r="G486" i="29"/>
  <c r="H392" i="29"/>
  <c r="I392" i="29" s="1"/>
  <c r="G217" i="29"/>
  <c r="G868" i="29"/>
  <c r="G830" i="29"/>
  <c r="G793" i="29"/>
  <c r="H725" i="29"/>
  <c r="I725" i="29" s="1"/>
  <c r="H660" i="29"/>
  <c r="I660" i="29" s="1"/>
  <c r="H639" i="29"/>
  <c r="I639" i="29" s="1"/>
  <c r="G335" i="29"/>
  <c r="H289" i="29"/>
  <c r="I289" i="29" s="1"/>
  <c r="H539" i="29"/>
  <c r="I539" i="29" s="1"/>
  <c r="H885" i="29"/>
  <c r="I885" i="29" s="1"/>
  <c r="G642" i="29"/>
  <c r="G602" i="29"/>
  <c r="G390" i="29"/>
  <c r="G329" i="29"/>
  <c r="G315" i="29"/>
  <c r="G269" i="29"/>
  <c r="G234" i="29"/>
  <c r="G221" i="29"/>
  <c r="G845" i="29"/>
  <c r="G512" i="29"/>
  <c r="G497" i="29"/>
  <c r="G471" i="29"/>
  <c r="H408" i="29"/>
  <c r="I408" i="29" s="1"/>
  <c r="G389" i="29"/>
  <c r="G884" i="29"/>
  <c r="G718" i="29"/>
  <c r="G711" i="29"/>
  <c r="G342" i="29"/>
  <c r="G320" i="29"/>
  <c r="G809" i="29"/>
  <c r="G824" i="29"/>
  <c r="G688" i="29"/>
  <c r="H619" i="29"/>
  <c r="I619" i="29" s="1"/>
  <c r="G525" i="29"/>
  <c r="G926" i="29"/>
  <c r="H850" i="29"/>
  <c r="I850" i="29" s="1"/>
  <c r="H757" i="29"/>
  <c r="I757" i="29" s="1"/>
  <c r="G750" i="29"/>
  <c r="G577" i="29"/>
  <c r="G564" i="29"/>
  <c r="G517" i="29"/>
  <c r="G412" i="29"/>
  <c r="G463" i="29"/>
  <c r="H770" i="29"/>
  <c r="I770" i="29" s="1"/>
  <c r="G591" i="29"/>
  <c r="G488" i="29"/>
  <c r="G233" i="29"/>
  <c r="G856" i="29"/>
  <c r="H834" i="29"/>
  <c r="I834" i="29" s="1"/>
  <c r="H590" i="29"/>
  <c r="I590" i="29" s="1"/>
  <c r="G366" i="29"/>
  <c r="G448" i="29"/>
  <c r="H692" i="29"/>
  <c r="I692" i="29" s="1"/>
  <c r="G287" i="29"/>
  <c r="G256" i="29"/>
  <c r="H861" i="29"/>
  <c r="I861" i="29" s="1"/>
  <c r="H630" i="29"/>
  <c r="I630" i="29" s="1"/>
  <c r="H610" i="29"/>
  <c r="I610" i="29" s="1"/>
  <c r="G547" i="29"/>
  <c r="G458" i="29"/>
  <c r="G411" i="29"/>
  <c r="G324" i="29"/>
  <c r="G278" i="29"/>
  <c r="H248" i="29"/>
  <c r="I248" i="29" s="1"/>
  <c r="G216" i="29"/>
  <c r="G327" i="29"/>
  <c r="G906" i="29"/>
  <c r="G726" i="29"/>
  <c r="H706" i="29"/>
  <c r="I706" i="29" s="1"/>
  <c r="G554" i="29"/>
  <c r="H479" i="29"/>
  <c r="I479" i="29" s="1"/>
  <c r="H436" i="29"/>
  <c r="I436" i="29" s="1"/>
  <c r="H404" i="29"/>
  <c r="I404" i="29" s="1"/>
  <c r="G364" i="29"/>
  <c r="G446" i="29"/>
  <c r="G894" i="29"/>
  <c r="H786" i="29"/>
  <c r="I786" i="29" s="1"/>
  <c r="G762" i="29"/>
  <c r="H701" i="29"/>
  <c r="I701" i="29" s="1"/>
  <c r="G645" i="29"/>
  <c r="G578" i="29"/>
  <c r="G540" i="29"/>
  <c r="G529" i="29"/>
  <c r="G491" i="29"/>
  <c r="G485" i="29"/>
  <c r="G459" i="29"/>
  <c r="G372" i="29"/>
  <c r="G249" i="29"/>
  <c r="G236" i="29"/>
  <c r="G219" i="29"/>
  <c r="G811" i="29"/>
  <c r="G744" i="29"/>
  <c r="G664" i="29"/>
  <c r="G652" i="29"/>
  <c r="G603" i="29"/>
  <c r="G559" i="29"/>
  <c r="G546" i="29"/>
  <c r="G432" i="29"/>
  <c r="G224" i="29"/>
  <c r="G848" i="29"/>
  <c r="G779" i="29"/>
  <c r="G621" i="29"/>
  <c r="G553" i="29"/>
  <c r="G496" i="29"/>
  <c r="H484" i="29"/>
  <c r="I484" i="29" s="1"/>
  <c r="G413" i="29"/>
  <c r="G358" i="29"/>
  <c r="G646" i="29"/>
  <c r="G617" i="29"/>
  <c r="G237" i="29"/>
  <c r="G720" i="29"/>
  <c r="G597" i="29"/>
  <c r="G565" i="29"/>
  <c r="G351" i="29"/>
  <c r="H857" i="29"/>
  <c r="I857" i="29" s="1"/>
  <c r="G791" i="29"/>
  <c r="H772" i="29"/>
  <c r="I772" i="29" s="1"/>
  <c r="G742" i="29"/>
  <c r="H674" i="29"/>
  <c r="I674" i="29" s="1"/>
  <c r="H614" i="29"/>
  <c r="I614" i="29" s="1"/>
  <c r="G596" i="29"/>
  <c r="G558" i="29"/>
  <c r="G395" i="29"/>
  <c r="G331" i="29"/>
  <c r="G304" i="29"/>
  <c r="G252" i="29"/>
  <c r="G212" i="29"/>
  <c r="G204" i="29"/>
  <c r="H881" i="29"/>
  <c r="I881" i="29" s="1"/>
  <c r="G863" i="29"/>
  <c r="G822" i="29"/>
  <c r="G730" i="29"/>
  <c r="G719" i="29"/>
  <c r="G686" i="29"/>
  <c r="H582" i="29"/>
  <c r="I582" i="29" s="1"/>
  <c r="G576" i="29"/>
  <c r="G489" i="29"/>
  <c r="G477" i="29"/>
  <c r="H456" i="29"/>
  <c r="I456" i="29" s="1"/>
  <c r="G407" i="29"/>
  <c r="G394" i="29"/>
  <c r="G330" i="29"/>
  <c r="G235" i="29"/>
  <c r="G846" i="29"/>
  <c r="H925" i="29"/>
  <c r="I925" i="29" s="1"/>
  <c r="H273" i="29"/>
  <c r="I273" i="29" s="1"/>
  <c r="H909" i="29"/>
  <c r="I909" i="29" s="1"/>
  <c r="G844" i="29"/>
  <c r="G507" i="29"/>
  <c r="G400" i="29"/>
  <c r="G343" i="29"/>
  <c r="G310" i="29"/>
  <c r="G228" i="29"/>
  <c r="H837" i="29"/>
  <c r="I837" i="29" s="1"/>
  <c r="G808" i="29"/>
  <c r="H789" i="29"/>
  <c r="I789" i="29" s="1"/>
  <c r="G782" i="29"/>
  <c r="H765" i="29"/>
  <c r="I765" i="29" s="1"/>
  <c r="H685" i="29"/>
  <c r="I685" i="29" s="1"/>
  <c r="G637" i="29"/>
  <c r="H624" i="29"/>
  <c r="I624" i="29" s="1"/>
  <c r="G600" i="29"/>
  <c r="G575" i="29"/>
  <c r="G406" i="29"/>
  <c r="H399" i="29"/>
  <c r="I399" i="29" s="1"/>
  <c r="G381" i="29"/>
  <c r="G294" i="29"/>
  <c r="G203" i="29"/>
  <c r="G890" i="29"/>
  <c r="G880" i="29"/>
  <c r="G794" i="29"/>
  <c r="G536" i="29"/>
  <c r="G506" i="29"/>
  <c r="G468" i="29"/>
  <c r="G348" i="29"/>
  <c r="H264" i="29"/>
  <c r="I264" i="29" s="1"/>
  <c r="G535" i="29"/>
  <c r="G220" i="29"/>
  <c r="G214" i="29"/>
  <c r="G908" i="29"/>
  <c r="H836" i="29"/>
  <c r="I836" i="29" s="1"/>
  <c r="H825" i="29"/>
  <c r="I825" i="29" s="1"/>
  <c r="H781" i="29"/>
  <c r="I781" i="29" s="1"/>
  <c r="G776" i="29"/>
  <c r="G752" i="29"/>
  <c r="H689" i="29"/>
  <c r="I689" i="29" s="1"/>
  <c r="G679" i="29"/>
  <c r="G654" i="29"/>
  <c r="H629" i="29"/>
  <c r="I629" i="29" s="1"/>
  <c r="H599" i="29"/>
  <c r="I599" i="29" s="1"/>
  <c r="G454" i="29"/>
  <c r="H440" i="29"/>
  <c r="I440" i="29" s="1"/>
  <c r="G367" i="29"/>
  <c r="H341" i="29"/>
  <c r="I341" i="29" s="1"/>
  <c r="H321" i="29"/>
  <c r="I321" i="29" s="1"/>
  <c r="G695" i="29"/>
  <c r="G592" i="29"/>
  <c r="G896" i="29"/>
  <c r="H889" i="29"/>
  <c r="I889" i="29" s="1"/>
  <c r="G842" i="29"/>
  <c r="G453" i="29"/>
  <c r="G271" i="29"/>
  <c r="G244" i="29"/>
  <c r="H893" i="29"/>
  <c r="I893" i="29" s="1"/>
  <c r="H722" i="29"/>
  <c r="I722" i="29" s="1"/>
  <c r="H717" i="29"/>
  <c r="I717" i="29" s="1"/>
  <c r="G904" i="29"/>
  <c r="G851" i="29"/>
  <c r="G816" i="29"/>
  <c r="G810" i="29"/>
  <c r="H805" i="29"/>
  <c r="I805" i="29" s="1"/>
  <c r="H785" i="29"/>
  <c r="I785" i="29" s="1"/>
  <c r="G771" i="29"/>
  <c r="G766" i="29"/>
  <c r="G761" i="29"/>
  <c r="G751" i="29"/>
  <c r="H741" i="29"/>
  <c r="I741" i="29" s="1"/>
  <c r="G732" i="29"/>
  <c r="G727" i="29"/>
  <c r="G702" i="29"/>
  <c r="G678" i="29"/>
  <c r="G641" i="29"/>
  <c r="G607" i="29"/>
  <c r="G545" i="29"/>
  <c r="G509" i="29"/>
  <c r="G377" i="29"/>
  <c r="G345" i="29"/>
  <c r="G340" i="29"/>
  <c r="H328" i="29"/>
  <c r="I328" i="29" s="1"/>
  <c r="G301" i="29"/>
  <c r="G284" i="29"/>
  <c r="G268" i="29"/>
  <c r="G253" i="29"/>
  <c r="H232" i="29"/>
  <c r="I232" i="29" s="1"/>
  <c r="G211" i="29"/>
  <c r="G800" i="29"/>
  <c r="G712" i="29"/>
  <c r="G707" i="29"/>
  <c r="G566" i="29"/>
  <c r="G560" i="29"/>
  <c r="G550" i="29"/>
  <c r="G478" i="29"/>
  <c r="G473" i="29"/>
  <c r="G445" i="29"/>
  <c r="G429" i="29"/>
  <c r="G317" i="29"/>
  <c r="G205" i="29"/>
  <c r="G736" i="29"/>
  <c r="G586" i="29"/>
  <c r="H580" i="29"/>
  <c r="I580" i="29" s="1"/>
  <c r="G555" i="29"/>
  <c r="G524" i="29"/>
  <c r="H518" i="29"/>
  <c r="I518" i="29" s="1"/>
  <c r="G493" i="29"/>
  <c r="H472" i="29"/>
  <c r="I472" i="29" s="1"/>
  <c r="G397" i="29"/>
  <c r="G333" i="29"/>
  <c r="H305" i="29"/>
  <c r="I305" i="29" s="1"/>
  <c r="H257" i="29"/>
  <c r="I257" i="29" s="1"/>
  <c r="G860" i="29"/>
  <c r="G912" i="29"/>
  <c r="G902" i="29"/>
  <c r="H897" i="29"/>
  <c r="I897" i="29" s="1"/>
  <c r="G883" i="29"/>
  <c r="G878" i="29"/>
  <c r="G864" i="29"/>
  <c r="G854" i="29"/>
  <c r="G820" i="29"/>
  <c r="G775" i="29"/>
  <c r="G760" i="29"/>
  <c r="G745" i="29"/>
  <c r="G735" i="29"/>
  <c r="G716" i="29"/>
  <c r="H677" i="29"/>
  <c r="I677" i="29" s="1"/>
  <c r="G663" i="29"/>
  <c r="H648" i="29"/>
  <c r="I648" i="29" s="1"/>
  <c r="G635" i="29"/>
  <c r="G615" i="29"/>
  <c r="G570" i="29"/>
  <c r="G549" i="29"/>
  <c r="G534" i="29"/>
  <c r="G513" i="29"/>
  <c r="G461" i="29"/>
  <c r="G439" i="29"/>
  <c r="G433" i="29"/>
  <c r="G417" i="29"/>
  <c r="G365" i="29"/>
  <c r="G349" i="29"/>
  <c r="G332" i="29"/>
  <c r="G697" i="29"/>
  <c r="G887" i="29"/>
  <c r="G839" i="29"/>
  <c r="H813" i="29"/>
  <c r="I813" i="29" s="1"/>
  <c r="H788" i="29"/>
  <c r="I788" i="29" s="1"/>
  <c r="G784" i="29"/>
  <c r="H754" i="29"/>
  <c r="I754" i="29" s="1"/>
  <c r="H749" i="29"/>
  <c r="I749" i="29" s="1"/>
  <c r="H729" i="29"/>
  <c r="I729" i="29" s="1"/>
  <c r="G696" i="29"/>
  <c r="G667" i="29"/>
  <c r="H589" i="29"/>
  <c r="I589" i="29" s="1"/>
  <c r="G523" i="29"/>
  <c r="G503" i="29"/>
  <c r="G455" i="29"/>
  <c r="G391" i="29"/>
  <c r="H337" i="29"/>
  <c r="I337" i="29" s="1"/>
  <c r="G299" i="29"/>
  <c r="H293" i="29"/>
  <c r="I293" i="29" s="1"/>
  <c r="G283" i="29"/>
  <c r="H277" i="29"/>
  <c r="I277" i="29" s="1"/>
  <c r="G267" i="29"/>
  <c r="G262" i="29"/>
  <c r="H209" i="29"/>
  <c r="I209" i="29" s="1"/>
  <c r="G840" i="29"/>
  <c r="H920" i="29"/>
  <c r="I920" i="29" s="1"/>
  <c r="G891" i="29"/>
  <c r="G886" i="29"/>
  <c r="H877" i="29"/>
  <c r="I877" i="29" s="1"/>
  <c r="H872" i="29"/>
  <c r="I872" i="29" s="1"/>
  <c r="G858" i="29"/>
  <c r="H818" i="29"/>
  <c r="I818" i="29" s="1"/>
  <c r="G798" i="29"/>
  <c r="G778" i="29"/>
  <c r="H773" i="29"/>
  <c r="I773" i="29" s="1"/>
  <c r="G759" i="29"/>
  <c r="G734" i="29"/>
  <c r="H690" i="29"/>
  <c r="I690" i="29" s="1"/>
  <c r="G672" i="29"/>
  <c r="H643" i="29"/>
  <c r="I643" i="29" s="1"/>
  <c r="H594" i="29"/>
  <c r="I594" i="29" s="1"/>
  <c r="G584" i="29"/>
  <c r="H579" i="29"/>
  <c r="I579" i="29" s="1"/>
  <c r="H548" i="29"/>
  <c r="I548" i="29" s="1"/>
  <c r="G522" i="29"/>
  <c r="H502" i="29"/>
  <c r="I502" i="29" s="1"/>
  <c r="G487" i="29"/>
  <c r="G482" i="29"/>
  <c r="G438" i="29"/>
  <c r="G427" i="29"/>
  <c r="G386" i="29"/>
  <c r="G359" i="29"/>
  <c r="G326" i="29"/>
  <c r="H309" i="29"/>
  <c r="I309" i="29" s="1"/>
  <c r="G288" i="29"/>
  <c r="G272" i="29"/>
  <c r="H261" i="29"/>
  <c r="I261" i="29" s="1"/>
  <c r="G251" i="29"/>
  <c r="G246" i="29"/>
  <c r="G230" i="29"/>
  <c r="H797" i="29"/>
  <c r="I797" i="29" s="1"/>
  <c r="G783" i="29"/>
  <c r="G758" i="29"/>
  <c r="G714" i="29"/>
  <c r="H676" i="29"/>
  <c r="I676" i="29" s="1"/>
  <c r="G666" i="29"/>
  <c r="H661" i="29"/>
  <c r="I661" i="29" s="1"/>
  <c r="H647" i="29"/>
  <c r="I647" i="29" s="1"/>
  <c r="G385" i="29"/>
  <c r="G369" i="29"/>
  <c r="G353" i="29"/>
  <c r="H298" i="29"/>
  <c r="I298" i="29" s="1"/>
  <c r="H282" i="29"/>
  <c r="I282" i="29" s="1"/>
  <c r="H266" i="29"/>
  <c r="I266" i="29" s="1"/>
  <c r="H245" i="29"/>
  <c r="I245" i="29" s="1"/>
  <c r="H229" i="29"/>
  <c r="I229" i="29" s="1"/>
  <c r="G910" i="29"/>
  <c r="H709" i="29"/>
  <c r="I709" i="29" s="1"/>
  <c r="G671" i="29"/>
  <c r="G511" i="29"/>
  <c r="G442" i="29"/>
  <c r="G437" i="29"/>
  <c r="G426" i="29"/>
  <c r="G410" i="29"/>
  <c r="G405" i="29"/>
  <c r="G314" i="29"/>
  <c r="G202" i="29"/>
  <c r="G792" i="29"/>
  <c r="G699" i="29"/>
  <c r="G656" i="29"/>
  <c r="G651" i="29"/>
  <c r="G609" i="29"/>
  <c r="G598" i="29"/>
  <c r="G557" i="29"/>
  <c r="G527" i="29"/>
  <c r="G480" i="29"/>
  <c r="G415" i="29"/>
  <c r="G379" i="29"/>
  <c r="G374" i="29"/>
  <c r="G363" i="29"/>
  <c r="G347" i="29"/>
  <c r="G336" i="29"/>
  <c r="G303" i="29"/>
  <c r="G255" i="29"/>
  <c r="G208" i="29"/>
  <c r="G743" i="29"/>
  <c r="G900" i="29"/>
  <c r="G807" i="29"/>
  <c r="G802" i="29"/>
  <c r="G704" i="29"/>
  <c r="G680" i="29"/>
  <c r="G638" i="29"/>
  <c r="G628" i="29"/>
  <c r="G618" i="29"/>
  <c r="G613" i="29"/>
  <c r="G573" i="29"/>
  <c r="G562" i="29"/>
  <c r="G541" i="29"/>
  <c r="G475" i="29"/>
  <c r="G470" i="29"/>
  <c r="G464" i="29"/>
  <c r="G447" i="29"/>
  <c r="G384" i="29"/>
  <c r="G368" i="29"/>
  <c r="G352" i="29"/>
  <c r="G292" i="29"/>
  <c r="G276" i="29"/>
  <c r="G239" i="29"/>
  <c r="G223" i="29"/>
  <c r="G924" i="29"/>
  <c r="G862" i="29"/>
  <c r="G768" i="29"/>
  <c r="G623" i="29"/>
  <c r="G866" i="29"/>
  <c r="G832" i="29"/>
  <c r="G806" i="29"/>
  <c r="G767" i="29"/>
  <c r="G748" i="29"/>
  <c r="G728" i="29"/>
  <c r="H708" i="29"/>
  <c r="I708" i="29" s="1"/>
  <c r="G703" i="29"/>
  <c r="G698" i="29"/>
  <c r="H693" i="29"/>
  <c r="I693" i="29" s="1"/>
  <c r="G670" i="29"/>
  <c r="G665" i="29"/>
  <c r="G655" i="29"/>
  <c r="G650" i="29"/>
  <c r="G632" i="29"/>
  <c r="H627" i="29"/>
  <c r="I627" i="29" s="1"/>
  <c r="G622" i="29"/>
  <c r="G608" i="29"/>
  <c r="H587" i="29"/>
  <c r="I587" i="29" s="1"/>
  <c r="G572" i="29"/>
  <c r="G556" i="29"/>
  <c r="G531" i="29"/>
  <c r="H520" i="29"/>
  <c r="I520" i="29" s="1"/>
  <c r="H500" i="29"/>
  <c r="I500" i="29" s="1"/>
  <c r="G469" i="29"/>
  <c r="H452" i="29"/>
  <c r="I452" i="29" s="1"/>
  <c r="G441" i="29"/>
  <c r="H383" i="29"/>
  <c r="I383" i="29" s="1"/>
  <c r="G373" i="29"/>
  <c r="G319" i="29"/>
  <c r="G313" i="29"/>
  <c r="G308" i="29"/>
  <c r="G297" i="29"/>
  <c r="G281" i="29"/>
  <c r="G265" i="29"/>
  <c r="G260" i="29"/>
  <c r="G207" i="29"/>
  <c r="G201" i="29"/>
  <c r="G787" i="29"/>
  <c r="G918" i="29"/>
  <c r="H865" i="29"/>
  <c r="I865" i="29" s="1"/>
  <c r="G826" i="29"/>
  <c r="G612" i="29"/>
  <c r="G474" i="29"/>
  <c r="H312" i="29"/>
  <c r="I312" i="29" s="1"/>
  <c r="H296" i="29"/>
  <c r="I296" i="29" s="1"/>
  <c r="H280" i="29"/>
  <c r="I280" i="29" s="1"/>
  <c r="H290" i="29"/>
  <c r="I290" i="29" s="1"/>
  <c r="G290" i="29"/>
  <c r="G899" i="29"/>
  <c r="G831" i="29"/>
  <c r="H801" i="29"/>
  <c r="I801" i="29" s="1"/>
  <c r="G514" i="29"/>
  <c r="H514" i="29"/>
  <c r="I514" i="29" s="1"/>
  <c r="G907" i="29"/>
  <c r="G903" i="29"/>
  <c r="G827" i="29"/>
  <c r="G823" i="29"/>
  <c r="G774" i="29"/>
  <c r="H604" i="29"/>
  <c r="I604" i="29" s="1"/>
  <c r="G604" i="29"/>
  <c r="G382" i="29"/>
  <c r="G819" i="29"/>
  <c r="G915" i="29"/>
  <c r="G835" i="29"/>
  <c r="G747" i="29"/>
  <c r="G675" i="29"/>
  <c r="G544" i="29"/>
  <c r="G923" i="29"/>
  <c r="G919" i="29"/>
  <c r="G847" i="29"/>
  <c r="H817" i="29"/>
  <c r="I817" i="29" s="1"/>
  <c r="H737" i="29"/>
  <c r="I737" i="29" s="1"/>
  <c r="G715" i="29"/>
  <c r="G710" i="29"/>
  <c r="G684" i="29"/>
  <c r="H274" i="29"/>
  <c r="I274" i="29" s="1"/>
  <c r="G274" i="29"/>
  <c r="H460" i="29"/>
  <c r="I460" i="29" s="1"/>
  <c r="G460" i="29"/>
  <c r="G530" i="29"/>
  <c r="H530" i="29"/>
  <c r="I530" i="29" s="1"/>
  <c r="G922" i="29"/>
  <c r="H901" i="29"/>
  <c r="I901" i="29" s="1"/>
  <c r="G838" i="29"/>
  <c r="H821" i="29"/>
  <c r="I821" i="29" s="1"/>
  <c r="G796" i="29"/>
  <c r="H705" i="29"/>
  <c r="I705" i="29" s="1"/>
  <c r="G683" i="29"/>
  <c r="G634" i="29"/>
  <c r="H634" i="29"/>
  <c r="I634" i="29" s="1"/>
  <c r="G739" i="29"/>
  <c r="G780" i="29"/>
  <c r="G494" i="29"/>
  <c r="H913" i="29"/>
  <c r="I913" i="29" s="1"/>
  <c r="G876" i="29"/>
  <c r="G859" i="29"/>
  <c r="G855" i="29"/>
  <c r="H833" i="29"/>
  <c r="I833" i="29" s="1"/>
  <c r="G799" i="29"/>
  <c r="G795" i="29"/>
  <c r="G790" i="29"/>
  <c r="G764" i="29"/>
  <c r="G723" i="29"/>
  <c r="G673" i="29"/>
  <c r="H673" i="29"/>
  <c r="I673" i="29" s="1"/>
  <c r="G593" i="29"/>
  <c r="H593" i="29"/>
  <c r="I593" i="29" s="1"/>
  <c r="G465" i="29"/>
  <c r="G867" i="29"/>
  <c r="G812" i="29"/>
  <c r="G763" i="29"/>
  <c r="G691" i="29"/>
  <c r="G659" i="29"/>
  <c r="G636" i="29"/>
  <c r="G626" i="29"/>
  <c r="G552" i="29"/>
  <c r="H552" i="29"/>
  <c r="I552" i="29" s="1"/>
  <c r="H501" i="29"/>
  <c r="I501" i="29" s="1"/>
  <c r="G501" i="29"/>
  <c r="G892" i="29"/>
  <c r="G875" i="29"/>
  <c r="G871" i="29"/>
  <c r="G803" i="29"/>
  <c r="G731" i="29"/>
  <c r="G700" i="29"/>
  <c r="G668" i="29"/>
  <c r="G657" i="29"/>
  <c r="H657" i="29"/>
  <c r="I657" i="29" s="1"/>
  <c r="G870" i="29"/>
  <c r="H849" i="29"/>
  <c r="I849" i="29" s="1"/>
  <c r="G815" i="29"/>
  <c r="H753" i="29"/>
  <c r="I753" i="29" s="1"/>
  <c r="G616" i="29"/>
  <c r="G606" i="29"/>
  <c r="G895" i="29"/>
  <c r="G874" i="29"/>
  <c r="H853" i="29"/>
  <c r="I853" i="29" s="1"/>
  <c r="H721" i="29"/>
  <c r="I721" i="29" s="1"/>
  <c r="G694" i="29"/>
  <c r="G662" i="29"/>
  <c r="G644" i="29"/>
  <c r="H644" i="29"/>
  <c r="I644" i="29" s="1"/>
  <c r="G649" i="29"/>
  <c r="G563" i="29"/>
  <c r="G528" i="29"/>
  <c r="G421" i="29"/>
  <c r="G402" i="29"/>
  <c r="G396" i="29"/>
  <c r="G361" i="29"/>
  <c r="H306" i="29"/>
  <c r="I306" i="29" s="1"/>
  <c r="G306" i="29"/>
  <c r="H258" i="29"/>
  <c r="I258" i="29" s="1"/>
  <c r="G258" i="29"/>
  <c r="H242" i="29"/>
  <c r="I242" i="29" s="1"/>
  <c r="G242" i="29"/>
  <c r="H226" i="29"/>
  <c r="I226" i="29" s="1"/>
  <c r="G226" i="29"/>
  <c r="H625" i="29"/>
  <c r="I625" i="29" s="1"/>
  <c r="H605" i="29"/>
  <c r="I605" i="29" s="1"/>
  <c r="H595" i="29"/>
  <c r="I595" i="29" s="1"/>
  <c r="G585" i="29"/>
  <c r="H581" i="29"/>
  <c r="I581" i="29" s="1"/>
  <c r="H574" i="29"/>
  <c r="I574" i="29" s="1"/>
  <c r="G567" i="29"/>
  <c r="G450" i="29"/>
  <c r="H322" i="29"/>
  <c r="I322" i="29" s="1"/>
  <c r="G322" i="29"/>
  <c r="G588" i="29"/>
  <c r="G551" i="29"/>
  <c r="G515" i="29"/>
  <c r="H515" i="29"/>
  <c r="I515" i="29" s="1"/>
  <c r="G498" i="29"/>
  <c r="G492" i="29"/>
  <c r="G449" i="29"/>
  <c r="G430" i="29"/>
  <c r="G425" i="29"/>
  <c r="G380" i="29"/>
  <c r="H338" i="29"/>
  <c r="I338" i="29" s="1"/>
  <c r="G338" i="29"/>
  <c r="H210" i="29"/>
  <c r="I210" i="29" s="1"/>
  <c r="G210" i="29"/>
  <c r="G519" i="29"/>
  <c r="H354" i="29"/>
  <c r="I354" i="29" s="1"/>
  <c r="G354" i="29"/>
  <c r="G601" i="29"/>
  <c r="G542" i="29"/>
  <c r="G510" i="29"/>
  <c r="G434" i="29"/>
  <c r="G428" i="29"/>
  <c r="G409" i="29"/>
  <c r="G370" i="29"/>
  <c r="G414" i="29"/>
  <c r="H746" i="29"/>
  <c r="I746" i="29" s="1"/>
  <c r="G569" i="29"/>
  <c r="G561" i="29"/>
  <c r="G505" i="29"/>
  <c r="G481" i="29"/>
  <c r="G462" i="29"/>
  <c r="G457" i="29"/>
  <c r="G583" i="29"/>
  <c r="G537" i="29"/>
  <c r="G393" i="29"/>
  <c r="G521" i="29"/>
  <c r="G418" i="29"/>
  <c r="G398" i="29"/>
  <c r="G633" i="29"/>
  <c r="G466" i="29"/>
  <c r="H350" i="29"/>
  <c r="I350" i="29" s="1"/>
  <c r="H334" i="29"/>
  <c r="I334" i="29" s="1"/>
  <c r="H318" i="29"/>
  <c r="I318" i="29" s="1"/>
  <c r="H302" i="29"/>
  <c r="I302" i="29" s="1"/>
  <c r="H286" i="29"/>
  <c r="I286" i="29" s="1"/>
  <c r="H270" i="29"/>
  <c r="I270" i="29" s="1"/>
  <c r="H254" i="29"/>
  <c r="I254" i="29" s="1"/>
  <c r="H238" i="29"/>
  <c r="I238" i="29" s="1"/>
  <c r="H222" i="29"/>
  <c r="I222" i="29" s="1"/>
  <c r="H206" i="29"/>
  <c r="I206" i="29" s="1"/>
  <c r="H311" i="29"/>
  <c r="I311" i="29" s="1"/>
  <c r="H295" i="29"/>
  <c r="I295" i="29" s="1"/>
  <c r="H279" i="29"/>
  <c r="I279" i="29" s="1"/>
  <c r="H263" i="29"/>
  <c r="I263" i="29" s="1"/>
  <c r="H247" i="29"/>
  <c r="I247" i="29" s="1"/>
  <c r="H231" i="29"/>
  <c r="I231" i="29" s="1"/>
  <c r="H215" i="29"/>
  <c r="I215" i="29" s="1"/>
  <c r="H499" i="29"/>
  <c r="I499" i="29" s="1"/>
  <c r="H483" i="29"/>
  <c r="I483" i="29" s="1"/>
  <c r="H467" i="29"/>
  <c r="I467" i="29" s="1"/>
  <c r="H451" i="29"/>
  <c r="I451" i="29" s="1"/>
  <c r="H435" i="29"/>
  <c r="I435" i="29" s="1"/>
  <c r="H419" i="29"/>
  <c r="I419" i="29" s="1"/>
  <c r="H403" i="29"/>
  <c r="I403" i="29" s="1"/>
  <c r="H387" i="29"/>
  <c r="I387" i="29" s="1"/>
  <c r="H371" i="29"/>
  <c r="I371" i="29" s="1"/>
  <c r="H355" i="29"/>
  <c r="I355" i="29" s="1"/>
  <c r="H339" i="29"/>
  <c r="I339" i="29" s="1"/>
  <c r="H323" i="29"/>
  <c r="I323" i="29" s="1"/>
  <c r="H307" i="29"/>
  <c r="I307" i="29" s="1"/>
  <c r="H291" i="29"/>
  <c r="I291" i="29" s="1"/>
  <c r="H275" i="29"/>
  <c r="I275" i="29" s="1"/>
  <c r="H259" i="29"/>
  <c r="I259" i="29" s="1"/>
  <c r="H243" i="29"/>
  <c r="I243" i="29" s="1"/>
  <c r="H227" i="29"/>
  <c r="I227" i="29" s="1"/>
  <c r="H316" i="29"/>
  <c r="I316" i="29" s="1"/>
  <c r="H300" i="29"/>
  <c r="I300" i="29" s="1"/>
  <c r="G206" i="31"/>
  <c r="G213" i="31"/>
  <c r="G203" i="31"/>
  <c r="G821" i="31"/>
  <c r="G806" i="31"/>
  <c r="G725" i="31"/>
  <c r="H254" i="31"/>
  <c r="I254" i="31" s="1"/>
  <c r="H675" i="31"/>
  <c r="I675" i="31" s="1"/>
  <c r="G434" i="31"/>
  <c r="G299" i="31"/>
  <c r="G853" i="31"/>
  <c r="G814" i="31"/>
  <c r="G314" i="31"/>
  <c r="G594" i="31"/>
  <c r="H867" i="31"/>
  <c r="I867" i="31" s="1"/>
  <c r="H449" i="31"/>
  <c r="I449" i="31" s="1"/>
  <c r="H898" i="31"/>
  <c r="I898" i="31" s="1"/>
  <c r="H512" i="31"/>
  <c r="I512" i="31" s="1"/>
  <c r="G559" i="31"/>
  <c r="H209" i="31"/>
  <c r="I209" i="31" s="1"/>
  <c r="H248" i="31"/>
  <c r="I248" i="31" s="1"/>
  <c r="G787" i="31"/>
  <c r="G419" i="31"/>
  <c r="G637" i="31"/>
  <c r="G606" i="31"/>
  <c r="G908" i="31"/>
  <c r="G736" i="31"/>
  <c r="G690" i="31"/>
  <c r="H352" i="31"/>
  <c r="I352" i="31" s="1"/>
  <c r="G241" i="31"/>
  <c r="G664" i="31"/>
  <c r="G641" i="31"/>
  <c r="G319" i="31"/>
  <c r="G680" i="31"/>
  <c r="G539" i="31"/>
  <c r="G915" i="31"/>
  <c r="H770" i="31"/>
  <c r="I770" i="31" s="1"/>
  <c r="G517" i="31"/>
  <c r="H409" i="31"/>
  <c r="I409" i="31" s="1"/>
  <c r="G921" i="31"/>
  <c r="G670" i="31"/>
  <c r="G919" i="31"/>
  <c r="G760" i="31"/>
  <c r="G576" i="31"/>
  <c r="G398" i="31"/>
  <c r="G683" i="31"/>
  <c r="G861" i="31"/>
  <c r="G911" i="31"/>
  <c r="G720" i="31"/>
  <c r="G528" i="31"/>
  <c r="H505" i="31"/>
  <c r="I505" i="31" s="1"/>
  <c r="H771" i="31"/>
  <c r="I771" i="31" s="1"/>
  <c r="G703" i="31"/>
  <c r="H340" i="31"/>
  <c r="I340" i="31" s="1"/>
  <c r="G240" i="31"/>
  <c r="H548" i="31"/>
  <c r="I548" i="31" s="1"/>
  <c r="G735" i="31"/>
  <c r="H587" i="31"/>
  <c r="I587" i="31" s="1"/>
  <c r="G452" i="31"/>
  <c r="G579" i="31"/>
  <c r="G287" i="31"/>
  <c r="G646" i="31"/>
  <c r="H228" i="31"/>
  <c r="I228" i="31" s="1"/>
  <c r="G207" i="31"/>
  <c r="G807" i="31"/>
  <c r="G705" i="31"/>
  <c r="G480" i="31"/>
  <c r="G219" i="31"/>
  <c r="G905" i="31"/>
  <c r="G859" i="31"/>
  <c r="G652" i="31"/>
  <c r="G524" i="31"/>
  <c r="G323" i="31"/>
  <c r="G791" i="31"/>
  <c r="G777" i="31"/>
  <c r="G695" i="31"/>
  <c r="H516" i="31"/>
  <c r="I516" i="31" s="1"/>
  <c r="G412" i="31"/>
  <c r="H366" i="31"/>
  <c r="I366" i="31" s="1"/>
  <c r="G910" i="31"/>
  <c r="H373" i="31"/>
  <c r="I373" i="31" s="1"/>
  <c r="H819" i="31"/>
  <c r="I819" i="31" s="1"/>
  <c r="G709" i="31"/>
  <c r="H388" i="31"/>
  <c r="I388" i="31" s="1"/>
  <c r="G350" i="31"/>
  <c r="H336" i="31"/>
  <c r="I336" i="31" s="1"/>
  <c r="G321" i="31"/>
  <c r="G275" i="31"/>
  <c r="H245" i="31"/>
  <c r="I245" i="31" s="1"/>
  <c r="G679" i="31"/>
  <c r="H500" i="31"/>
  <c r="I500" i="31" s="1"/>
  <c r="H224" i="31"/>
  <c r="I224" i="31" s="1"/>
  <c r="G380" i="31"/>
  <c r="G872" i="31"/>
  <c r="G701" i="31"/>
  <c r="H885" i="31"/>
  <c r="I885" i="31" s="1"/>
  <c r="G832" i="31"/>
  <c r="G678" i="31"/>
  <c r="H549" i="31"/>
  <c r="I549" i="31" s="1"/>
  <c r="G401" i="31"/>
  <c r="G387" i="31"/>
  <c r="H280" i="31"/>
  <c r="I280" i="31" s="1"/>
  <c r="H882" i="31"/>
  <c r="I882" i="31" s="1"/>
  <c r="G681" i="31"/>
  <c r="G619" i="31"/>
  <c r="H304" i="31"/>
  <c r="I304" i="31" s="1"/>
  <c r="G896" i="31"/>
  <c r="H854" i="31"/>
  <c r="I854" i="31" s="1"/>
  <c r="G816" i="31"/>
  <c r="G781" i="31"/>
  <c r="G737" i="31"/>
  <c r="G611" i="31"/>
  <c r="G525" i="31"/>
  <c r="G519" i="31"/>
  <c r="G478" i="31"/>
  <c r="H345" i="31"/>
  <c r="I345" i="31" s="1"/>
  <c r="G297" i="31"/>
  <c r="G284" i="31"/>
  <c r="H235" i="31"/>
  <c r="I235" i="31" s="1"/>
  <c r="G214" i="31"/>
  <c r="G841" i="31"/>
  <c r="H835" i="31"/>
  <c r="I835" i="31" s="1"/>
  <c r="G780" i="31"/>
  <c r="H742" i="31"/>
  <c r="I742" i="31" s="1"/>
  <c r="H659" i="31"/>
  <c r="I659" i="31" s="1"/>
  <c r="H558" i="31"/>
  <c r="I558" i="31" s="1"/>
  <c r="H414" i="31"/>
  <c r="I414" i="31" s="1"/>
  <c r="H324" i="31"/>
  <c r="I324" i="31" s="1"/>
  <c r="G881" i="31"/>
  <c r="G794" i="31"/>
  <c r="H757" i="31"/>
  <c r="I757" i="31" s="1"/>
  <c r="G715" i="31"/>
  <c r="G609" i="31"/>
  <c r="G530" i="31"/>
  <c r="H379" i="31"/>
  <c r="I379" i="31" s="1"/>
  <c r="H344" i="31"/>
  <c r="I344" i="31" s="1"/>
  <c r="G260" i="31"/>
  <c r="H212" i="31"/>
  <c r="I212" i="31" s="1"/>
  <c r="H658" i="31"/>
  <c r="I658" i="31" s="1"/>
  <c r="G490" i="31"/>
  <c r="H839" i="31"/>
  <c r="I839" i="31" s="1"/>
  <c r="G799" i="31"/>
  <c r="G778" i="31"/>
  <c r="G764" i="31"/>
  <c r="G672" i="31"/>
  <c r="H510" i="31"/>
  <c r="I510" i="31" s="1"/>
  <c r="H489" i="31"/>
  <c r="I489" i="31" s="1"/>
  <c r="G468" i="31"/>
  <c r="G308" i="31"/>
  <c r="G266" i="31"/>
  <c r="G225" i="31"/>
  <c r="G864" i="31"/>
  <c r="G845" i="31"/>
  <c r="H691" i="31"/>
  <c r="I691" i="31" s="1"/>
  <c r="G650" i="31"/>
  <c r="G642" i="31"/>
  <c r="H481" i="31"/>
  <c r="I481" i="31" s="1"/>
  <c r="G460" i="31"/>
  <c r="G453" i="31"/>
  <c r="G342" i="31"/>
  <c r="H851" i="31"/>
  <c r="I851" i="31" s="1"/>
  <c r="H838" i="31"/>
  <c r="I838" i="31" s="1"/>
  <c r="H425" i="31"/>
  <c r="I425" i="31" s="1"/>
  <c r="H404" i="31"/>
  <c r="I404" i="31" s="1"/>
  <c r="G870" i="31"/>
  <c r="G857" i="31"/>
  <c r="G628" i="31"/>
  <c r="G592" i="31"/>
  <c r="H521" i="31"/>
  <c r="I521" i="31" s="1"/>
  <c r="H376" i="31"/>
  <c r="I376" i="31" s="1"/>
  <c r="G286" i="31"/>
  <c r="H257" i="31"/>
  <c r="I257" i="31" s="1"/>
  <c r="G843" i="31"/>
  <c r="G761" i="31"/>
  <c r="G508" i="31"/>
  <c r="H437" i="31"/>
  <c r="I437" i="31" s="1"/>
  <c r="H292" i="31"/>
  <c r="I292" i="31" s="1"/>
  <c r="H855" i="31"/>
  <c r="I855" i="31" s="1"/>
  <c r="G837" i="31"/>
  <c r="G824" i="31"/>
  <c r="G633" i="31"/>
  <c r="G560" i="31"/>
  <c r="G507" i="31"/>
  <c r="G457" i="31"/>
  <c r="G326" i="31"/>
  <c r="G697" i="31"/>
  <c r="G472" i="31"/>
  <c r="G231" i="31"/>
  <c r="G925" i="31"/>
  <c r="G879" i="31"/>
  <c r="G822" i="31"/>
  <c r="G817" i="31"/>
  <c r="G803" i="31"/>
  <c r="G797" i="31"/>
  <c r="G752" i="31"/>
  <c r="G726" i="31"/>
  <c r="G686" i="31"/>
  <c r="H648" i="31"/>
  <c r="I648" i="31" s="1"/>
  <c r="H601" i="31"/>
  <c r="I601" i="31" s="1"/>
  <c r="G533" i="31"/>
  <c r="G435" i="31"/>
  <c r="G410" i="31"/>
  <c r="H353" i="31"/>
  <c r="I353" i="31" s="1"/>
  <c r="G348" i="31"/>
  <c r="G310" i="31"/>
  <c r="H273" i="31"/>
  <c r="I273" i="31" s="1"/>
  <c r="G243" i="31"/>
  <c r="G779" i="31"/>
  <c r="G733" i="31"/>
  <c r="G906" i="31"/>
  <c r="G892" i="31"/>
  <c r="G850" i="31"/>
  <c r="H834" i="31"/>
  <c r="I834" i="31" s="1"/>
  <c r="H790" i="31"/>
  <c r="I790" i="31" s="1"/>
  <c r="G630" i="31"/>
  <c r="H624" i="31"/>
  <c r="I624" i="31" s="1"/>
  <c r="G557" i="31"/>
  <c r="H532" i="31"/>
  <c r="I532" i="31" s="1"/>
  <c r="H494" i="31"/>
  <c r="I494" i="31" s="1"/>
  <c r="G446" i="31"/>
  <c r="G427" i="31"/>
  <c r="H384" i="31"/>
  <c r="I384" i="31" s="1"/>
  <c r="H211" i="31"/>
  <c r="I211" i="31" s="1"/>
  <c r="G923" i="31"/>
  <c r="G891" i="31"/>
  <c r="G871" i="31"/>
  <c r="G795" i="31"/>
  <c r="G783" i="31"/>
  <c r="G719" i="31"/>
  <c r="H707" i="31"/>
  <c r="I707" i="31" s="1"/>
  <c r="G685" i="31"/>
  <c r="H674" i="31"/>
  <c r="I674" i="31" s="1"/>
  <c r="G660" i="31"/>
  <c r="G647" i="31"/>
  <c r="G610" i="31"/>
  <c r="G593" i="31"/>
  <c r="G563" i="31"/>
  <c r="G469" i="31"/>
  <c r="H433" i="31"/>
  <c r="I433" i="31" s="1"/>
  <c r="G358" i="31"/>
  <c r="H264" i="31"/>
  <c r="I264" i="31" s="1"/>
  <c r="G801" i="31"/>
  <c r="H694" i="31"/>
  <c r="I694" i="31" s="1"/>
  <c r="G667" i="31"/>
  <c r="G653" i="31"/>
  <c r="G629" i="31"/>
  <c r="G623" i="31"/>
  <c r="G599" i="31"/>
  <c r="H580" i="31"/>
  <c r="I580" i="31" s="1"/>
  <c r="G556" i="31"/>
  <c r="G462" i="31"/>
  <c r="G426" i="31"/>
  <c r="G371" i="31"/>
  <c r="G327" i="31"/>
  <c r="G302" i="31"/>
  <c r="G283" i="31"/>
  <c r="H277" i="31"/>
  <c r="I277" i="31" s="1"/>
  <c r="G271" i="31"/>
  <c r="G252" i="31"/>
  <c r="G223" i="31"/>
  <c r="H203" i="31"/>
  <c r="I203" i="31" s="1"/>
  <c r="G922" i="31"/>
  <c r="G865" i="31"/>
  <c r="G848" i="31"/>
  <c r="G782" i="31"/>
  <c r="G712" i="31"/>
  <c r="G706" i="31"/>
  <c r="G840" i="31"/>
  <c r="G753" i="31"/>
  <c r="G407" i="31"/>
  <c r="G776" i="31"/>
  <c r="H741" i="31"/>
  <c r="I741" i="31" s="1"/>
  <c r="G699" i="31"/>
  <c r="G645" i="31"/>
  <c r="H542" i="31"/>
  <c r="I542" i="31" s="1"/>
  <c r="G492" i="31"/>
  <c r="G474" i="31"/>
  <c r="G295" i="31"/>
  <c r="G825" i="31"/>
  <c r="G762" i="31"/>
  <c r="G875" i="31"/>
  <c r="G847" i="31"/>
  <c r="G793" i="31"/>
  <c r="H775" i="31"/>
  <c r="I775" i="31" s="1"/>
  <c r="G748" i="31"/>
  <c r="H710" i="31"/>
  <c r="I710" i="31" s="1"/>
  <c r="G688" i="31"/>
  <c r="G665" i="31"/>
  <c r="H638" i="31"/>
  <c r="I638" i="31" s="1"/>
  <c r="G622" i="31"/>
  <c r="G597" i="31"/>
  <c r="G515" i="31"/>
  <c r="G503" i="31"/>
  <c r="H497" i="31"/>
  <c r="I497" i="31" s="1"/>
  <c r="G491" i="31"/>
  <c r="H473" i="31"/>
  <c r="I473" i="31" s="1"/>
  <c r="G455" i="31"/>
  <c r="G418" i="31"/>
  <c r="H393" i="31"/>
  <c r="I393" i="31" s="1"/>
  <c r="G332" i="31"/>
  <c r="H325" i="31"/>
  <c r="I325" i="31" s="1"/>
  <c r="H312" i="31"/>
  <c r="I312" i="31" s="1"/>
  <c r="G288" i="31"/>
  <c r="G282" i="31"/>
  <c r="G263" i="31"/>
  <c r="G227" i="31"/>
  <c r="H869" i="31"/>
  <c r="I869" i="31" s="1"/>
  <c r="G863" i="31"/>
  <c r="H805" i="31"/>
  <c r="I805" i="31" s="1"/>
  <c r="H693" i="31"/>
  <c r="I693" i="31" s="1"/>
  <c r="G677" i="31"/>
  <c r="G621" i="31"/>
  <c r="H608" i="31"/>
  <c r="I608" i="31" s="1"/>
  <c r="G603" i="31"/>
  <c r="H596" i="31"/>
  <c r="I596" i="31" s="1"/>
  <c r="H448" i="31"/>
  <c r="I448" i="31" s="1"/>
  <c r="G443" i="31"/>
  <c r="H368" i="31"/>
  <c r="I368" i="31" s="1"/>
  <c r="G281" i="31"/>
  <c r="H249" i="31"/>
  <c r="I249" i="31" s="1"/>
  <c r="H244" i="31"/>
  <c r="I244" i="31" s="1"/>
  <c r="H213" i="31"/>
  <c r="I213" i="31" s="1"/>
  <c r="G202" i="31"/>
  <c r="G926" i="31"/>
  <c r="H914" i="31"/>
  <c r="I914" i="31" s="1"/>
  <c r="G901" i="31"/>
  <c r="H823" i="31"/>
  <c r="I823" i="31" s="1"/>
  <c r="G798" i="31"/>
  <c r="H786" i="31"/>
  <c r="I786" i="31" s="1"/>
  <c r="H722" i="31"/>
  <c r="I722" i="31" s="1"/>
  <c r="G704" i="31"/>
  <c r="H565" i="31"/>
  <c r="I565" i="31" s="1"/>
  <c r="G411" i="31"/>
  <c r="H331" i="31"/>
  <c r="I331" i="31" s="1"/>
  <c r="G293" i="31"/>
  <c r="H238" i="31"/>
  <c r="I238" i="31" s="1"/>
  <c r="G886" i="31"/>
  <c r="G880" i="31"/>
  <c r="G846" i="31"/>
  <c r="G830" i="31"/>
  <c r="G687" i="31"/>
  <c r="H649" i="31"/>
  <c r="I649" i="31" s="1"/>
  <c r="G626" i="31"/>
  <c r="G613" i="31"/>
  <c r="G590" i="31"/>
  <c r="H529" i="31"/>
  <c r="I529" i="31" s="1"/>
  <c r="G496" i="31"/>
  <c r="G466" i="31"/>
  <c r="G459" i="31"/>
  <c r="G354" i="31"/>
  <c r="H305" i="31"/>
  <c r="I305" i="31" s="1"/>
  <c r="G375" i="31"/>
  <c r="G303" i="31"/>
  <c r="G236" i="31"/>
  <c r="G802" i="31"/>
  <c r="G773" i="31"/>
  <c r="G768" i="31"/>
  <c r="G758" i="31"/>
  <c r="G743" i="31"/>
  <c r="G739" i="31"/>
  <c r="G734" i="31"/>
  <c r="G661" i="31"/>
  <c r="G656" i="31"/>
  <c r="G584" i="31"/>
  <c r="G574" i="31"/>
  <c r="G553" i="31"/>
  <c r="G475" i="31"/>
  <c r="H465" i="31"/>
  <c r="I465" i="31" s="1"/>
  <c r="G420" i="31"/>
  <c r="G400" i="31"/>
  <c r="G356" i="31"/>
  <c r="G289" i="31"/>
  <c r="H917" i="31"/>
  <c r="I917" i="31" s="1"/>
  <c r="G913" i="31"/>
  <c r="H902" i="31"/>
  <c r="I902" i="31" s="1"/>
  <c r="G893" i="31"/>
  <c r="H887" i="31"/>
  <c r="I887" i="31" s="1"/>
  <c r="H883" i="31"/>
  <c r="I883" i="31" s="1"/>
  <c r="G873" i="31"/>
  <c r="G858" i="31"/>
  <c r="G844" i="31"/>
  <c r="G767" i="31"/>
  <c r="G747" i="31"/>
  <c r="H738" i="31"/>
  <c r="I738" i="31" s="1"/>
  <c r="G728" i="31"/>
  <c r="H723" i="31"/>
  <c r="I723" i="31" s="1"/>
  <c r="G713" i="31"/>
  <c r="G698" i="31"/>
  <c r="G684" i="31"/>
  <c r="G655" i="31"/>
  <c r="G644" i="31"/>
  <c r="G635" i="31"/>
  <c r="G631" i="31"/>
  <c r="G616" i="31"/>
  <c r="G588" i="31"/>
  <c r="G573" i="31"/>
  <c r="H537" i="31"/>
  <c r="I537" i="31" s="1"/>
  <c r="G499" i="31"/>
  <c r="H484" i="31"/>
  <c r="I484" i="31" s="1"/>
  <c r="H464" i="31"/>
  <c r="I464" i="31" s="1"/>
  <c r="G444" i="31"/>
  <c r="G394" i="31"/>
  <c r="G346" i="31"/>
  <c r="G341" i="31"/>
  <c r="G279" i="31"/>
  <c r="G255" i="31"/>
  <c r="G250" i="31"/>
  <c r="G298" i="31"/>
  <c r="G912" i="31"/>
  <c r="G878" i="31"/>
  <c r="G815" i="31"/>
  <c r="G727" i="31"/>
  <c r="G718" i="31"/>
  <c r="H513" i="31"/>
  <c r="I513" i="31" s="1"/>
  <c r="G498" i="31"/>
  <c r="H369" i="31"/>
  <c r="I369" i="31" s="1"/>
  <c r="G355" i="31"/>
  <c r="G229" i="31"/>
  <c r="G204" i="31"/>
  <c r="G907" i="31"/>
  <c r="G215" i="31"/>
  <c r="G849" i="31"/>
  <c r="G829" i="31"/>
  <c r="G809" i="31"/>
  <c r="G800" i="31"/>
  <c r="G766" i="31"/>
  <c r="G746" i="31"/>
  <c r="G732" i="31"/>
  <c r="G689" i="31"/>
  <c r="G669" i="31"/>
  <c r="G663" i="31"/>
  <c r="G654" i="31"/>
  <c r="G634" i="31"/>
  <c r="G620" i="31"/>
  <c r="G583" i="31"/>
  <c r="G578" i="31"/>
  <c r="G567" i="31"/>
  <c r="G562" i="31"/>
  <c r="G458" i="31"/>
  <c r="G428" i="31"/>
  <c r="G364" i="31"/>
  <c r="G359" i="31"/>
  <c r="G316" i="31"/>
  <c r="G307" i="31"/>
  <c r="G268" i="31"/>
  <c r="G259" i="31"/>
  <c r="G615" i="31"/>
  <c r="G423" i="31"/>
  <c r="G403" i="31"/>
  <c r="G378" i="31"/>
  <c r="G335" i="31"/>
  <c r="G330" i="31"/>
  <c r="G311" i="31"/>
  <c r="H296" i="31"/>
  <c r="I296" i="31" s="1"/>
  <c r="G389" i="31"/>
  <c r="G920" i="31"/>
  <c r="G897" i="31"/>
  <c r="G877" i="31"/>
  <c r="G862" i="31"/>
  <c r="G842" i="31"/>
  <c r="G828" i="31"/>
  <c r="G751" i="31"/>
  <c r="G731" i="31"/>
  <c r="G717" i="31"/>
  <c r="G711" i="31"/>
  <c r="G702" i="31"/>
  <c r="G682" i="31"/>
  <c r="G668" i="31"/>
  <c r="G572" i="31"/>
  <c r="H561" i="31"/>
  <c r="I561" i="31" s="1"/>
  <c r="G547" i="31"/>
  <c r="H526" i="31"/>
  <c r="I526" i="31" s="1"/>
  <c r="H501" i="31"/>
  <c r="I501" i="31" s="1"/>
  <c r="G463" i="31"/>
  <c r="H432" i="31"/>
  <c r="I432" i="31" s="1"/>
  <c r="H382" i="31"/>
  <c r="I382" i="31" s="1"/>
  <c r="H377" i="31"/>
  <c r="I377" i="31" s="1"/>
  <c r="H363" i="31"/>
  <c r="I363" i="31" s="1"/>
  <c r="H334" i="31"/>
  <c r="I334" i="31" s="1"/>
  <c r="H329" i="31"/>
  <c r="I329" i="31" s="1"/>
  <c r="H320" i="31"/>
  <c r="I320" i="31" s="1"/>
  <c r="H315" i="31"/>
  <c r="I315" i="31" s="1"/>
  <c r="H272" i="31"/>
  <c r="I272" i="31" s="1"/>
  <c r="H267" i="31"/>
  <c r="I267" i="31" s="1"/>
  <c r="H208" i="31"/>
  <c r="I208" i="31" s="1"/>
  <c r="G605" i="31"/>
  <c r="G571" i="31"/>
  <c r="G551" i="31"/>
  <c r="G531" i="31"/>
  <c r="G483" i="31"/>
  <c r="G442" i="31"/>
  <c r="G239" i="31"/>
  <c r="G234" i="31"/>
  <c r="G218" i="31"/>
  <c r="G230" i="31"/>
  <c r="G890" i="31"/>
  <c r="G876" i="31"/>
  <c r="G827" i="31"/>
  <c r="H818" i="31"/>
  <c r="I818" i="31" s="1"/>
  <c r="G808" i="31"/>
  <c r="H789" i="31"/>
  <c r="I789" i="31" s="1"/>
  <c r="G785" i="31"/>
  <c r="H774" i="31"/>
  <c r="I774" i="31" s="1"/>
  <c r="G765" i="31"/>
  <c r="H759" i="31"/>
  <c r="I759" i="31" s="1"/>
  <c r="H755" i="31"/>
  <c r="I755" i="31" s="1"/>
  <c r="G745" i="31"/>
  <c r="G716" i="31"/>
  <c r="H662" i="31"/>
  <c r="I662" i="31" s="1"/>
  <c r="H585" i="31"/>
  <c r="I585" i="31" s="1"/>
  <c r="H441" i="31"/>
  <c r="I441" i="31" s="1"/>
  <c r="H436" i="31"/>
  <c r="I436" i="31" s="1"/>
  <c r="H421" i="31"/>
  <c r="I421" i="31" s="1"/>
  <c r="H417" i="31"/>
  <c r="I417" i="31" s="1"/>
  <c r="H372" i="31"/>
  <c r="I372" i="31" s="1"/>
  <c r="H357" i="31"/>
  <c r="I357" i="31" s="1"/>
  <c r="G439" i="31"/>
  <c r="G351" i="31"/>
  <c r="G924" i="31"/>
  <c r="H866" i="31"/>
  <c r="I866" i="31" s="1"/>
  <c r="G856" i="31"/>
  <c r="G833" i="31"/>
  <c r="G813" i="31"/>
  <c r="G784" i="31"/>
  <c r="G750" i="31"/>
  <c r="G730" i="31"/>
  <c r="G696" i="31"/>
  <c r="G673" i="31"/>
  <c r="G581" i="31"/>
  <c r="H545" i="31"/>
  <c r="I545" i="31" s="1"/>
  <c r="G535" i="31"/>
  <c r="G506" i="31"/>
  <c r="G487" i="31"/>
  <c r="G467" i="31"/>
  <c r="G339" i="31"/>
  <c r="H309" i="31"/>
  <c r="I309" i="31" s="1"/>
  <c r="G300" i="31"/>
  <c r="G291" i="31"/>
  <c r="H276" i="31"/>
  <c r="I276" i="31" s="1"/>
  <c r="H261" i="31"/>
  <c r="I261" i="31" s="1"/>
  <c r="H222" i="31"/>
  <c r="I222" i="31" s="1"/>
  <c r="G217" i="31"/>
  <c r="G810" i="31"/>
  <c r="G220" i="31"/>
  <c r="G895" i="31"/>
  <c r="H216" i="31"/>
  <c r="I216" i="31" s="1"/>
  <c r="G888" i="31"/>
  <c r="G796" i="31"/>
  <c r="G904" i="31"/>
  <c r="G826" i="31"/>
  <c r="G812" i="31"/>
  <c r="G721" i="31"/>
  <c r="G666" i="31"/>
  <c r="G600" i="31"/>
  <c r="G595" i="31"/>
  <c r="G570" i="31"/>
  <c r="G540" i="31"/>
  <c r="G471" i="31"/>
  <c r="G451" i="31"/>
  <c r="G396" i="31"/>
  <c r="G391" i="31"/>
  <c r="G362" i="31"/>
  <c r="G343" i="31"/>
  <c r="G636" i="31"/>
  <c r="H918" i="31"/>
  <c r="I918" i="31" s="1"/>
  <c r="G909" i="31"/>
  <c r="H903" i="31"/>
  <c r="I903" i="31" s="1"/>
  <c r="H899" i="31"/>
  <c r="I899" i="31" s="1"/>
  <c r="G889" i="31"/>
  <c r="G860" i="31"/>
  <c r="G763" i="31"/>
  <c r="H754" i="31"/>
  <c r="I754" i="31" s="1"/>
  <c r="G744" i="31"/>
  <c r="G700" i="31"/>
  <c r="G651" i="31"/>
  <c r="H640" i="31"/>
  <c r="I640" i="31" s="1"/>
  <c r="H617" i="31"/>
  <c r="I617" i="31" s="1"/>
  <c r="H612" i="31"/>
  <c r="I612" i="31" s="1"/>
  <c r="G604" i="31"/>
  <c r="H569" i="31"/>
  <c r="I569" i="31" s="1"/>
  <c r="H564" i="31"/>
  <c r="I564" i="31" s="1"/>
  <c r="G554" i="31"/>
  <c r="H544" i="31"/>
  <c r="I544" i="31" s="1"/>
  <c r="G520" i="31"/>
  <c r="H485" i="31"/>
  <c r="I485" i="31" s="1"/>
  <c r="H430" i="31"/>
  <c r="I430" i="31" s="1"/>
  <c r="H416" i="31"/>
  <c r="I416" i="31" s="1"/>
  <c r="H385" i="31"/>
  <c r="I385" i="31" s="1"/>
  <c r="H361" i="31"/>
  <c r="I361" i="31" s="1"/>
  <c r="H347" i="31"/>
  <c r="I347" i="31" s="1"/>
  <c r="H318" i="31"/>
  <c r="I318" i="31" s="1"/>
  <c r="H313" i="31"/>
  <c r="I313" i="31" s="1"/>
  <c r="H270" i="31"/>
  <c r="I270" i="31" s="1"/>
  <c r="H265" i="31"/>
  <c r="I265" i="31" s="1"/>
  <c r="H256" i="31"/>
  <c r="I256" i="31" s="1"/>
  <c r="H251" i="31"/>
  <c r="I251" i="31" s="1"/>
  <c r="G247" i="31"/>
  <c r="H206" i="31"/>
  <c r="I206" i="31" s="1"/>
  <c r="G201" i="31"/>
  <c r="G894" i="31"/>
  <c r="G874" i="31"/>
  <c r="G831" i="31"/>
  <c r="G811" i="31"/>
  <c r="G792" i="31"/>
  <c r="G769" i="31"/>
  <c r="G749" i="31"/>
  <c r="G729" i="31"/>
  <c r="G714" i="31"/>
  <c r="G671" i="31"/>
  <c r="G657" i="31"/>
  <c r="G632" i="31"/>
  <c r="G476" i="31"/>
  <c r="G405" i="31"/>
  <c r="G395" i="31"/>
  <c r="H337" i="31"/>
  <c r="I337" i="31" s="1"/>
  <c r="G575" i="31"/>
  <c r="G527" i="31"/>
  <c r="G522" i="31"/>
  <c r="G504" i="31"/>
  <c r="G495" i="31"/>
  <c r="G429" i="31"/>
  <c r="H429" i="31"/>
  <c r="I429" i="31" s="1"/>
  <c r="G392" i="31"/>
  <c r="H210" i="31"/>
  <c r="I210" i="31" s="1"/>
  <c r="G210" i="31"/>
  <c r="G383" i="31"/>
  <c r="H274" i="31"/>
  <c r="I274" i="31" s="1"/>
  <c r="G274" i="31"/>
  <c r="G591" i="31"/>
  <c r="H322" i="31"/>
  <c r="I322" i="31" s="1"/>
  <c r="G322" i="31"/>
  <c r="G536" i="31"/>
  <c r="G607" i="31"/>
  <c r="G566" i="31"/>
  <c r="H566" i="31"/>
  <c r="I566" i="31" s="1"/>
  <c r="G424" i="31"/>
  <c r="G415" i="31"/>
  <c r="G386" i="31"/>
  <c r="G470" i="31"/>
  <c r="H470" i="31"/>
  <c r="I470" i="31" s="1"/>
  <c r="G614" i="31"/>
  <c r="H614" i="31"/>
  <c r="I614" i="31" s="1"/>
  <c r="G602" i="31"/>
  <c r="G502" i="31"/>
  <c r="H502" i="31"/>
  <c r="I502" i="31" s="1"/>
  <c r="G493" i="31"/>
  <c r="H493" i="31"/>
  <c r="I493" i="31" s="1"/>
  <c r="G456" i="31"/>
  <c r="G447" i="31"/>
  <c r="G367" i="31"/>
  <c r="G582" i="31"/>
  <c r="H582" i="31"/>
  <c r="I582" i="31" s="1"/>
  <c r="G618" i="31"/>
  <c r="H577" i="31"/>
  <c r="I577" i="31" s="1"/>
  <c r="G552" i="31"/>
  <c r="G589" i="31"/>
  <c r="G543" i="31"/>
  <c r="G538" i="31"/>
  <c r="G488" i="31"/>
  <c r="G479" i="31"/>
  <c r="G413" i="31"/>
  <c r="H413" i="31"/>
  <c r="I413" i="31" s="1"/>
  <c r="G586" i="31"/>
  <c r="G450" i="31"/>
  <c r="H338" i="31"/>
  <c r="I338" i="31" s="1"/>
  <c r="G338" i="31"/>
  <c r="H328" i="31"/>
  <c r="I328" i="31" s="1"/>
  <c r="G509" i="31"/>
  <c r="H509" i="31"/>
  <c r="I509" i="31" s="1"/>
  <c r="G598" i="31"/>
  <c r="H598" i="31"/>
  <c r="I598" i="31" s="1"/>
  <c r="G534" i="31"/>
  <c r="H534" i="31"/>
  <c r="I534" i="31" s="1"/>
  <c r="H916" i="31"/>
  <c r="I916" i="31" s="1"/>
  <c r="H900" i="31"/>
  <c r="I900" i="31" s="1"/>
  <c r="H884" i="31"/>
  <c r="I884" i="31" s="1"/>
  <c r="H868" i="31"/>
  <c r="I868" i="31" s="1"/>
  <c r="H852" i="31"/>
  <c r="I852" i="31" s="1"/>
  <c r="H836" i="31"/>
  <c r="I836" i="31" s="1"/>
  <c r="H820" i="31"/>
  <c r="I820" i="31" s="1"/>
  <c r="H804" i="31"/>
  <c r="I804" i="31" s="1"/>
  <c r="H788" i="31"/>
  <c r="I788" i="31" s="1"/>
  <c r="H772" i="31"/>
  <c r="I772" i="31" s="1"/>
  <c r="H756" i="31"/>
  <c r="I756" i="31" s="1"/>
  <c r="H740" i="31"/>
  <c r="I740" i="31" s="1"/>
  <c r="H724" i="31"/>
  <c r="I724" i="31" s="1"/>
  <c r="H708" i="31"/>
  <c r="I708" i="31" s="1"/>
  <c r="H692" i="31"/>
  <c r="I692" i="31" s="1"/>
  <c r="H676" i="31"/>
  <c r="I676" i="31" s="1"/>
  <c r="H625" i="31"/>
  <c r="I625" i="31" s="1"/>
  <c r="H568" i="31"/>
  <c r="I568" i="31" s="1"/>
  <c r="G511" i="31"/>
  <c r="G408" i="31"/>
  <c r="G399" i="31"/>
  <c r="G370" i="31"/>
  <c r="H290" i="31"/>
  <c r="I290" i="31" s="1"/>
  <c r="G290" i="31"/>
  <c r="H232" i="31"/>
  <c r="I232" i="31" s="1"/>
  <c r="G627" i="31"/>
  <c r="H258" i="31"/>
  <c r="I258" i="31" s="1"/>
  <c r="G258" i="31"/>
  <c r="G555" i="31"/>
  <c r="G546" i="31"/>
  <c r="G482" i="31"/>
  <c r="G454" i="31"/>
  <c r="H454" i="31"/>
  <c r="I454" i="31" s="1"/>
  <c r="G445" i="31"/>
  <c r="H445" i="31"/>
  <c r="I445" i="31" s="1"/>
  <c r="H242" i="31"/>
  <c r="I242" i="31" s="1"/>
  <c r="G242" i="31"/>
  <c r="H306" i="31"/>
  <c r="I306" i="31" s="1"/>
  <c r="G306" i="31"/>
  <c r="G550" i="31"/>
  <c r="H550" i="31"/>
  <c r="I550" i="31" s="1"/>
  <c r="G431" i="31"/>
  <c r="G461" i="31"/>
  <c r="H461" i="31"/>
  <c r="I461" i="31" s="1"/>
  <c r="G541" i="31"/>
  <c r="G523" i="31"/>
  <c r="G514" i="31"/>
  <c r="G486" i="31"/>
  <c r="H486" i="31"/>
  <c r="I486" i="31" s="1"/>
  <c r="G477" i="31"/>
  <c r="H477" i="31"/>
  <c r="I477" i="31" s="1"/>
  <c r="G440" i="31"/>
  <c r="G402" i="31"/>
  <c r="H360" i="31"/>
  <c r="I360" i="31" s="1"/>
  <c r="G643" i="31"/>
  <c r="G639" i="31"/>
  <c r="G518" i="31"/>
  <c r="H518" i="31"/>
  <c r="I518" i="31" s="1"/>
  <c r="H226" i="31"/>
  <c r="I226" i="31" s="1"/>
  <c r="G226" i="31"/>
  <c r="H397" i="31"/>
  <c r="I397" i="31" s="1"/>
  <c r="H381" i="31"/>
  <c r="I381" i="31" s="1"/>
  <c r="H365" i="31"/>
  <c r="I365" i="31" s="1"/>
  <c r="H349" i="31"/>
  <c r="I349" i="31" s="1"/>
  <c r="H333" i="31"/>
  <c r="I333" i="31" s="1"/>
  <c r="H317" i="31"/>
  <c r="I317" i="31" s="1"/>
  <c r="H301" i="31"/>
  <c r="I301" i="31" s="1"/>
  <c r="H285" i="31"/>
  <c r="I285" i="31" s="1"/>
  <c r="H269" i="31"/>
  <c r="I269" i="31" s="1"/>
  <c r="H253" i="31"/>
  <c r="I253" i="31" s="1"/>
  <c r="H237" i="31"/>
  <c r="I237" i="31" s="1"/>
  <c r="H221" i="31"/>
  <c r="I221" i="31" s="1"/>
  <c r="H205" i="31"/>
  <c r="I205" i="31" s="1"/>
  <c r="H438" i="31"/>
  <c r="I438" i="31" s="1"/>
  <c r="H422" i="31"/>
  <c r="I422" i="31" s="1"/>
  <c r="H406" i="31"/>
  <c r="I406" i="31" s="1"/>
  <c r="H390" i="31"/>
  <c r="I390" i="31" s="1"/>
  <c r="H374" i="31"/>
  <c r="I374" i="31" s="1"/>
  <c r="H294" i="31"/>
  <c r="I294" i="31" s="1"/>
  <c r="H278" i="31"/>
  <c r="I278" i="31" s="1"/>
  <c r="H262" i="31"/>
  <c r="I262" i="31" s="1"/>
  <c r="H246" i="31"/>
  <c r="I246" i="31" s="1"/>
  <c r="H233" i="31"/>
  <c r="I233" i="31" s="1"/>
  <c r="F200" i="31" l="1"/>
  <c r="H200" i="31" s="1"/>
  <c r="I200" i="31" s="1"/>
  <c r="E200" i="31"/>
  <c r="F199" i="31"/>
  <c r="H199" i="31" s="1"/>
  <c r="I199" i="31" s="1"/>
  <c r="E199" i="31"/>
  <c r="F198" i="31"/>
  <c r="H198" i="31" s="1"/>
  <c r="I198" i="31" s="1"/>
  <c r="E198" i="31"/>
  <c r="F197" i="31"/>
  <c r="H197" i="31" s="1"/>
  <c r="I197" i="31" s="1"/>
  <c r="E197" i="31"/>
  <c r="F196" i="31"/>
  <c r="H196" i="31" s="1"/>
  <c r="I196" i="31" s="1"/>
  <c r="E196" i="31"/>
  <c r="F195" i="31"/>
  <c r="H195" i="31" s="1"/>
  <c r="I195" i="31" s="1"/>
  <c r="E195" i="31"/>
  <c r="F194" i="31"/>
  <c r="H194" i="31" s="1"/>
  <c r="I194" i="31" s="1"/>
  <c r="E194" i="31"/>
  <c r="F193" i="31"/>
  <c r="H193" i="31" s="1"/>
  <c r="I193" i="31" s="1"/>
  <c r="E193" i="31"/>
  <c r="F192" i="31"/>
  <c r="H192" i="31" s="1"/>
  <c r="I192" i="31" s="1"/>
  <c r="E192" i="31"/>
  <c r="F191" i="31"/>
  <c r="H191" i="31" s="1"/>
  <c r="I191" i="31" s="1"/>
  <c r="E191" i="31"/>
  <c r="F190" i="31"/>
  <c r="H190" i="31" s="1"/>
  <c r="I190" i="31" s="1"/>
  <c r="E190" i="31"/>
  <c r="F189" i="31"/>
  <c r="H189" i="31" s="1"/>
  <c r="I189" i="31" s="1"/>
  <c r="E189" i="31"/>
  <c r="F188" i="31"/>
  <c r="H188" i="31" s="1"/>
  <c r="I188" i="31" s="1"/>
  <c r="E188" i="31"/>
  <c r="F187" i="31"/>
  <c r="H187" i="31" s="1"/>
  <c r="I187" i="31" s="1"/>
  <c r="E187" i="31"/>
  <c r="F186" i="31"/>
  <c r="H186" i="31" s="1"/>
  <c r="I186" i="31" s="1"/>
  <c r="E186" i="31"/>
  <c r="F185" i="31"/>
  <c r="H185" i="31" s="1"/>
  <c r="I185" i="31" s="1"/>
  <c r="E185" i="31"/>
  <c r="F184" i="31"/>
  <c r="H184" i="31" s="1"/>
  <c r="I184" i="31" s="1"/>
  <c r="E184" i="31"/>
  <c r="F183" i="31"/>
  <c r="H183" i="31" s="1"/>
  <c r="I183" i="31" s="1"/>
  <c r="E183" i="31"/>
  <c r="F182" i="31"/>
  <c r="H182" i="31" s="1"/>
  <c r="I182" i="31" s="1"/>
  <c r="E182" i="31"/>
  <c r="F181" i="31"/>
  <c r="H181" i="31" s="1"/>
  <c r="I181" i="31" s="1"/>
  <c r="E181" i="31"/>
  <c r="F180" i="31"/>
  <c r="H180" i="31" s="1"/>
  <c r="I180" i="31" s="1"/>
  <c r="E180" i="31"/>
  <c r="F179" i="31"/>
  <c r="H179" i="31" s="1"/>
  <c r="I179" i="31" s="1"/>
  <c r="E179" i="31"/>
  <c r="F178" i="31"/>
  <c r="H178" i="31" s="1"/>
  <c r="I178" i="31" s="1"/>
  <c r="E178" i="31"/>
  <c r="F177" i="31"/>
  <c r="H177" i="31" s="1"/>
  <c r="I177" i="31" s="1"/>
  <c r="E177" i="31"/>
  <c r="F176" i="31"/>
  <c r="H176" i="31" s="1"/>
  <c r="I176" i="31" s="1"/>
  <c r="E176" i="31"/>
  <c r="F175" i="31"/>
  <c r="H175" i="31" s="1"/>
  <c r="I175" i="31" s="1"/>
  <c r="E175" i="31"/>
  <c r="F174" i="31"/>
  <c r="H174" i="31" s="1"/>
  <c r="I174" i="31" s="1"/>
  <c r="E174" i="31"/>
  <c r="F173" i="31"/>
  <c r="H173" i="31" s="1"/>
  <c r="I173" i="31" s="1"/>
  <c r="E173" i="31"/>
  <c r="F172" i="31"/>
  <c r="H172" i="31" s="1"/>
  <c r="I172" i="31" s="1"/>
  <c r="E172" i="31"/>
  <c r="F171" i="31"/>
  <c r="H171" i="31" s="1"/>
  <c r="I171" i="31" s="1"/>
  <c r="E171" i="31"/>
  <c r="F170" i="31"/>
  <c r="H170" i="31" s="1"/>
  <c r="I170" i="31" s="1"/>
  <c r="E170" i="31"/>
  <c r="F169" i="31"/>
  <c r="H169" i="31" s="1"/>
  <c r="I169" i="31" s="1"/>
  <c r="E169" i="31"/>
  <c r="F168" i="31"/>
  <c r="H168" i="31" s="1"/>
  <c r="I168" i="31" s="1"/>
  <c r="E168" i="31"/>
  <c r="F167" i="31"/>
  <c r="H167" i="31" s="1"/>
  <c r="I167" i="31" s="1"/>
  <c r="E167" i="31"/>
  <c r="F166" i="31"/>
  <c r="H166" i="31" s="1"/>
  <c r="I166" i="31" s="1"/>
  <c r="E166" i="31"/>
  <c r="F165" i="31"/>
  <c r="H165" i="31" s="1"/>
  <c r="I165" i="31" s="1"/>
  <c r="E165" i="31"/>
  <c r="F164" i="31"/>
  <c r="H164" i="31" s="1"/>
  <c r="I164" i="31" s="1"/>
  <c r="E164" i="31"/>
  <c r="F163" i="31"/>
  <c r="H163" i="31" s="1"/>
  <c r="I163" i="31" s="1"/>
  <c r="E163" i="31"/>
  <c r="F162" i="31"/>
  <c r="H162" i="31" s="1"/>
  <c r="I162" i="31" s="1"/>
  <c r="E162" i="31"/>
  <c r="F161" i="31"/>
  <c r="H161" i="31" s="1"/>
  <c r="I161" i="31" s="1"/>
  <c r="E161" i="31"/>
  <c r="F160" i="31"/>
  <c r="H160" i="31" s="1"/>
  <c r="I160" i="31" s="1"/>
  <c r="E160" i="31"/>
  <c r="F159" i="31"/>
  <c r="H159" i="31" s="1"/>
  <c r="I159" i="31" s="1"/>
  <c r="E159" i="31"/>
  <c r="F158" i="31"/>
  <c r="H158" i="31" s="1"/>
  <c r="I158" i="31" s="1"/>
  <c r="E158" i="31"/>
  <c r="F157" i="31"/>
  <c r="H157" i="31" s="1"/>
  <c r="I157" i="31" s="1"/>
  <c r="E157" i="31"/>
  <c r="F156" i="31"/>
  <c r="H156" i="31" s="1"/>
  <c r="I156" i="31" s="1"/>
  <c r="E156" i="31"/>
  <c r="F155" i="31"/>
  <c r="H155" i="31" s="1"/>
  <c r="I155" i="31" s="1"/>
  <c r="E155" i="31"/>
  <c r="F154" i="31"/>
  <c r="H154" i="31" s="1"/>
  <c r="I154" i="31" s="1"/>
  <c r="E154" i="31"/>
  <c r="F153" i="31"/>
  <c r="H153" i="31" s="1"/>
  <c r="I153" i="31" s="1"/>
  <c r="E153" i="31"/>
  <c r="F152" i="31"/>
  <c r="H152" i="31" s="1"/>
  <c r="I152" i="31" s="1"/>
  <c r="E152" i="31"/>
  <c r="F151" i="31"/>
  <c r="H151" i="31" s="1"/>
  <c r="I151" i="31" s="1"/>
  <c r="E151" i="31"/>
  <c r="F150" i="31"/>
  <c r="H150" i="31" s="1"/>
  <c r="I150" i="31" s="1"/>
  <c r="E150" i="31"/>
  <c r="F149" i="31"/>
  <c r="H149" i="31" s="1"/>
  <c r="I149" i="31" s="1"/>
  <c r="E149" i="31"/>
  <c r="F148" i="31"/>
  <c r="H148" i="31" s="1"/>
  <c r="I148" i="31" s="1"/>
  <c r="E148" i="31"/>
  <c r="F147" i="31"/>
  <c r="H147" i="31" s="1"/>
  <c r="I147" i="31" s="1"/>
  <c r="E147" i="31"/>
  <c r="F146" i="31"/>
  <c r="H146" i="31" s="1"/>
  <c r="I146" i="31" s="1"/>
  <c r="E146" i="31"/>
  <c r="F145" i="31"/>
  <c r="H145" i="31" s="1"/>
  <c r="I145" i="31" s="1"/>
  <c r="E145" i="31"/>
  <c r="F144" i="31"/>
  <c r="H144" i="31" s="1"/>
  <c r="I144" i="31" s="1"/>
  <c r="E144" i="31"/>
  <c r="F143" i="31"/>
  <c r="H143" i="31" s="1"/>
  <c r="I143" i="31" s="1"/>
  <c r="E143" i="31"/>
  <c r="F142" i="31"/>
  <c r="H142" i="31" s="1"/>
  <c r="I142" i="31" s="1"/>
  <c r="E142" i="31"/>
  <c r="F141" i="31"/>
  <c r="H141" i="31" s="1"/>
  <c r="I141" i="31" s="1"/>
  <c r="E141" i="31"/>
  <c r="F140" i="31"/>
  <c r="H140" i="31" s="1"/>
  <c r="I140" i="31" s="1"/>
  <c r="E140" i="31"/>
  <c r="F139" i="31"/>
  <c r="H139" i="31" s="1"/>
  <c r="I139" i="31" s="1"/>
  <c r="E139" i="31"/>
  <c r="F138" i="31"/>
  <c r="H138" i="31" s="1"/>
  <c r="I138" i="31" s="1"/>
  <c r="E138" i="31"/>
  <c r="F137" i="31"/>
  <c r="H137" i="31" s="1"/>
  <c r="I137" i="31" s="1"/>
  <c r="E137" i="31"/>
  <c r="F136" i="31"/>
  <c r="H136" i="31" s="1"/>
  <c r="I136" i="31" s="1"/>
  <c r="E136" i="31"/>
  <c r="F135" i="31"/>
  <c r="H135" i="31" s="1"/>
  <c r="I135" i="31" s="1"/>
  <c r="E135" i="31"/>
  <c r="F134" i="31"/>
  <c r="H134" i="31" s="1"/>
  <c r="I134" i="31" s="1"/>
  <c r="E134" i="31"/>
  <c r="F133" i="31"/>
  <c r="H133" i="31" s="1"/>
  <c r="I133" i="31" s="1"/>
  <c r="E133" i="31"/>
  <c r="F132" i="31"/>
  <c r="H132" i="31" s="1"/>
  <c r="I132" i="31" s="1"/>
  <c r="E132" i="31"/>
  <c r="F131" i="31"/>
  <c r="H131" i="31" s="1"/>
  <c r="I131" i="31" s="1"/>
  <c r="E131" i="31"/>
  <c r="F130" i="31"/>
  <c r="H130" i="31" s="1"/>
  <c r="I130" i="31" s="1"/>
  <c r="E130" i="31"/>
  <c r="F129" i="31"/>
  <c r="H129" i="31" s="1"/>
  <c r="I129" i="31" s="1"/>
  <c r="E129" i="31"/>
  <c r="F128" i="31"/>
  <c r="H128" i="31" s="1"/>
  <c r="I128" i="31" s="1"/>
  <c r="E128" i="31"/>
  <c r="F127" i="31"/>
  <c r="H127" i="31" s="1"/>
  <c r="I127" i="31" s="1"/>
  <c r="E127" i="31"/>
  <c r="F126" i="31"/>
  <c r="H126" i="31" s="1"/>
  <c r="I126" i="31" s="1"/>
  <c r="E126" i="31"/>
  <c r="F125" i="31"/>
  <c r="H125" i="31" s="1"/>
  <c r="I125" i="31" s="1"/>
  <c r="E125" i="31"/>
  <c r="F124" i="31"/>
  <c r="H124" i="31" s="1"/>
  <c r="I124" i="31" s="1"/>
  <c r="E124" i="31"/>
  <c r="F123" i="31"/>
  <c r="H123" i="31" s="1"/>
  <c r="I123" i="31" s="1"/>
  <c r="E123" i="31"/>
  <c r="F122" i="31"/>
  <c r="H122" i="31" s="1"/>
  <c r="I122" i="31" s="1"/>
  <c r="E122" i="31"/>
  <c r="F121" i="31"/>
  <c r="H121" i="31" s="1"/>
  <c r="I121" i="31" s="1"/>
  <c r="E121" i="31"/>
  <c r="F120" i="31"/>
  <c r="H120" i="31" s="1"/>
  <c r="I120" i="31" s="1"/>
  <c r="E120" i="31"/>
  <c r="F119" i="31"/>
  <c r="H119" i="31" s="1"/>
  <c r="I119" i="31" s="1"/>
  <c r="E119" i="31"/>
  <c r="F118" i="31"/>
  <c r="H118" i="31" s="1"/>
  <c r="I118" i="31" s="1"/>
  <c r="E118" i="31"/>
  <c r="F117" i="31"/>
  <c r="H117" i="31" s="1"/>
  <c r="I117" i="31" s="1"/>
  <c r="E117" i="31"/>
  <c r="F116" i="31"/>
  <c r="H116" i="31" s="1"/>
  <c r="I116" i="31" s="1"/>
  <c r="E116" i="31"/>
  <c r="F115" i="31"/>
  <c r="H115" i="31" s="1"/>
  <c r="I115" i="31" s="1"/>
  <c r="E115" i="31"/>
  <c r="F114" i="31"/>
  <c r="H114" i="31" s="1"/>
  <c r="I114" i="31" s="1"/>
  <c r="E114" i="31"/>
  <c r="F113" i="31"/>
  <c r="H113" i="31" s="1"/>
  <c r="I113" i="31" s="1"/>
  <c r="E113" i="31"/>
  <c r="F112" i="31"/>
  <c r="H112" i="31" s="1"/>
  <c r="I112" i="31" s="1"/>
  <c r="E112" i="31"/>
  <c r="F111" i="31"/>
  <c r="H111" i="31" s="1"/>
  <c r="I111" i="31" s="1"/>
  <c r="E111" i="31"/>
  <c r="F110" i="31"/>
  <c r="H110" i="31" s="1"/>
  <c r="I110" i="31" s="1"/>
  <c r="E110" i="31"/>
  <c r="F109" i="31"/>
  <c r="H109" i="31" s="1"/>
  <c r="I109" i="31" s="1"/>
  <c r="E109" i="31"/>
  <c r="F108" i="31"/>
  <c r="H108" i="31" s="1"/>
  <c r="I108" i="31" s="1"/>
  <c r="E108" i="31"/>
  <c r="F107" i="31"/>
  <c r="H107" i="31" s="1"/>
  <c r="I107" i="31" s="1"/>
  <c r="E107" i="31"/>
  <c r="F106" i="31"/>
  <c r="H106" i="31" s="1"/>
  <c r="I106" i="31" s="1"/>
  <c r="E106" i="31"/>
  <c r="F105" i="31"/>
  <c r="H105" i="31" s="1"/>
  <c r="I105" i="31" s="1"/>
  <c r="E105" i="31"/>
  <c r="F104" i="31"/>
  <c r="H104" i="31" s="1"/>
  <c r="I104" i="31" s="1"/>
  <c r="E104" i="31"/>
  <c r="F103" i="31"/>
  <c r="H103" i="31" s="1"/>
  <c r="I103" i="31" s="1"/>
  <c r="E103" i="31"/>
  <c r="F102" i="31"/>
  <c r="H102" i="31" s="1"/>
  <c r="I102" i="31" s="1"/>
  <c r="E102" i="31"/>
  <c r="F101" i="31"/>
  <c r="H101" i="31" s="1"/>
  <c r="I101" i="31" s="1"/>
  <c r="E101" i="31"/>
  <c r="F100" i="31"/>
  <c r="H100" i="31" s="1"/>
  <c r="I100" i="31" s="1"/>
  <c r="E100" i="31"/>
  <c r="F99" i="31"/>
  <c r="H99" i="31" s="1"/>
  <c r="I99" i="31" s="1"/>
  <c r="E99" i="31"/>
  <c r="F98" i="31"/>
  <c r="H98" i="31" s="1"/>
  <c r="I98" i="31" s="1"/>
  <c r="E98" i="31"/>
  <c r="F97" i="31"/>
  <c r="H97" i="31" s="1"/>
  <c r="I97" i="31" s="1"/>
  <c r="E97" i="31"/>
  <c r="F96" i="31"/>
  <c r="H96" i="31" s="1"/>
  <c r="I96" i="31" s="1"/>
  <c r="E96" i="31"/>
  <c r="F95" i="31"/>
  <c r="H95" i="31" s="1"/>
  <c r="I95" i="31" s="1"/>
  <c r="E95" i="31"/>
  <c r="F94" i="31"/>
  <c r="H94" i="31" s="1"/>
  <c r="I94" i="31" s="1"/>
  <c r="E94" i="31"/>
  <c r="F93" i="31"/>
  <c r="H93" i="31" s="1"/>
  <c r="I93" i="31" s="1"/>
  <c r="E93" i="31"/>
  <c r="F92" i="31"/>
  <c r="H92" i="31" s="1"/>
  <c r="I92" i="31" s="1"/>
  <c r="E92" i="31"/>
  <c r="F91" i="31"/>
  <c r="H91" i="31" s="1"/>
  <c r="I91" i="31" s="1"/>
  <c r="E91" i="31"/>
  <c r="F90" i="31"/>
  <c r="H90" i="31" s="1"/>
  <c r="I90" i="31" s="1"/>
  <c r="E90" i="31"/>
  <c r="F89" i="31"/>
  <c r="H89" i="31" s="1"/>
  <c r="I89" i="31" s="1"/>
  <c r="E89" i="31"/>
  <c r="F88" i="31"/>
  <c r="H88" i="31" s="1"/>
  <c r="I88" i="31" s="1"/>
  <c r="E88" i="31"/>
  <c r="F87" i="31"/>
  <c r="H87" i="31" s="1"/>
  <c r="I87" i="31" s="1"/>
  <c r="E87" i="31"/>
  <c r="F86" i="31"/>
  <c r="H86" i="31" s="1"/>
  <c r="I86" i="31" s="1"/>
  <c r="E86" i="31"/>
  <c r="F85" i="31"/>
  <c r="H85" i="31" s="1"/>
  <c r="I85" i="31" s="1"/>
  <c r="E85" i="31"/>
  <c r="F84" i="31"/>
  <c r="H84" i="31" s="1"/>
  <c r="I84" i="31" s="1"/>
  <c r="E84" i="31"/>
  <c r="F83" i="31"/>
  <c r="H83" i="31" s="1"/>
  <c r="I83" i="31" s="1"/>
  <c r="E83" i="31"/>
  <c r="F82" i="31"/>
  <c r="H82" i="31" s="1"/>
  <c r="I82" i="31" s="1"/>
  <c r="E82" i="31"/>
  <c r="F81" i="31"/>
  <c r="H81" i="31" s="1"/>
  <c r="I81" i="31" s="1"/>
  <c r="E81" i="31"/>
  <c r="F80" i="31"/>
  <c r="H80" i="31" s="1"/>
  <c r="I80" i="31" s="1"/>
  <c r="E80" i="31"/>
  <c r="F79" i="31"/>
  <c r="H79" i="31" s="1"/>
  <c r="I79" i="31" s="1"/>
  <c r="E79" i="31"/>
  <c r="F78" i="31"/>
  <c r="H78" i="31" s="1"/>
  <c r="I78" i="31" s="1"/>
  <c r="E78" i="31"/>
  <c r="F77" i="31"/>
  <c r="H77" i="31" s="1"/>
  <c r="I77" i="31" s="1"/>
  <c r="E77" i="31"/>
  <c r="F76" i="31"/>
  <c r="H76" i="31" s="1"/>
  <c r="I76" i="31" s="1"/>
  <c r="E76" i="31"/>
  <c r="F75" i="31"/>
  <c r="H75" i="31" s="1"/>
  <c r="I75" i="31" s="1"/>
  <c r="E75" i="31"/>
  <c r="F74" i="31"/>
  <c r="H74" i="31" s="1"/>
  <c r="I74" i="31" s="1"/>
  <c r="E74" i="31"/>
  <c r="F73" i="31"/>
  <c r="H73" i="31" s="1"/>
  <c r="I73" i="31" s="1"/>
  <c r="E73" i="31"/>
  <c r="F72" i="31"/>
  <c r="H72" i="31" s="1"/>
  <c r="I72" i="31" s="1"/>
  <c r="E72" i="31"/>
  <c r="F71" i="31"/>
  <c r="H71" i="31" s="1"/>
  <c r="I71" i="31" s="1"/>
  <c r="E71" i="31"/>
  <c r="F70" i="31"/>
  <c r="H70" i="31" s="1"/>
  <c r="I70" i="31" s="1"/>
  <c r="E70" i="31"/>
  <c r="F69" i="31"/>
  <c r="H69" i="31" s="1"/>
  <c r="I69" i="31" s="1"/>
  <c r="E69" i="31"/>
  <c r="F68" i="31"/>
  <c r="H68" i="31" s="1"/>
  <c r="I68" i="31" s="1"/>
  <c r="E68" i="31"/>
  <c r="F67" i="31"/>
  <c r="H67" i="31" s="1"/>
  <c r="I67" i="31" s="1"/>
  <c r="E67" i="31"/>
  <c r="F66" i="31"/>
  <c r="H66" i="31" s="1"/>
  <c r="I66" i="31" s="1"/>
  <c r="E66" i="31"/>
  <c r="F65" i="31"/>
  <c r="H65" i="31" s="1"/>
  <c r="I65" i="31" s="1"/>
  <c r="E65" i="31"/>
  <c r="F64" i="31"/>
  <c r="H64" i="31" s="1"/>
  <c r="I64" i="31" s="1"/>
  <c r="E64" i="31"/>
  <c r="F63" i="31"/>
  <c r="H63" i="31" s="1"/>
  <c r="I63" i="31" s="1"/>
  <c r="E63" i="31"/>
  <c r="F62" i="31"/>
  <c r="H62" i="31" s="1"/>
  <c r="I62" i="31" s="1"/>
  <c r="E62" i="31"/>
  <c r="F61" i="31"/>
  <c r="G61" i="31" s="1"/>
  <c r="E61" i="31"/>
  <c r="F60" i="31"/>
  <c r="E60" i="31"/>
  <c r="F59" i="31"/>
  <c r="H59" i="31" s="1"/>
  <c r="I59" i="31" s="1"/>
  <c r="E59" i="31"/>
  <c r="F58" i="31"/>
  <c r="H58" i="31" s="1"/>
  <c r="I58" i="31" s="1"/>
  <c r="E58" i="31"/>
  <c r="F57" i="31"/>
  <c r="H57" i="31" s="1"/>
  <c r="I57" i="31" s="1"/>
  <c r="E57" i="31"/>
  <c r="F56" i="31"/>
  <c r="H56" i="31" s="1"/>
  <c r="I56" i="31" s="1"/>
  <c r="E56" i="31"/>
  <c r="F55" i="31"/>
  <c r="H55" i="31" s="1"/>
  <c r="I55" i="31" s="1"/>
  <c r="E55" i="31"/>
  <c r="F54" i="31"/>
  <c r="G54" i="31" s="1"/>
  <c r="E54" i="31"/>
  <c r="F53" i="31"/>
  <c r="H53" i="31" s="1"/>
  <c r="I53" i="31" s="1"/>
  <c r="E53" i="31"/>
  <c r="F52" i="31"/>
  <c r="H52" i="31" s="1"/>
  <c r="I52" i="31" s="1"/>
  <c r="E52" i="31"/>
  <c r="F51" i="31"/>
  <c r="H51" i="31" s="1"/>
  <c r="I51" i="31" s="1"/>
  <c r="E51" i="31"/>
  <c r="F50" i="31"/>
  <c r="H50" i="31" s="1"/>
  <c r="I50" i="31" s="1"/>
  <c r="E50" i="31"/>
  <c r="F49" i="31"/>
  <c r="H49" i="31" s="1"/>
  <c r="I49" i="31" s="1"/>
  <c r="E49" i="31"/>
  <c r="F48" i="31"/>
  <c r="H48" i="31" s="1"/>
  <c r="I48" i="31" s="1"/>
  <c r="E48" i="31"/>
  <c r="F47" i="31"/>
  <c r="H47" i="31" s="1"/>
  <c r="I47" i="31" s="1"/>
  <c r="E47" i="31"/>
  <c r="F46" i="31"/>
  <c r="H46" i="31" s="1"/>
  <c r="I46" i="31" s="1"/>
  <c r="E46" i="31"/>
  <c r="F45" i="31"/>
  <c r="G45" i="31" s="1"/>
  <c r="E45" i="31"/>
  <c r="F44" i="31"/>
  <c r="G44" i="31" s="1"/>
  <c r="E44" i="31"/>
  <c r="F43" i="31"/>
  <c r="H43" i="31" s="1"/>
  <c r="I43" i="31" s="1"/>
  <c r="E43" i="31"/>
  <c r="F42" i="31"/>
  <c r="H42" i="31" s="1"/>
  <c r="I42" i="31" s="1"/>
  <c r="E42" i="31"/>
  <c r="F41" i="31"/>
  <c r="E41" i="31"/>
  <c r="F40" i="31"/>
  <c r="H40" i="31" s="1"/>
  <c r="I40" i="31" s="1"/>
  <c r="E40" i="31"/>
  <c r="F39" i="31"/>
  <c r="H39" i="31" s="1"/>
  <c r="I39" i="31" s="1"/>
  <c r="E39" i="31"/>
  <c r="F38" i="31"/>
  <c r="G38" i="31" s="1"/>
  <c r="E38" i="31"/>
  <c r="F37" i="31"/>
  <c r="H37" i="31" s="1"/>
  <c r="I37" i="31" s="1"/>
  <c r="E37" i="31"/>
  <c r="F36" i="31"/>
  <c r="H36" i="31" s="1"/>
  <c r="I36" i="31" s="1"/>
  <c r="E36" i="31"/>
  <c r="F35" i="31"/>
  <c r="G35" i="31" s="1"/>
  <c r="E35" i="31"/>
  <c r="F34" i="31"/>
  <c r="H34" i="31" s="1"/>
  <c r="I34" i="31" s="1"/>
  <c r="E34" i="31"/>
  <c r="F33" i="31"/>
  <c r="H33" i="31" s="1"/>
  <c r="I33" i="31" s="1"/>
  <c r="E33" i="31"/>
  <c r="F32" i="31"/>
  <c r="H32" i="31" s="1"/>
  <c r="I32" i="31" s="1"/>
  <c r="E32" i="31"/>
  <c r="F31" i="31"/>
  <c r="H31" i="31" s="1"/>
  <c r="I31" i="31" s="1"/>
  <c r="E31" i="31"/>
  <c r="F30" i="31"/>
  <c r="H30" i="31" s="1"/>
  <c r="I30" i="31" s="1"/>
  <c r="E30" i="31"/>
  <c r="F29" i="31"/>
  <c r="G29" i="31" s="1"/>
  <c r="E29" i="31"/>
  <c r="F28" i="31"/>
  <c r="G28" i="31" s="1"/>
  <c r="E28" i="31"/>
  <c r="F27" i="31"/>
  <c r="H27" i="31" s="1"/>
  <c r="I27" i="31" s="1"/>
  <c r="E27" i="31"/>
  <c r="F26" i="31"/>
  <c r="H26" i="31" s="1"/>
  <c r="I26" i="31" s="1"/>
  <c r="E26" i="31"/>
  <c r="F25" i="31"/>
  <c r="H25" i="31" s="1"/>
  <c r="I25" i="31" s="1"/>
  <c r="E25" i="31"/>
  <c r="F24" i="31"/>
  <c r="H24" i="31" s="1"/>
  <c r="I24" i="31" s="1"/>
  <c r="E24" i="31"/>
  <c r="F23" i="31"/>
  <c r="H23" i="31" s="1"/>
  <c r="I23" i="31" s="1"/>
  <c r="E23" i="31"/>
  <c r="F22" i="31"/>
  <c r="G22" i="31" s="1"/>
  <c r="E22" i="31"/>
  <c r="F21" i="31"/>
  <c r="H21" i="31" s="1"/>
  <c r="I21" i="31" s="1"/>
  <c r="E21" i="31"/>
  <c r="F20" i="31"/>
  <c r="G20" i="31" s="1"/>
  <c r="E20" i="31"/>
  <c r="F19" i="31"/>
  <c r="H19" i="31" s="1"/>
  <c r="I19" i="31" s="1"/>
  <c r="E19" i="31"/>
  <c r="F18" i="31"/>
  <c r="H18" i="31" s="1"/>
  <c r="I18" i="31" s="1"/>
  <c r="E18" i="31"/>
  <c r="F17" i="31"/>
  <c r="H17" i="31" s="1"/>
  <c r="I17" i="31" s="1"/>
  <c r="E17" i="31"/>
  <c r="F16" i="31"/>
  <c r="H16" i="31" s="1"/>
  <c r="I16" i="31" s="1"/>
  <c r="E16" i="31"/>
  <c r="F15" i="31"/>
  <c r="H15" i="31" s="1"/>
  <c r="I15" i="31" s="1"/>
  <c r="E15" i="31"/>
  <c r="G15" i="31" s="1"/>
  <c r="F200" i="29"/>
  <c r="H200" i="29" s="1"/>
  <c r="I200" i="29" s="1"/>
  <c r="E200" i="29"/>
  <c r="F199" i="29"/>
  <c r="H199" i="29" s="1"/>
  <c r="I199" i="29" s="1"/>
  <c r="E199" i="29"/>
  <c r="F198" i="29"/>
  <c r="H198" i="29" s="1"/>
  <c r="I198" i="29" s="1"/>
  <c r="E198" i="29"/>
  <c r="F197" i="29"/>
  <c r="H197" i="29" s="1"/>
  <c r="I197" i="29" s="1"/>
  <c r="E197" i="29"/>
  <c r="F196" i="29"/>
  <c r="H196" i="29" s="1"/>
  <c r="I196" i="29" s="1"/>
  <c r="E196" i="29"/>
  <c r="F195" i="29"/>
  <c r="H195" i="29" s="1"/>
  <c r="I195" i="29" s="1"/>
  <c r="E195" i="29"/>
  <c r="F194" i="29"/>
  <c r="H194" i="29" s="1"/>
  <c r="I194" i="29" s="1"/>
  <c r="E194" i="29"/>
  <c r="F193" i="29"/>
  <c r="H193" i="29" s="1"/>
  <c r="I193" i="29" s="1"/>
  <c r="E193" i="29"/>
  <c r="F192" i="29"/>
  <c r="H192" i="29" s="1"/>
  <c r="I192" i="29" s="1"/>
  <c r="E192" i="29"/>
  <c r="F191" i="29"/>
  <c r="H191" i="29" s="1"/>
  <c r="I191" i="29" s="1"/>
  <c r="E191" i="29"/>
  <c r="F190" i="29"/>
  <c r="H190" i="29" s="1"/>
  <c r="I190" i="29" s="1"/>
  <c r="E190" i="29"/>
  <c r="F189" i="29"/>
  <c r="H189" i="29" s="1"/>
  <c r="I189" i="29" s="1"/>
  <c r="E189" i="29"/>
  <c r="F188" i="29"/>
  <c r="H188" i="29" s="1"/>
  <c r="I188" i="29" s="1"/>
  <c r="E188" i="29"/>
  <c r="F187" i="29"/>
  <c r="H187" i="29" s="1"/>
  <c r="I187" i="29" s="1"/>
  <c r="E187" i="29"/>
  <c r="F186" i="29"/>
  <c r="H186" i="29" s="1"/>
  <c r="I186" i="29" s="1"/>
  <c r="E186" i="29"/>
  <c r="F185" i="29"/>
  <c r="H185" i="29" s="1"/>
  <c r="I185" i="29" s="1"/>
  <c r="E185" i="29"/>
  <c r="F184" i="29"/>
  <c r="H184" i="29" s="1"/>
  <c r="I184" i="29" s="1"/>
  <c r="E184" i="29"/>
  <c r="F183" i="29"/>
  <c r="H183" i="29" s="1"/>
  <c r="I183" i="29" s="1"/>
  <c r="E183" i="29"/>
  <c r="F182" i="29"/>
  <c r="H182" i="29" s="1"/>
  <c r="I182" i="29" s="1"/>
  <c r="E182" i="29"/>
  <c r="F181" i="29"/>
  <c r="H181" i="29" s="1"/>
  <c r="I181" i="29" s="1"/>
  <c r="E181" i="29"/>
  <c r="F180" i="29"/>
  <c r="H180" i="29" s="1"/>
  <c r="I180" i="29" s="1"/>
  <c r="E180" i="29"/>
  <c r="F179" i="29"/>
  <c r="H179" i="29" s="1"/>
  <c r="I179" i="29" s="1"/>
  <c r="E179" i="29"/>
  <c r="F178" i="29"/>
  <c r="H178" i="29" s="1"/>
  <c r="I178" i="29" s="1"/>
  <c r="E178" i="29"/>
  <c r="F177" i="29"/>
  <c r="H177" i="29" s="1"/>
  <c r="I177" i="29" s="1"/>
  <c r="E177" i="29"/>
  <c r="F176" i="29"/>
  <c r="H176" i="29" s="1"/>
  <c r="I176" i="29" s="1"/>
  <c r="E176" i="29"/>
  <c r="F175" i="29"/>
  <c r="H175" i="29" s="1"/>
  <c r="I175" i="29" s="1"/>
  <c r="E175" i="29"/>
  <c r="F174" i="29"/>
  <c r="H174" i="29" s="1"/>
  <c r="I174" i="29" s="1"/>
  <c r="E174" i="29"/>
  <c r="F173" i="29"/>
  <c r="H173" i="29" s="1"/>
  <c r="I173" i="29" s="1"/>
  <c r="E173" i="29"/>
  <c r="F172" i="29"/>
  <c r="H172" i="29" s="1"/>
  <c r="I172" i="29" s="1"/>
  <c r="E172" i="29"/>
  <c r="F171" i="29"/>
  <c r="H171" i="29" s="1"/>
  <c r="I171" i="29" s="1"/>
  <c r="E171" i="29"/>
  <c r="F170" i="29"/>
  <c r="H170" i="29" s="1"/>
  <c r="I170" i="29" s="1"/>
  <c r="E170" i="29"/>
  <c r="F169" i="29"/>
  <c r="H169" i="29" s="1"/>
  <c r="I169" i="29" s="1"/>
  <c r="E169" i="29"/>
  <c r="F168" i="29"/>
  <c r="H168" i="29" s="1"/>
  <c r="I168" i="29" s="1"/>
  <c r="E168" i="29"/>
  <c r="F167" i="29"/>
  <c r="H167" i="29" s="1"/>
  <c r="I167" i="29" s="1"/>
  <c r="E167" i="29"/>
  <c r="F166" i="29"/>
  <c r="H166" i="29" s="1"/>
  <c r="I166" i="29" s="1"/>
  <c r="E166" i="29"/>
  <c r="F165" i="29"/>
  <c r="H165" i="29" s="1"/>
  <c r="I165" i="29" s="1"/>
  <c r="E165" i="29"/>
  <c r="F164" i="29"/>
  <c r="H164" i="29" s="1"/>
  <c r="I164" i="29" s="1"/>
  <c r="E164" i="29"/>
  <c r="F163" i="29"/>
  <c r="H163" i="29" s="1"/>
  <c r="I163" i="29" s="1"/>
  <c r="E163" i="29"/>
  <c r="F162" i="29"/>
  <c r="H162" i="29" s="1"/>
  <c r="I162" i="29" s="1"/>
  <c r="E162" i="29"/>
  <c r="F161" i="29"/>
  <c r="H161" i="29" s="1"/>
  <c r="I161" i="29" s="1"/>
  <c r="E161" i="29"/>
  <c r="F160" i="29"/>
  <c r="H160" i="29" s="1"/>
  <c r="I160" i="29" s="1"/>
  <c r="E160" i="29"/>
  <c r="F159" i="29"/>
  <c r="H159" i="29" s="1"/>
  <c r="I159" i="29" s="1"/>
  <c r="E159" i="29"/>
  <c r="F158" i="29"/>
  <c r="H158" i="29" s="1"/>
  <c r="I158" i="29" s="1"/>
  <c r="E158" i="29"/>
  <c r="F157" i="29"/>
  <c r="H157" i="29" s="1"/>
  <c r="I157" i="29" s="1"/>
  <c r="E157" i="29"/>
  <c r="F156" i="29"/>
  <c r="H156" i="29" s="1"/>
  <c r="I156" i="29" s="1"/>
  <c r="E156" i="29"/>
  <c r="F155" i="29"/>
  <c r="H155" i="29" s="1"/>
  <c r="I155" i="29" s="1"/>
  <c r="E155" i="29"/>
  <c r="F154" i="29"/>
  <c r="H154" i="29" s="1"/>
  <c r="I154" i="29" s="1"/>
  <c r="E154" i="29"/>
  <c r="F153" i="29"/>
  <c r="H153" i="29" s="1"/>
  <c r="I153" i="29" s="1"/>
  <c r="E153" i="29"/>
  <c r="F152" i="29"/>
  <c r="H152" i="29" s="1"/>
  <c r="I152" i="29" s="1"/>
  <c r="E152" i="29"/>
  <c r="F151" i="29"/>
  <c r="H151" i="29" s="1"/>
  <c r="I151" i="29" s="1"/>
  <c r="E151" i="29"/>
  <c r="F150" i="29"/>
  <c r="H150" i="29" s="1"/>
  <c r="I150" i="29" s="1"/>
  <c r="E150" i="29"/>
  <c r="F149" i="29"/>
  <c r="H149" i="29" s="1"/>
  <c r="I149" i="29" s="1"/>
  <c r="E149" i="29"/>
  <c r="F148" i="29"/>
  <c r="H148" i="29" s="1"/>
  <c r="I148" i="29" s="1"/>
  <c r="E148" i="29"/>
  <c r="F147" i="29"/>
  <c r="H147" i="29" s="1"/>
  <c r="I147" i="29" s="1"/>
  <c r="E147" i="29"/>
  <c r="F146" i="29"/>
  <c r="H146" i="29" s="1"/>
  <c r="I146" i="29" s="1"/>
  <c r="E146" i="29"/>
  <c r="F145" i="29"/>
  <c r="H145" i="29" s="1"/>
  <c r="I145" i="29" s="1"/>
  <c r="E145" i="29"/>
  <c r="F144" i="29"/>
  <c r="H144" i="29" s="1"/>
  <c r="I144" i="29" s="1"/>
  <c r="E144" i="29"/>
  <c r="F143" i="29"/>
  <c r="H143" i="29" s="1"/>
  <c r="I143" i="29" s="1"/>
  <c r="E143" i="29"/>
  <c r="F142" i="29"/>
  <c r="H142" i="29" s="1"/>
  <c r="I142" i="29" s="1"/>
  <c r="E142" i="29"/>
  <c r="F141" i="29"/>
  <c r="H141" i="29" s="1"/>
  <c r="I141" i="29" s="1"/>
  <c r="E141" i="29"/>
  <c r="F140" i="29"/>
  <c r="H140" i="29" s="1"/>
  <c r="I140" i="29" s="1"/>
  <c r="E140" i="29"/>
  <c r="F139" i="29"/>
  <c r="H139" i="29" s="1"/>
  <c r="I139" i="29" s="1"/>
  <c r="E139" i="29"/>
  <c r="F138" i="29"/>
  <c r="H138" i="29" s="1"/>
  <c r="I138" i="29" s="1"/>
  <c r="E138" i="29"/>
  <c r="F137" i="29"/>
  <c r="H137" i="29" s="1"/>
  <c r="I137" i="29" s="1"/>
  <c r="E137" i="29"/>
  <c r="F136" i="29"/>
  <c r="H136" i="29" s="1"/>
  <c r="I136" i="29" s="1"/>
  <c r="E136" i="29"/>
  <c r="F135" i="29"/>
  <c r="H135" i="29" s="1"/>
  <c r="I135" i="29" s="1"/>
  <c r="E135" i="29"/>
  <c r="F134" i="29"/>
  <c r="H134" i="29" s="1"/>
  <c r="I134" i="29" s="1"/>
  <c r="E134" i="29"/>
  <c r="F133" i="29"/>
  <c r="H133" i="29" s="1"/>
  <c r="I133" i="29" s="1"/>
  <c r="E133" i="29"/>
  <c r="F132" i="29"/>
  <c r="H132" i="29" s="1"/>
  <c r="I132" i="29" s="1"/>
  <c r="E132" i="29"/>
  <c r="F131" i="29"/>
  <c r="H131" i="29" s="1"/>
  <c r="I131" i="29" s="1"/>
  <c r="E131" i="29"/>
  <c r="F130" i="29"/>
  <c r="H130" i="29" s="1"/>
  <c r="I130" i="29" s="1"/>
  <c r="E130" i="29"/>
  <c r="F129" i="29"/>
  <c r="H129" i="29" s="1"/>
  <c r="I129" i="29" s="1"/>
  <c r="E129" i="29"/>
  <c r="F128" i="29"/>
  <c r="H128" i="29" s="1"/>
  <c r="I128" i="29" s="1"/>
  <c r="E128" i="29"/>
  <c r="F127" i="29"/>
  <c r="H127" i="29" s="1"/>
  <c r="I127" i="29" s="1"/>
  <c r="E127" i="29"/>
  <c r="F126" i="29"/>
  <c r="H126" i="29" s="1"/>
  <c r="I126" i="29" s="1"/>
  <c r="E126" i="29"/>
  <c r="F125" i="29"/>
  <c r="H125" i="29" s="1"/>
  <c r="I125" i="29" s="1"/>
  <c r="E125" i="29"/>
  <c r="F124" i="29"/>
  <c r="H124" i="29" s="1"/>
  <c r="I124" i="29" s="1"/>
  <c r="E124" i="29"/>
  <c r="F123" i="29"/>
  <c r="H123" i="29" s="1"/>
  <c r="I123" i="29" s="1"/>
  <c r="E123" i="29"/>
  <c r="F122" i="29"/>
  <c r="H122" i="29" s="1"/>
  <c r="I122" i="29" s="1"/>
  <c r="E122" i="29"/>
  <c r="F121" i="29"/>
  <c r="H121" i="29" s="1"/>
  <c r="I121" i="29" s="1"/>
  <c r="E121" i="29"/>
  <c r="F120" i="29"/>
  <c r="H120" i="29" s="1"/>
  <c r="I120" i="29" s="1"/>
  <c r="E120" i="29"/>
  <c r="F119" i="29"/>
  <c r="H119" i="29" s="1"/>
  <c r="I119" i="29" s="1"/>
  <c r="E119" i="29"/>
  <c r="F118" i="29"/>
  <c r="H118" i="29" s="1"/>
  <c r="I118" i="29" s="1"/>
  <c r="E118" i="29"/>
  <c r="F117" i="29"/>
  <c r="H117" i="29" s="1"/>
  <c r="I117" i="29" s="1"/>
  <c r="E117" i="29"/>
  <c r="F116" i="29"/>
  <c r="H116" i="29" s="1"/>
  <c r="I116" i="29" s="1"/>
  <c r="E116" i="29"/>
  <c r="F115" i="29"/>
  <c r="H115" i="29" s="1"/>
  <c r="I115" i="29" s="1"/>
  <c r="E115" i="29"/>
  <c r="F114" i="29"/>
  <c r="H114" i="29" s="1"/>
  <c r="I114" i="29" s="1"/>
  <c r="E114" i="29"/>
  <c r="F113" i="29"/>
  <c r="H113" i="29" s="1"/>
  <c r="I113" i="29" s="1"/>
  <c r="E113" i="29"/>
  <c r="F112" i="29"/>
  <c r="H112" i="29" s="1"/>
  <c r="I112" i="29" s="1"/>
  <c r="E112" i="29"/>
  <c r="F111" i="29"/>
  <c r="H111" i="29" s="1"/>
  <c r="I111" i="29" s="1"/>
  <c r="E111" i="29"/>
  <c r="F110" i="29"/>
  <c r="H110" i="29" s="1"/>
  <c r="I110" i="29" s="1"/>
  <c r="E110" i="29"/>
  <c r="F109" i="29"/>
  <c r="H109" i="29" s="1"/>
  <c r="I109" i="29" s="1"/>
  <c r="E109" i="29"/>
  <c r="F108" i="29"/>
  <c r="H108" i="29" s="1"/>
  <c r="I108" i="29" s="1"/>
  <c r="E108" i="29"/>
  <c r="F107" i="29"/>
  <c r="H107" i="29" s="1"/>
  <c r="I107" i="29" s="1"/>
  <c r="E107" i="29"/>
  <c r="F106" i="29"/>
  <c r="H106" i="29" s="1"/>
  <c r="I106" i="29" s="1"/>
  <c r="E106" i="29"/>
  <c r="F105" i="29"/>
  <c r="H105" i="29" s="1"/>
  <c r="I105" i="29" s="1"/>
  <c r="E105" i="29"/>
  <c r="F104" i="29"/>
  <c r="H104" i="29" s="1"/>
  <c r="I104" i="29" s="1"/>
  <c r="E104" i="29"/>
  <c r="F103" i="29"/>
  <c r="H103" i="29" s="1"/>
  <c r="I103" i="29" s="1"/>
  <c r="E103" i="29"/>
  <c r="F102" i="29"/>
  <c r="H102" i="29" s="1"/>
  <c r="I102" i="29" s="1"/>
  <c r="E102" i="29"/>
  <c r="F101" i="29"/>
  <c r="H101" i="29" s="1"/>
  <c r="I101" i="29" s="1"/>
  <c r="E101" i="29"/>
  <c r="F100" i="29"/>
  <c r="H100" i="29" s="1"/>
  <c r="I100" i="29" s="1"/>
  <c r="E100" i="29"/>
  <c r="F99" i="29"/>
  <c r="H99" i="29" s="1"/>
  <c r="I99" i="29" s="1"/>
  <c r="E99" i="29"/>
  <c r="F98" i="29"/>
  <c r="H98" i="29" s="1"/>
  <c r="I98" i="29" s="1"/>
  <c r="E98" i="29"/>
  <c r="F97" i="29"/>
  <c r="H97" i="29" s="1"/>
  <c r="I97" i="29" s="1"/>
  <c r="E97" i="29"/>
  <c r="F96" i="29"/>
  <c r="H96" i="29" s="1"/>
  <c r="I96" i="29" s="1"/>
  <c r="E96" i="29"/>
  <c r="F95" i="29"/>
  <c r="H95" i="29" s="1"/>
  <c r="I95" i="29" s="1"/>
  <c r="E95" i="29"/>
  <c r="F94" i="29"/>
  <c r="H94" i="29" s="1"/>
  <c r="I94" i="29" s="1"/>
  <c r="E94" i="29"/>
  <c r="F93" i="29"/>
  <c r="H93" i="29" s="1"/>
  <c r="I93" i="29" s="1"/>
  <c r="E93" i="29"/>
  <c r="F92" i="29"/>
  <c r="H92" i="29" s="1"/>
  <c r="I92" i="29" s="1"/>
  <c r="E92" i="29"/>
  <c r="F91" i="29"/>
  <c r="H91" i="29" s="1"/>
  <c r="I91" i="29" s="1"/>
  <c r="E91" i="29"/>
  <c r="F90" i="29"/>
  <c r="H90" i="29" s="1"/>
  <c r="I90" i="29" s="1"/>
  <c r="E90" i="29"/>
  <c r="F89" i="29"/>
  <c r="H89" i="29" s="1"/>
  <c r="I89" i="29" s="1"/>
  <c r="E89" i="29"/>
  <c r="F88" i="29"/>
  <c r="E88" i="29"/>
  <c r="F87" i="29"/>
  <c r="H87" i="29" s="1"/>
  <c r="I87" i="29" s="1"/>
  <c r="E87" i="29"/>
  <c r="F86" i="29"/>
  <c r="H86" i="29" s="1"/>
  <c r="I86" i="29" s="1"/>
  <c r="E86" i="29"/>
  <c r="F85" i="29"/>
  <c r="H85" i="29" s="1"/>
  <c r="I85" i="29" s="1"/>
  <c r="E85" i="29"/>
  <c r="F84" i="29"/>
  <c r="H84" i="29" s="1"/>
  <c r="I84" i="29" s="1"/>
  <c r="E84" i="29"/>
  <c r="F83" i="29"/>
  <c r="H83" i="29" s="1"/>
  <c r="I83" i="29" s="1"/>
  <c r="E83" i="29"/>
  <c r="F82" i="29"/>
  <c r="H82" i="29" s="1"/>
  <c r="I82" i="29" s="1"/>
  <c r="E82" i="29"/>
  <c r="F81" i="29"/>
  <c r="H81" i="29" s="1"/>
  <c r="I81" i="29" s="1"/>
  <c r="E81" i="29"/>
  <c r="F80" i="29"/>
  <c r="H80" i="29" s="1"/>
  <c r="I80" i="29" s="1"/>
  <c r="E80" i="29"/>
  <c r="F79" i="29"/>
  <c r="H79" i="29" s="1"/>
  <c r="I79" i="29" s="1"/>
  <c r="E79" i="29"/>
  <c r="F78" i="29"/>
  <c r="H78" i="29" s="1"/>
  <c r="I78" i="29" s="1"/>
  <c r="E78" i="29"/>
  <c r="F77" i="29"/>
  <c r="H77" i="29" s="1"/>
  <c r="I77" i="29" s="1"/>
  <c r="E77" i="29"/>
  <c r="F76" i="29"/>
  <c r="H76" i="29" s="1"/>
  <c r="I76" i="29" s="1"/>
  <c r="E76" i="29"/>
  <c r="F75" i="29"/>
  <c r="H75" i="29" s="1"/>
  <c r="I75" i="29" s="1"/>
  <c r="E75" i="29"/>
  <c r="F74" i="29"/>
  <c r="H74" i="29" s="1"/>
  <c r="I74" i="29" s="1"/>
  <c r="E74" i="29"/>
  <c r="F73" i="29"/>
  <c r="H73" i="29" s="1"/>
  <c r="I73" i="29" s="1"/>
  <c r="E73" i="29"/>
  <c r="F72" i="29"/>
  <c r="H72" i="29" s="1"/>
  <c r="I72" i="29" s="1"/>
  <c r="E72" i="29"/>
  <c r="F71" i="29"/>
  <c r="H71" i="29" s="1"/>
  <c r="I71" i="29" s="1"/>
  <c r="E71" i="29"/>
  <c r="F70" i="29"/>
  <c r="H70" i="29" s="1"/>
  <c r="I70" i="29" s="1"/>
  <c r="E70" i="29"/>
  <c r="F69" i="29"/>
  <c r="H69" i="29" s="1"/>
  <c r="I69" i="29" s="1"/>
  <c r="E69" i="29"/>
  <c r="F68" i="29"/>
  <c r="H68" i="29" s="1"/>
  <c r="I68" i="29" s="1"/>
  <c r="E68" i="29"/>
  <c r="F67" i="29"/>
  <c r="H67" i="29" s="1"/>
  <c r="I67" i="29" s="1"/>
  <c r="E67" i="29"/>
  <c r="F66" i="29"/>
  <c r="H66" i="29" s="1"/>
  <c r="I66" i="29" s="1"/>
  <c r="E66" i="29"/>
  <c r="F65" i="29"/>
  <c r="H65" i="29" s="1"/>
  <c r="I65" i="29" s="1"/>
  <c r="E65" i="29"/>
  <c r="F64" i="29"/>
  <c r="H64" i="29" s="1"/>
  <c r="I64" i="29" s="1"/>
  <c r="E64" i="29"/>
  <c r="F63" i="29"/>
  <c r="H63" i="29" s="1"/>
  <c r="I63" i="29" s="1"/>
  <c r="E63" i="29"/>
  <c r="F62" i="29"/>
  <c r="H62" i="29" s="1"/>
  <c r="I62" i="29" s="1"/>
  <c r="E62" i="29"/>
  <c r="F61" i="29"/>
  <c r="H61" i="29" s="1"/>
  <c r="I61" i="29" s="1"/>
  <c r="E61" i="29"/>
  <c r="F60" i="29"/>
  <c r="E60" i="29"/>
  <c r="F59" i="29"/>
  <c r="H59" i="29" s="1"/>
  <c r="I59" i="29" s="1"/>
  <c r="E59" i="29"/>
  <c r="F58" i="29"/>
  <c r="H58" i="29" s="1"/>
  <c r="I58" i="29" s="1"/>
  <c r="E58" i="29"/>
  <c r="F57" i="29"/>
  <c r="H57" i="29" s="1"/>
  <c r="I57" i="29" s="1"/>
  <c r="E57" i="29"/>
  <c r="F56" i="29"/>
  <c r="E56" i="29"/>
  <c r="F55" i="29"/>
  <c r="H55" i="29" s="1"/>
  <c r="I55" i="29" s="1"/>
  <c r="E55" i="29"/>
  <c r="F54" i="29"/>
  <c r="H54" i="29" s="1"/>
  <c r="I54" i="29" s="1"/>
  <c r="E54" i="29"/>
  <c r="F53" i="29"/>
  <c r="H53" i="29" s="1"/>
  <c r="I53" i="29" s="1"/>
  <c r="E53" i="29"/>
  <c r="F52" i="29"/>
  <c r="H52" i="29" s="1"/>
  <c r="I52" i="29" s="1"/>
  <c r="E52" i="29"/>
  <c r="F51" i="29"/>
  <c r="H51" i="29" s="1"/>
  <c r="I51" i="29" s="1"/>
  <c r="E51" i="29"/>
  <c r="F50" i="29"/>
  <c r="E50" i="29"/>
  <c r="F49" i="29"/>
  <c r="H49" i="29" s="1"/>
  <c r="I49" i="29" s="1"/>
  <c r="E49" i="29"/>
  <c r="F48" i="29"/>
  <c r="E48" i="29"/>
  <c r="F47" i="29"/>
  <c r="H47" i="29" s="1"/>
  <c r="I47" i="29" s="1"/>
  <c r="E47" i="29"/>
  <c r="F46" i="29"/>
  <c r="H46" i="29" s="1"/>
  <c r="I46" i="29" s="1"/>
  <c r="E46" i="29"/>
  <c r="F45" i="29"/>
  <c r="H45" i="29" s="1"/>
  <c r="I45" i="29" s="1"/>
  <c r="E45" i="29"/>
  <c r="F44" i="29"/>
  <c r="E44" i="29"/>
  <c r="F43" i="29"/>
  <c r="H43" i="29" s="1"/>
  <c r="I43" i="29" s="1"/>
  <c r="E43" i="29"/>
  <c r="F42" i="29"/>
  <c r="H42" i="29" s="1"/>
  <c r="I42" i="29" s="1"/>
  <c r="E42" i="29"/>
  <c r="F41" i="29"/>
  <c r="H41" i="29" s="1"/>
  <c r="I41" i="29" s="1"/>
  <c r="E41" i="29"/>
  <c r="F40" i="29"/>
  <c r="H40" i="29" s="1"/>
  <c r="I40" i="29" s="1"/>
  <c r="E40" i="29"/>
  <c r="F39" i="29"/>
  <c r="H39" i="29" s="1"/>
  <c r="I39" i="29" s="1"/>
  <c r="E39" i="29"/>
  <c r="F38" i="29"/>
  <c r="H38" i="29" s="1"/>
  <c r="I38" i="29" s="1"/>
  <c r="E38" i="29"/>
  <c r="F37" i="29"/>
  <c r="H37" i="29" s="1"/>
  <c r="I37" i="29" s="1"/>
  <c r="E37" i="29"/>
  <c r="F36" i="29"/>
  <c r="H36" i="29" s="1"/>
  <c r="I36" i="29" s="1"/>
  <c r="E36" i="29"/>
  <c r="F35" i="29"/>
  <c r="H35" i="29" s="1"/>
  <c r="I35" i="29" s="1"/>
  <c r="E35" i="29"/>
  <c r="F34" i="29"/>
  <c r="E34" i="29"/>
  <c r="F33" i="29"/>
  <c r="H33" i="29" s="1"/>
  <c r="I33" i="29" s="1"/>
  <c r="E33" i="29"/>
  <c r="F32" i="29"/>
  <c r="H32" i="29" s="1"/>
  <c r="I32" i="29" s="1"/>
  <c r="E32" i="29"/>
  <c r="F31" i="29"/>
  <c r="H31" i="29" s="1"/>
  <c r="I31" i="29" s="1"/>
  <c r="E31" i="29"/>
  <c r="F30" i="29"/>
  <c r="H30" i="29" s="1"/>
  <c r="I30" i="29" s="1"/>
  <c r="E30" i="29"/>
  <c r="F29" i="29"/>
  <c r="H29" i="29" s="1"/>
  <c r="I29" i="29" s="1"/>
  <c r="E29" i="29"/>
  <c r="F28" i="29"/>
  <c r="E28" i="29"/>
  <c r="F27" i="29"/>
  <c r="H27" i="29" s="1"/>
  <c r="I27" i="29" s="1"/>
  <c r="E27" i="29"/>
  <c r="F26" i="29"/>
  <c r="H26" i="29" s="1"/>
  <c r="I26" i="29" s="1"/>
  <c r="E26" i="29"/>
  <c r="F25" i="29"/>
  <c r="H25" i="29" s="1"/>
  <c r="I25" i="29" s="1"/>
  <c r="E25" i="29"/>
  <c r="F24" i="29"/>
  <c r="H24" i="29" s="1"/>
  <c r="I24" i="29" s="1"/>
  <c r="E24" i="29"/>
  <c r="F23" i="29"/>
  <c r="H23" i="29" s="1"/>
  <c r="I23" i="29" s="1"/>
  <c r="E23" i="29"/>
  <c r="F22" i="29"/>
  <c r="H22" i="29" s="1"/>
  <c r="I22" i="29" s="1"/>
  <c r="E22" i="29"/>
  <c r="F21" i="29"/>
  <c r="H21" i="29" s="1"/>
  <c r="I21" i="29" s="1"/>
  <c r="E21" i="29"/>
  <c r="F20" i="29"/>
  <c r="H20" i="29" s="1"/>
  <c r="I20" i="29" s="1"/>
  <c r="E20" i="29"/>
  <c r="F19" i="29"/>
  <c r="H19" i="29" s="1"/>
  <c r="I19" i="29" s="1"/>
  <c r="E19" i="29"/>
  <c r="F18" i="29"/>
  <c r="E18" i="29"/>
  <c r="F17" i="29"/>
  <c r="H17" i="29" s="1"/>
  <c r="I17" i="29" s="1"/>
  <c r="E17" i="29"/>
  <c r="F16" i="29"/>
  <c r="H16" i="29" s="1"/>
  <c r="I16" i="29" s="1"/>
  <c r="E16" i="29"/>
  <c r="F15" i="29"/>
  <c r="H15" i="29" s="1"/>
  <c r="I15" i="29" s="1"/>
  <c r="E15" i="29"/>
  <c r="G15" i="29" s="1"/>
  <c r="F200" i="25"/>
  <c r="H200" i="25" s="1"/>
  <c r="I200" i="25" s="1"/>
  <c r="E200" i="25"/>
  <c r="G200" i="25" s="1"/>
  <c r="F199" i="25"/>
  <c r="H199" i="25" s="1"/>
  <c r="I199" i="25" s="1"/>
  <c r="E199" i="25"/>
  <c r="G199" i="25" s="1"/>
  <c r="F198" i="25"/>
  <c r="H198" i="25" s="1"/>
  <c r="I198" i="25" s="1"/>
  <c r="E198" i="25"/>
  <c r="G198" i="25" s="1"/>
  <c r="F197" i="25"/>
  <c r="H197" i="25" s="1"/>
  <c r="I197" i="25" s="1"/>
  <c r="E197" i="25"/>
  <c r="G197" i="25" s="1"/>
  <c r="F196" i="25"/>
  <c r="H196" i="25" s="1"/>
  <c r="I196" i="25" s="1"/>
  <c r="E196" i="25"/>
  <c r="G196" i="25" s="1"/>
  <c r="F195" i="25"/>
  <c r="H195" i="25" s="1"/>
  <c r="I195" i="25" s="1"/>
  <c r="E195" i="25"/>
  <c r="G195" i="25" s="1"/>
  <c r="F194" i="25"/>
  <c r="H194" i="25" s="1"/>
  <c r="I194" i="25" s="1"/>
  <c r="E194" i="25"/>
  <c r="G194" i="25" s="1"/>
  <c r="F193" i="25"/>
  <c r="H193" i="25" s="1"/>
  <c r="I193" i="25" s="1"/>
  <c r="E193" i="25"/>
  <c r="G193" i="25" s="1"/>
  <c r="F192" i="25"/>
  <c r="H192" i="25" s="1"/>
  <c r="I192" i="25" s="1"/>
  <c r="E192" i="25"/>
  <c r="G192" i="25" s="1"/>
  <c r="F191" i="25"/>
  <c r="H191" i="25" s="1"/>
  <c r="I191" i="25" s="1"/>
  <c r="E191" i="25"/>
  <c r="G191" i="25" s="1"/>
  <c r="F190" i="25"/>
  <c r="H190" i="25" s="1"/>
  <c r="I190" i="25" s="1"/>
  <c r="E190" i="25"/>
  <c r="G190" i="25" s="1"/>
  <c r="H189" i="25"/>
  <c r="I189" i="25" s="1"/>
  <c r="F189" i="25"/>
  <c r="E189" i="25"/>
  <c r="G189" i="25" s="1"/>
  <c r="H188" i="25"/>
  <c r="I188" i="25" s="1"/>
  <c r="F188" i="25"/>
  <c r="E188" i="25"/>
  <c r="G188" i="25" s="1"/>
  <c r="H187" i="25"/>
  <c r="I187" i="25" s="1"/>
  <c r="F187" i="25"/>
  <c r="E187" i="25"/>
  <c r="G187" i="25" s="1"/>
  <c r="I186" i="25"/>
  <c r="H186" i="25"/>
  <c r="G186" i="25"/>
  <c r="F186" i="25"/>
  <c r="E186" i="25"/>
  <c r="G185" i="25"/>
  <c r="F185" i="25"/>
  <c r="H185" i="25" s="1"/>
  <c r="I185" i="25" s="1"/>
  <c r="E185" i="25"/>
  <c r="H184" i="25"/>
  <c r="I184" i="25" s="1"/>
  <c r="G184" i="25"/>
  <c r="F184" i="25"/>
  <c r="E184" i="25"/>
  <c r="H183" i="25"/>
  <c r="I183" i="25" s="1"/>
  <c r="G183" i="25"/>
  <c r="F183" i="25"/>
  <c r="E183" i="25"/>
  <c r="F182" i="25"/>
  <c r="H182" i="25" s="1"/>
  <c r="I182" i="25" s="1"/>
  <c r="E182" i="25"/>
  <c r="G182" i="25" s="1"/>
  <c r="G181" i="25"/>
  <c r="F181" i="25"/>
  <c r="H181" i="25" s="1"/>
  <c r="I181" i="25" s="1"/>
  <c r="E181" i="25"/>
  <c r="H180" i="25"/>
  <c r="I180" i="25" s="1"/>
  <c r="G180" i="25"/>
  <c r="F180" i="25"/>
  <c r="E180" i="25"/>
  <c r="H179" i="25"/>
  <c r="I179" i="25" s="1"/>
  <c r="F179" i="25"/>
  <c r="E179" i="25"/>
  <c r="G179" i="25" s="1"/>
  <c r="F178" i="25"/>
  <c r="H178" i="25" s="1"/>
  <c r="I178" i="25" s="1"/>
  <c r="E178" i="25"/>
  <c r="G178" i="25" s="1"/>
  <c r="G177" i="25"/>
  <c r="F177" i="25"/>
  <c r="H177" i="25" s="1"/>
  <c r="I177" i="25" s="1"/>
  <c r="E177" i="25"/>
  <c r="G176" i="25"/>
  <c r="F176" i="25"/>
  <c r="H176" i="25" s="1"/>
  <c r="I176" i="25" s="1"/>
  <c r="E176" i="25"/>
  <c r="F175" i="25"/>
  <c r="H175" i="25" s="1"/>
  <c r="I175" i="25" s="1"/>
  <c r="E175" i="25"/>
  <c r="G175" i="25" s="1"/>
  <c r="F174" i="25"/>
  <c r="H174" i="25" s="1"/>
  <c r="I174" i="25" s="1"/>
  <c r="E174" i="25"/>
  <c r="G174" i="25" s="1"/>
  <c r="H173" i="25"/>
  <c r="I173" i="25" s="1"/>
  <c r="F173" i="25"/>
  <c r="E173" i="25"/>
  <c r="G173" i="25" s="1"/>
  <c r="H172" i="25"/>
  <c r="I172" i="25" s="1"/>
  <c r="F172" i="25"/>
  <c r="E172" i="25"/>
  <c r="G172" i="25" s="1"/>
  <c r="H171" i="25"/>
  <c r="I171" i="25" s="1"/>
  <c r="F171" i="25"/>
  <c r="E171" i="25"/>
  <c r="G171" i="25" s="1"/>
  <c r="I170" i="25"/>
  <c r="H170" i="25"/>
  <c r="G170" i="25"/>
  <c r="F170" i="25"/>
  <c r="E170" i="25"/>
  <c r="G169" i="25"/>
  <c r="F169" i="25"/>
  <c r="H169" i="25" s="1"/>
  <c r="I169" i="25" s="1"/>
  <c r="E169" i="25"/>
  <c r="H168" i="25"/>
  <c r="I168" i="25" s="1"/>
  <c r="G168" i="25"/>
  <c r="F168" i="25"/>
  <c r="E168" i="25"/>
  <c r="H167" i="25"/>
  <c r="I167" i="25" s="1"/>
  <c r="G167" i="25"/>
  <c r="F167" i="25"/>
  <c r="E167" i="25"/>
  <c r="F166" i="25"/>
  <c r="H166" i="25" s="1"/>
  <c r="I166" i="25" s="1"/>
  <c r="E166" i="25"/>
  <c r="G166" i="25" s="1"/>
  <c r="G165" i="25"/>
  <c r="F165" i="25"/>
  <c r="H165" i="25" s="1"/>
  <c r="I165" i="25" s="1"/>
  <c r="E165" i="25"/>
  <c r="H164" i="25"/>
  <c r="I164" i="25" s="1"/>
  <c r="G164" i="25"/>
  <c r="F164" i="25"/>
  <c r="E164" i="25"/>
  <c r="H163" i="25"/>
  <c r="I163" i="25" s="1"/>
  <c r="F163" i="25"/>
  <c r="E163" i="25"/>
  <c r="G163" i="25" s="1"/>
  <c r="F162" i="25"/>
  <c r="H162" i="25" s="1"/>
  <c r="I162" i="25" s="1"/>
  <c r="E162" i="25"/>
  <c r="G162" i="25" s="1"/>
  <c r="G161" i="25"/>
  <c r="F161" i="25"/>
  <c r="H161" i="25" s="1"/>
  <c r="I161" i="25" s="1"/>
  <c r="E161" i="25"/>
  <c r="G160" i="25"/>
  <c r="F160" i="25"/>
  <c r="H160" i="25" s="1"/>
  <c r="I160" i="25" s="1"/>
  <c r="E160" i="25"/>
  <c r="F159" i="25"/>
  <c r="H159" i="25" s="1"/>
  <c r="I159" i="25" s="1"/>
  <c r="E159" i="25"/>
  <c r="G159" i="25" s="1"/>
  <c r="F158" i="25"/>
  <c r="H158" i="25" s="1"/>
  <c r="I158" i="25" s="1"/>
  <c r="E158" i="25"/>
  <c r="G158" i="25" s="1"/>
  <c r="H157" i="25"/>
  <c r="I157" i="25" s="1"/>
  <c r="F157" i="25"/>
  <c r="E157" i="25"/>
  <c r="G157" i="25" s="1"/>
  <c r="H156" i="25"/>
  <c r="I156" i="25" s="1"/>
  <c r="F156" i="25"/>
  <c r="E156" i="25"/>
  <c r="G156" i="25" s="1"/>
  <c r="H155" i="25"/>
  <c r="I155" i="25" s="1"/>
  <c r="F155" i="25"/>
  <c r="E155" i="25"/>
  <c r="G155" i="25" s="1"/>
  <c r="I154" i="25"/>
  <c r="H154" i="25"/>
  <c r="G154" i="25"/>
  <c r="F154" i="25"/>
  <c r="E154" i="25"/>
  <c r="G153" i="25"/>
  <c r="F153" i="25"/>
  <c r="H153" i="25" s="1"/>
  <c r="I153" i="25" s="1"/>
  <c r="E153" i="25"/>
  <c r="H152" i="25"/>
  <c r="I152" i="25" s="1"/>
  <c r="G152" i="25"/>
  <c r="F152" i="25"/>
  <c r="E152" i="25"/>
  <c r="H151" i="25"/>
  <c r="I151" i="25" s="1"/>
  <c r="G151" i="25"/>
  <c r="F151" i="25"/>
  <c r="E151" i="25"/>
  <c r="F150" i="25"/>
  <c r="H150" i="25" s="1"/>
  <c r="I150" i="25" s="1"/>
  <c r="E150" i="25"/>
  <c r="G150" i="25" s="1"/>
  <c r="G149" i="25"/>
  <c r="F149" i="25"/>
  <c r="H149" i="25" s="1"/>
  <c r="I149" i="25" s="1"/>
  <c r="E149" i="25"/>
  <c r="H148" i="25"/>
  <c r="I148" i="25" s="1"/>
  <c r="G148" i="25"/>
  <c r="F148" i="25"/>
  <c r="E148" i="25"/>
  <c r="H147" i="25"/>
  <c r="I147" i="25" s="1"/>
  <c r="F147" i="25"/>
  <c r="E147" i="25"/>
  <c r="G147" i="25" s="1"/>
  <c r="F146" i="25"/>
  <c r="H146" i="25" s="1"/>
  <c r="I146" i="25" s="1"/>
  <c r="E146" i="25"/>
  <c r="G146" i="25" s="1"/>
  <c r="G145" i="25"/>
  <c r="F145" i="25"/>
  <c r="H145" i="25" s="1"/>
  <c r="I145" i="25" s="1"/>
  <c r="E145" i="25"/>
  <c r="G144" i="25"/>
  <c r="F144" i="25"/>
  <c r="H144" i="25" s="1"/>
  <c r="I144" i="25" s="1"/>
  <c r="E144" i="25"/>
  <c r="F143" i="25"/>
  <c r="H143" i="25" s="1"/>
  <c r="I143" i="25" s="1"/>
  <c r="E143" i="25"/>
  <c r="G143" i="25" s="1"/>
  <c r="F142" i="25"/>
  <c r="H142" i="25" s="1"/>
  <c r="I142" i="25" s="1"/>
  <c r="E142" i="25"/>
  <c r="G142" i="25" s="1"/>
  <c r="H141" i="25"/>
  <c r="I141" i="25" s="1"/>
  <c r="F141" i="25"/>
  <c r="E141" i="25"/>
  <c r="G141" i="25" s="1"/>
  <c r="H140" i="25"/>
  <c r="I140" i="25" s="1"/>
  <c r="F140" i="25"/>
  <c r="E140" i="25"/>
  <c r="G140" i="25" s="1"/>
  <c r="H139" i="25"/>
  <c r="I139" i="25" s="1"/>
  <c r="F139" i="25"/>
  <c r="E139" i="25"/>
  <c r="G139" i="25" s="1"/>
  <c r="I138" i="25"/>
  <c r="H138" i="25"/>
  <c r="G138" i="25"/>
  <c r="F138" i="25"/>
  <c r="E138" i="25"/>
  <c r="G137" i="25"/>
  <c r="F137" i="25"/>
  <c r="H137" i="25" s="1"/>
  <c r="I137" i="25" s="1"/>
  <c r="E137" i="25"/>
  <c r="H136" i="25"/>
  <c r="I136" i="25" s="1"/>
  <c r="G136" i="25"/>
  <c r="F136" i="25"/>
  <c r="E136" i="25"/>
  <c r="H135" i="25"/>
  <c r="I135" i="25" s="1"/>
  <c r="G135" i="25"/>
  <c r="F135" i="25"/>
  <c r="E135" i="25"/>
  <c r="F134" i="25"/>
  <c r="H134" i="25" s="1"/>
  <c r="I134" i="25" s="1"/>
  <c r="E134" i="25"/>
  <c r="G134" i="25" s="1"/>
  <c r="G133" i="25"/>
  <c r="F133" i="25"/>
  <c r="H133" i="25" s="1"/>
  <c r="I133" i="25" s="1"/>
  <c r="E133" i="25"/>
  <c r="H132" i="25"/>
  <c r="I132" i="25" s="1"/>
  <c r="G132" i="25"/>
  <c r="F132" i="25"/>
  <c r="E132" i="25"/>
  <c r="H131" i="25"/>
  <c r="I131" i="25" s="1"/>
  <c r="F131" i="25"/>
  <c r="E131" i="25"/>
  <c r="G131" i="25" s="1"/>
  <c r="F130" i="25"/>
  <c r="H130" i="25" s="1"/>
  <c r="I130" i="25" s="1"/>
  <c r="E130" i="25"/>
  <c r="G130" i="25" s="1"/>
  <c r="G129" i="25"/>
  <c r="F129" i="25"/>
  <c r="H129" i="25" s="1"/>
  <c r="I129" i="25" s="1"/>
  <c r="E129" i="25"/>
  <c r="G128" i="25"/>
  <c r="F128" i="25"/>
  <c r="H128" i="25" s="1"/>
  <c r="I128" i="25" s="1"/>
  <c r="E128" i="25"/>
  <c r="F127" i="25"/>
  <c r="H127" i="25" s="1"/>
  <c r="I127" i="25" s="1"/>
  <c r="E127" i="25"/>
  <c r="G127" i="25" s="1"/>
  <c r="F126" i="25"/>
  <c r="H126" i="25" s="1"/>
  <c r="I126" i="25" s="1"/>
  <c r="E126" i="25"/>
  <c r="G126" i="25" s="1"/>
  <c r="H125" i="25"/>
  <c r="I125" i="25" s="1"/>
  <c r="F125" i="25"/>
  <c r="E125" i="25"/>
  <c r="G125" i="25" s="1"/>
  <c r="H124" i="25"/>
  <c r="I124" i="25" s="1"/>
  <c r="F124" i="25"/>
  <c r="E124" i="25"/>
  <c r="G124" i="25" s="1"/>
  <c r="H123" i="25"/>
  <c r="I123" i="25" s="1"/>
  <c r="F123" i="25"/>
  <c r="E123" i="25"/>
  <c r="G123" i="25" s="1"/>
  <c r="I122" i="25"/>
  <c r="H122" i="25"/>
  <c r="G122" i="25"/>
  <c r="F122" i="25"/>
  <c r="E122" i="25"/>
  <c r="G121" i="25"/>
  <c r="F121" i="25"/>
  <c r="H121" i="25" s="1"/>
  <c r="I121" i="25" s="1"/>
  <c r="E121" i="25"/>
  <c r="H120" i="25"/>
  <c r="I120" i="25" s="1"/>
  <c r="G120" i="25"/>
  <c r="F120" i="25"/>
  <c r="E120" i="25"/>
  <c r="H119" i="25"/>
  <c r="I119" i="25" s="1"/>
  <c r="G119" i="25"/>
  <c r="F119" i="25"/>
  <c r="E119" i="25"/>
  <c r="F118" i="25"/>
  <c r="H118" i="25" s="1"/>
  <c r="I118" i="25" s="1"/>
  <c r="E118" i="25"/>
  <c r="G118" i="25" s="1"/>
  <c r="G117" i="25"/>
  <c r="F117" i="25"/>
  <c r="H117" i="25" s="1"/>
  <c r="I117" i="25" s="1"/>
  <c r="E117" i="25"/>
  <c r="H116" i="25"/>
  <c r="I116" i="25" s="1"/>
  <c r="G116" i="25"/>
  <c r="F116" i="25"/>
  <c r="E116" i="25"/>
  <c r="H115" i="25"/>
  <c r="I115" i="25" s="1"/>
  <c r="F115" i="25"/>
  <c r="E115" i="25"/>
  <c r="G115" i="25" s="1"/>
  <c r="F114" i="25"/>
  <c r="H114" i="25" s="1"/>
  <c r="I114" i="25" s="1"/>
  <c r="E114" i="25"/>
  <c r="G114" i="25" s="1"/>
  <c r="G113" i="25"/>
  <c r="F113" i="25"/>
  <c r="H113" i="25" s="1"/>
  <c r="I113" i="25" s="1"/>
  <c r="E113" i="25"/>
  <c r="G112" i="25"/>
  <c r="F112" i="25"/>
  <c r="H112" i="25" s="1"/>
  <c r="I112" i="25" s="1"/>
  <c r="E112" i="25"/>
  <c r="F111" i="25"/>
  <c r="H111" i="25" s="1"/>
  <c r="I111" i="25" s="1"/>
  <c r="E111" i="25"/>
  <c r="G111" i="25" s="1"/>
  <c r="F110" i="25"/>
  <c r="H110" i="25" s="1"/>
  <c r="I110" i="25" s="1"/>
  <c r="E110" i="25"/>
  <c r="G110" i="25" s="1"/>
  <c r="H109" i="25"/>
  <c r="I109" i="25" s="1"/>
  <c r="F109" i="25"/>
  <c r="E109" i="25"/>
  <c r="G109" i="25" s="1"/>
  <c r="H108" i="25"/>
  <c r="I108" i="25" s="1"/>
  <c r="F108" i="25"/>
  <c r="E108" i="25"/>
  <c r="G108" i="25" s="1"/>
  <c r="H107" i="25"/>
  <c r="I107" i="25" s="1"/>
  <c r="F107" i="25"/>
  <c r="E107" i="25"/>
  <c r="G107" i="25" s="1"/>
  <c r="I106" i="25"/>
  <c r="H106" i="25"/>
  <c r="G106" i="25"/>
  <c r="F106" i="25"/>
  <c r="E106" i="25"/>
  <c r="G105" i="25"/>
  <c r="F105" i="25"/>
  <c r="H105" i="25" s="1"/>
  <c r="I105" i="25" s="1"/>
  <c r="E105" i="25"/>
  <c r="H104" i="25"/>
  <c r="I104" i="25" s="1"/>
  <c r="G104" i="25"/>
  <c r="F104" i="25"/>
  <c r="E104" i="25"/>
  <c r="H103" i="25"/>
  <c r="I103" i="25" s="1"/>
  <c r="G103" i="25"/>
  <c r="F103" i="25"/>
  <c r="E103" i="25"/>
  <c r="F102" i="25"/>
  <c r="H102" i="25" s="1"/>
  <c r="I102" i="25" s="1"/>
  <c r="E102" i="25"/>
  <c r="G102" i="25" s="1"/>
  <c r="G101" i="25"/>
  <c r="F101" i="25"/>
  <c r="H101" i="25" s="1"/>
  <c r="I101" i="25" s="1"/>
  <c r="E101" i="25"/>
  <c r="H100" i="25"/>
  <c r="I100" i="25" s="1"/>
  <c r="G100" i="25"/>
  <c r="F100" i="25"/>
  <c r="E100" i="25"/>
  <c r="H99" i="25"/>
  <c r="I99" i="25" s="1"/>
  <c r="F99" i="25"/>
  <c r="E99" i="25"/>
  <c r="G99" i="25" s="1"/>
  <c r="F98" i="25"/>
  <c r="H98" i="25" s="1"/>
  <c r="I98" i="25" s="1"/>
  <c r="E98" i="25"/>
  <c r="G98" i="25" s="1"/>
  <c r="G97" i="25"/>
  <c r="F97" i="25"/>
  <c r="H97" i="25" s="1"/>
  <c r="I97" i="25" s="1"/>
  <c r="E97" i="25"/>
  <c r="G96" i="25"/>
  <c r="F96" i="25"/>
  <c r="H96" i="25" s="1"/>
  <c r="I96" i="25" s="1"/>
  <c r="E96" i="25"/>
  <c r="F95" i="25"/>
  <c r="H95" i="25" s="1"/>
  <c r="I95" i="25" s="1"/>
  <c r="E95" i="25"/>
  <c r="G95" i="25" s="1"/>
  <c r="F94" i="25"/>
  <c r="H94" i="25" s="1"/>
  <c r="I94" i="25" s="1"/>
  <c r="E94" i="25"/>
  <c r="G94" i="25" s="1"/>
  <c r="H93" i="25"/>
  <c r="I93" i="25" s="1"/>
  <c r="F93" i="25"/>
  <c r="E93" i="25"/>
  <c r="G93" i="25" s="1"/>
  <c r="H92" i="25"/>
  <c r="I92" i="25" s="1"/>
  <c r="F92" i="25"/>
  <c r="E92" i="25"/>
  <c r="G92" i="25" s="1"/>
  <c r="H91" i="25"/>
  <c r="I91" i="25" s="1"/>
  <c r="F91" i="25"/>
  <c r="E91" i="25"/>
  <c r="G91" i="25" s="1"/>
  <c r="I90" i="25"/>
  <c r="H90" i="25"/>
  <c r="G90" i="25"/>
  <c r="F90" i="25"/>
  <c r="E90" i="25"/>
  <c r="G89" i="25"/>
  <c r="F89" i="25"/>
  <c r="H89" i="25" s="1"/>
  <c r="I89" i="25" s="1"/>
  <c r="E89" i="25"/>
  <c r="H88" i="25"/>
  <c r="I88" i="25" s="1"/>
  <c r="G88" i="25"/>
  <c r="F88" i="25"/>
  <c r="E88" i="25"/>
  <c r="H87" i="25"/>
  <c r="I87" i="25" s="1"/>
  <c r="G87" i="25"/>
  <c r="F87" i="25"/>
  <c r="E87" i="25"/>
  <c r="F86" i="25"/>
  <c r="H86" i="25" s="1"/>
  <c r="I86" i="25" s="1"/>
  <c r="E86" i="25"/>
  <c r="G86" i="25" s="1"/>
  <c r="G85" i="25"/>
  <c r="F85" i="25"/>
  <c r="H85" i="25" s="1"/>
  <c r="I85" i="25" s="1"/>
  <c r="E85" i="25"/>
  <c r="H84" i="25"/>
  <c r="I84" i="25" s="1"/>
  <c r="G84" i="25"/>
  <c r="F84" i="25"/>
  <c r="E84" i="25"/>
  <c r="H83" i="25"/>
  <c r="I83" i="25" s="1"/>
  <c r="F83" i="25"/>
  <c r="E83" i="25"/>
  <c r="G83" i="25" s="1"/>
  <c r="F82" i="25"/>
  <c r="H82" i="25" s="1"/>
  <c r="I82" i="25" s="1"/>
  <c r="E82" i="25"/>
  <c r="G82" i="25" s="1"/>
  <c r="G81" i="25"/>
  <c r="F81" i="25"/>
  <c r="H81" i="25" s="1"/>
  <c r="I81" i="25" s="1"/>
  <c r="E81" i="25"/>
  <c r="G80" i="25"/>
  <c r="F80" i="25"/>
  <c r="H80" i="25" s="1"/>
  <c r="I80" i="25" s="1"/>
  <c r="E80" i="25"/>
  <c r="F79" i="25"/>
  <c r="H79" i="25" s="1"/>
  <c r="I79" i="25" s="1"/>
  <c r="E79" i="25"/>
  <c r="G79" i="25" s="1"/>
  <c r="F78" i="25"/>
  <c r="H78" i="25" s="1"/>
  <c r="I78" i="25" s="1"/>
  <c r="E78" i="25"/>
  <c r="G78" i="25" s="1"/>
  <c r="H77" i="25"/>
  <c r="I77" i="25" s="1"/>
  <c r="F77" i="25"/>
  <c r="E77" i="25"/>
  <c r="G77" i="25" s="1"/>
  <c r="H76" i="25"/>
  <c r="I76" i="25" s="1"/>
  <c r="F76" i="25"/>
  <c r="E76" i="25"/>
  <c r="G76" i="25" s="1"/>
  <c r="H75" i="25"/>
  <c r="I75" i="25" s="1"/>
  <c r="F75" i="25"/>
  <c r="E75" i="25"/>
  <c r="G75" i="25" s="1"/>
  <c r="I74" i="25"/>
  <c r="H74" i="25"/>
  <c r="G74" i="25"/>
  <c r="F74" i="25"/>
  <c r="E74" i="25"/>
  <c r="G73" i="25"/>
  <c r="F73" i="25"/>
  <c r="H73" i="25" s="1"/>
  <c r="I73" i="25" s="1"/>
  <c r="E73" i="25"/>
  <c r="H72" i="25"/>
  <c r="I72" i="25" s="1"/>
  <c r="G72" i="25"/>
  <c r="F72" i="25"/>
  <c r="E72" i="25"/>
  <c r="H71" i="25"/>
  <c r="I71" i="25" s="1"/>
  <c r="G71" i="25"/>
  <c r="F71" i="25"/>
  <c r="E71" i="25"/>
  <c r="F70" i="25"/>
  <c r="H70" i="25" s="1"/>
  <c r="I70" i="25" s="1"/>
  <c r="E70" i="25"/>
  <c r="G70" i="25" s="1"/>
  <c r="G69" i="25"/>
  <c r="F69" i="25"/>
  <c r="H69" i="25" s="1"/>
  <c r="I69" i="25" s="1"/>
  <c r="E69" i="25"/>
  <c r="H68" i="25"/>
  <c r="I68" i="25" s="1"/>
  <c r="G68" i="25"/>
  <c r="F68" i="25"/>
  <c r="E68" i="25"/>
  <c r="H67" i="25"/>
  <c r="I67" i="25" s="1"/>
  <c r="F67" i="25"/>
  <c r="E67" i="25"/>
  <c r="G67" i="25" s="1"/>
  <c r="F66" i="25"/>
  <c r="H66" i="25" s="1"/>
  <c r="I66" i="25" s="1"/>
  <c r="E66" i="25"/>
  <c r="G66" i="25" s="1"/>
  <c r="G65" i="25"/>
  <c r="F65" i="25"/>
  <c r="H65" i="25" s="1"/>
  <c r="I65" i="25" s="1"/>
  <c r="E65" i="25"/>
  <c r="G64" i="25"/>
  <c r="F64" i="25"/>
  <c r="H64" i="25" s="1"/>
  <c r="I64" i="25" s="1"/>
  <c r="E64" i="25"/>
  <c r="F63" i="25"/>
  <c r="H63" i="25" s="1"/>
  <c r="I63" i="25" s="1"/>
  <c r="E63" i="25"/>
  <c r="G63" i="25" s="1"/>
  <c r="F62" i="25"/>
  <c r="H62" i="25" s="1"/>
  <c r="I62" i="25" s="1"/>
  <c r="E62" i="25"/>
  <c r="G62" i="25" s="1"/>
  <c r="H61" i="25"/>
  <c r="I61" i="25" s="1"/>
  <c r="F61" i="25"/>
  <c r="E61" i="25"/>
  <c r="G61" i="25" s="1"/>
  <c r="H60" i="25"/>
  <c r="I60" i="25" s="1"/>
  <c r="F60" i="25"/>
  <c r="E60" i="25"/>
  <c r="G60" i="25" s="1"/>
  <c r="H59" i="25"/>
  <c r="I59" i="25" s="1"/>
  <c r="F59" i="25"/>
  <c r="E59" i="25"/>
  <c r="G59" i="25" s="1"/>
  <c r="I58" i="25"/>
  <c r="H58" i="25"/>
  <c r="G58" i="25"/>
  <c r="F58" i="25"/>
  <c r="E58" i="25"/>
  <c r="G57" i="25"/>
  <c r="F57" i="25"/>
  <c r="H57" i="25" s="1"/>
  <c r="I57" i="25" s="1"/>
  <c r="E57" i="25"/>
  <c r="H56" i="25"/>
  <c r="I56" i="25" s="1"/>
  <c r="G56" i="25"/>
  <c r="F56" i="25"/>
  <c r="E56" i="25"/>
  <c r="F55" i="25"/>
  <c r="H55" i="25" s="1"/>
  <c r="I55" i="25" s="1"/>
  <c r="E55" i="25"/>
  <c r="F54" i="25"/>
  <c r="H54" i="25" s="1"/>
  <c r="I54" i="25" s="1"/>
  <c r="E54" i="25"/>
  <c r="G54" i="25" s="1"/>
  <c r="F53" i="25"/>
  <c r="H53" i="25" s="1"/>
  <c r="I53" i="25" s="1"/>
  <c r="E53" i="25"/>
  <c r="H52" i="25"/>
  <c r="I52" i="25" s="1"/>
  <c r="F52" i="25"/>
  <c r="E52" i="25"/>
  <c r="G52" i="25" s="1"/>
  <c r="H51" i="25"/>
  <c r="I51" i="25" s="1"/>
  <c r="F51" i="25"/>
  <c r="E51" i="25"/>
  <c r="G51" i="25" s="1"/>
  <c r="F50" i="25"/>
  <c r="H50" i="25" s="1"/>
  <c r="I50" i="25" s="1"/>
  <c r="E50" i="25"/>
  <c r="G50" i="25" s="1"/>
  <c r="F49" i="25"/>
  <c r="G49" i="25" s="1"/>
  <c r="E49" i="25"/>
  <c r="G48" i="25"/>
  <c r="F48" i="25"/>
  <c r="H48" i="25" s="1"/>
  <c r="I48" i="25" s="1"/>
  <c r="E48" i="25"/>
  <c r="F47" i="25"/>
  <c r="H47" i="25" s="1"/>
  <c r="I47" i="25" s="1"/>
  <c r="E47" i="25"/>
  <c r="G47" i="25" s="1"/>
  <c r="F46" i="25"/>
  <c r="H46" i="25" s="1"/>
  <c r="I46" i="25" s="1"/>
  <c r="E46" i="25"/>
  <c r="G46" i="25" s="1"/>
  <c r="H45" i="25"/>
  <c r="I45" i="25" s="1"/>
  <c r="F45" i="25"/>
  <c r="E45" i="25"/>
  <c r="G45" i="25" s="1"/>
  <c r="H44" i="25"/>
  <c r="I44" i="25" s="1"/>
  <c r="F44" i="25"/>
  <c r="E44" i="25"/>
  <c r="G44" i="25" s="1"/>
  <c r="H43" i="25"/>
  <c r="I43" i="25" s="1"/>
  <c r="F43" i="25"/>
  <c r="E43" i="25"/>
  <c r="G43" i="25" s="1"/>
  <c r="I42" i="25"/>
  <c r="H42" i="25"/>
  <c r="G42" i="25"/>
  <c r="F42" i="25"/>
  <c r="E42" i="25"/>
  <c r="I41" i="25"/>
  <c r="H41" i="25"/>
  <c r="G41" i="25"/>
  <c r="F41" i="25"/>
  <c r="E41" i="25"/>
  <c r="H40" i="25"/>
  <c r="I40" i="25" s="1"/>
  <c r="G40" i="25"/>
  <c r="F40" i="25"/>
  <c r="E40" i="25"/>
  <c r="H39" i="25"/>
  <c r="I39" i="25" s="1"/>
  <c r="F39" i="25"/>
  <c r="G39" i="25" s="1"/>
  <c r="E39" i="25"/>
  <c r="F38" i="25"/>
  <c r="H38" i="25" s="1"/>
  <c r="I38" i="25" s="1"/>
  <c r="E38" i="25"/>
  <c r="F37" i="25"/>
  <c r="H37" i="25" s="1"/>
  <c r="I37" i="25" s="1"/>
  <c r="E37" i="25"/>
  <c r="H36" i="25"/>
  <c r="I36" i="25" s="1"/>
  <c r="F36" i="25"/>
  <c r="E36" i="25"/>
  <c r="G36" i="25" s="1"/>
  <c r="H35" i="25"/>
  <c r="I35" i="25" s="1"/>
  <c r="F35" i="25"/>
  <c r="E35" i="25"/>
  <c r="G35" i="25" s="1"/>
  <c r="F34" i="25"/>
  <c r="H34" i="25" s="1"/>
  <c r="I34" i="25" s="1"/>
  <c r="E34" i="25"/>
  <c r="G34" i="25" s="1"/>
  <c r="F33" i="25"/>
  <c r="G33" i="25" s="1"/>
  <c r="E33" i="25"/>
  <c r="G32" i="25"/>
  <c r="F32" i="25"/>
  <c r="H32" i="25" s="1"/>
  <c r="I32" i="25" s="1"/>
  <c r="E32" i="25"/>
  <c r="F31" i="25"/>
  <c r="H31" i="25" s="1"/>
  <c r="I31" i="25" s="1"/>
  <c r="E31" i="25"/>
  <c r="G31" i="25" s="1"/>
  <c r="F30" i="25"/>
  <c r="H30" i="25" s="1"/>
  <c r="I30" i="25" s="1"/>
  <c r="E30" i="25"/>
  <c r="G30" i="25" s="1"/>
  <c r="H29" i="25"/>
  <c r="I29" i="25" s="1"/>
  <c r="F29" i="25"/>
  <c r="E29" i="25"/>
  <c r="G29" i="25" s="1"/>
  <c r="H28" i="25"/>
  <c r="I28" i="25" s="1"/>
  <c r="F28" i="25"/>
  <c r="E28" i="25"/>
  <c r="G28" i="25" s="1"/>
  <c r="H27" i="25"/>
  <c r="I27" i="25" s="1"/>
  <c r="F27" i="25"/>
  <c r="E27" i="25"/>
  <c r="G27" i="25" s="1"/>
  <c r="I26" i="25"/>
  <c r="H26" i="25"/>
  <c r="G26" i="25"/>
  <c r="F26" i="25"/>
  <c r="E26" i="25"/>
  <c r="I25" i="25"/>
  <c r="H25" i="25"/>
  <c r="G25" i="25"/>
  <c r="F25" i="25"/>
  <c r="E25" i="25"/>
  <c r="H24" i="25"/>
  <c r="I24" i="25" s="1"/>
  <c r="G24" i="25"/>
  <c r="F24" i="25"/>
  <c r="E24" i="25"/>
  <c r="H23" i="25"/>
  <c r="I23" i="25" s="1"/>
  <c r="F23" i="25"/>
  <c r="G23" i="25" s="1"/>
  <c r="E23" i="25"/>
  <c r="F22" i="25"/>
  <c r="H22" i="25" s="1"/>
  <c r="I22" i="25" s="1"/>
  <c r="E22" i="25"/>
  <c r="F21" i="25"/>
  <c r="H21" i="25" s="1"/>
  <c r="I21" i="25" s="1"/>
  <c r="E21" i="25"/>
  <c r="H20" i="25"/>
  <c r="I20" i="25" s="1"/>
  <c r="F20" i="25"/>
  <c r="E20" i="25"/>
  <c r="G20" i="25" s="1"/>
  <c r="H19" i="25"/>
  <c r="I19" i="25" s="1"/>
  <c r="F19" i="25"/>
  <c r="E19" i="25"/>
  <c r="G19" i="25" s="1"/>
  <c r="F18" i="25"/>
  <c r="H18" i="25" s="1"/>
  <c r="I18" i="25" s="1"/>
  <c r="E18" i="25"/>
  <c r="G18" i="25" s="1"/>
  <c r="F17" i="25"/>
  <c r="G17" i="25" s="1"/>
  <c r="E17" i="25"/>
  <c r="G16" i="25"/>
  <c r="F16" i="25"/>
  <c r="H16" i="25" s="1"/>
  <c r="I16" i="25" s="1"/>
  <c r="E16" i="25"/>
  <c r="F15" i="25"/>
  <c r="H15" i="25" s="1"/>
  <c r="I15" i="25" s="1"/>
  <c r="E15" i="25"/>
  <c r="G15" i="25" s="1"/>
  <c r="G351" i="24"/>
  <c r="F351" i="24"/>
  <c r="H351" i="24" s="1"/>
  <c r="I351" i="24" s="1"/>
  <c r="E351" i="24"/>
  <c r="F350" i="24"/>
  <c r="H350" i="24" s="1"/>
  <c r="I350" i="24" s="1"/>
  <c r="E350" i="24"/>
  <c r="G350" i="24" s="1"/>
  <c r="F349" i="24"/>
  <c r="H349" i="24" s="1"/>
  <c r="I349" i="24" s="1"/>
  <c r="E349" i="24"/>
  <c r="G349" i="24" s="1"/>
  <c r="G348" i="24"/>
  <c r="F348" i="24"/>
  <c r="H348" i="24" s="1"/>
  <c r="I348" i="24" s="1"/>
  <c r="E348" i="24"/>
  <c r="F347" i="24"/>
  <c r="H347" i="24" s="1"/>
  <c r="I347" i="24" s="1"/>
  <c r="E347" i="24"/>
  <c r="G347" i="24" s="1"/>
  <c r="F346" i="24"/>
  <c r="H346" i="24" s="1"/>
  <c r="I346" i="24" s="1"/>
  <c r="E346" i="24"/>
  <c r="G346" i="24" s="1"/>
  <c r="G345" i="24"/>
  <c r="F345" i="24"/>
  <c r="H345" i="24" s="1"/>
  <c r="I345" i="24" s="1"/>
  <c r="E345" i="24"/>
  <c r="G344" i="24"/>
  <c r="F344" i="24"/>
  <c r="H344" i="24" s="1"/>
  <c r="I344" i="24" s="1"/>
  <c r="E344" i="24"/>
  <c r="F343" i="24"/>
  <c r="H343" i="24" s="1"/>
  <c r="I343" i="24" s="1"/>
  <c r="E343" i="24"/>
  <c r="G343" i="24" s="1"/>
  <c r="G342" i="24"/>
  <c r="F342" i="24"/>
  <c r="H342" i="24" s="1"/>
  <c r="I342" i="24" s="1"/>
  <c r="E342" i="24"/>
  <c r="F341" i="24"/>
  <c r="H341" i="24" s="1"/>
  <c r="I341" i="24" s="1"/>
  <c r="E341" i="24"/>
  <c r="G341" i="24" s="1"/>
  <c r="F340" i="24"/>
  <c r="H340" i="24" s="1"/>
  <c r="I340" i="24" s="1"/>
  <c r="E340" i="24"/>
  <c r="G340" i="24" s="1"/>
  <c r="G339" i="24"/>
  <c r="F339" i="24"/>
  <c r="H339" i="24" s="1"/>
  <c r="I339" i="24" s="1"/>
  <c r="E339" i="24"/>
  <c r="F338" i="24"/>
  <c r="H338" i="24" s="1"/>
  <c r="I338" i="24" s="1"/>
  <c r="E338" i="24"/>
  <c r="G338" i="24" s="1"/>
  <c r="F337" i="24"/>
  <c r="H337" i="24" s="1"/>
  <c r="I337" i="24" s="1"/>
  <c r="E337" i="24"/>
  <c r="G337" i="24" s="1"/>
  <c r="G336" i="24"/>
  <c r="F336" i="24"/>
  <c r="H336" i="24" s="1"/>
  <c r="I336" i="24" s="1"/>
  <c r="E336" i="24"/>
  <c r="F335" i="24"/>
  <c r="H335" i="24" s="1"/>
  <c r="I335" i="24" s="1"/>
  <c r="E335" i="24"/>
  <c r="G335" i="24" s="1"/>
  <c r="F334" i="24"/>
  <c r="H334" i="24" s="1"/>
  <c r="I334" i="24" s="1"/>
  <c r="E334" i="24"/>
  <c r="G334" i="24" s="1"/>
  <c r="G333" i="24"/>
  <c r="F333" i="24"/>
  <c r="H333" i="24" s="1"/>
  <c r="I333" i="24" s="1"/>
  <c r="E333" i="24"/>
  <c r="G332" i="24"/>
  <c r="F332" i="24"/>
  <c r="H332" i="24" s="1"/>
  <c r="I332" i="24" s="1"/>
  <c r="E332" i="24"/>
  <c r="F331" i="24"/>
  <c r="H331" i="24" s="1"/>
  <c r="I331" i="24" s="1"/>
  <c r="E331" i="24"/>
  <c r="G331" i="24" s="1"/>
  <c r="G330" i="24"/>
  <c r="F330" i="24"/>
  <c r="H330" i="24" s="1"/>
  <c r="I330" i="24" s="1"/>
  <c r="E330" i="24"/>
  <c r="F329" i="24"/>
  <c r="H329" i="24" s="1"/>
  <c r="I329" i="24" s="1"/>
  <c r="E329" i="24"/>
  <c r="G329" i="24" s="1"/>
  <c r="F328" i="24"/>
  <c r="H328" i="24" s="1"/>
  <c r="I328" i="24" s="1"/>
  <c r="E328" i="24"/>
  <c r="G328" i="24" s="1"/>
  <c r="G327" i="24"/>
  <c r="F327" i="24"/>
  <c r="H327" i="24" s="1"/>
  <c r="I327" i="24" s="1"/>
  <c r="E327" i="24"/>
  <c r="F326" i="24"/>
  <c r="H326" i="24" s="1"/>
  <c r="I326" i="24" s="1"/>
  <c r="E326" i="24"/>
  <c r="G326" i="24" s="1"/>
  <c r="F325" i="24"/>
  <c r="H325" i="24" s="1"/>
  <c r="I325" i="24" s="1"/>
  <c r="E325" i="24"/>
  <c r="G325" i="24" s="1"/>
  <c r="G324" i="24"/>
  <c r="F324" i="24"/>
  <c r="H324" i="24" s="1"/>
  <c r="I324" i="24" s="1"/>
  <c r="E324" i="24"/>
  <c r="F323" i="24"/>
  <c r="H323" i="24" s="1"/>
  <c r="I323" i="24" s="1"/>
  <c r="E323" i="24"/>
  <c r="G323" i="24" s="1"/>
  <c r="F322" i="24"/>
  <c r="H322" i="24" s="1"/>
  <c r="I322" i="24" s="1"/>
  <c r="E322" i="24"/>
  <c r="G322" i="24" s="1"/>
  <c r="G321" i="24"/>
  <c r="F321" i="24"/>
  <c r="H321" i="24" s="1"/>
  <c r="I321" i="24" s="1"/>
  <c r="E321" i="24"/>
  <c r="G320" i="24"/>
  <c r="F320" i="24"/>
  <c r="H320" i="24" s="1"/>
  <c r="I320" i="24" s="1"/>
  <c r="E320" i="24"/>
  <c r="F319" i="24"/>
  <c r="H319" i="24" s="1"/>
  <c r="I319" i="24" s="1"/>
  <c r="E319" i="24"/>
  <c r="G319" i="24" s="1"/>
  <c r="G318" i="24"/>
  <c r="F318" i="24"/>
  <c r="H318" i="24" s="1"/>
  <c r="I318" i="24" s="1"/>
  <c r="E318" i="24"/>
  <c r="F317" i="24"/>
  <c r="H317" i="24" s="1"/>
  <c r="I317" i="24" s="1"/>
  <c r="E317" i="24"/>
  <c r="G317" i="24" s="1"/>
  <c r="F316" i="24"/>
  <c r="H316" i="24" s="1"/>
  <c r="I316" i="24" s="1"/>
  <c r="E316" i="24"/>
  <c r="G316" i="24" s="1"/>
  <c r="G315" i="24"/>
  <c r="F315" i="24"/>
  <c r="H315" i="24" s="1"/>
  <c r="I315" i="24" s="1"/>
  <c r="E315" i="24"/>
  <c r="F314" i="24"/>
  <c r="H314" i="24" s="1"/>
  <c r="I314" i="24" s="1"/>
  <c r="E314" i="24"/>
  <c r="G314" i="24" s="1"/>
  <c r="F313" i="24"/>
  <c r="H313" i="24" s="1"/>
  <c r="I313" i="24" s="1"/>
  <c r="E313" i="24"/>
  <c r="G313" i="24" s="1"/>
  <c r="G312" i="24"/>
  <c r="F312" i="24"/>
  <c r="H312" i="24" s="1"/>
  <c r="I312" i="24" s="1"/>
  <c r="E312" i="24"/>
  <c r="F311" i="24"/>
  <c r="H311" i="24" s="1"/>
  <c r="I311" i="24" s="1"/>
  <c r="E311" i="24"/>
  <c r="G311" i="24" s="1"/>
  <c r="F310" i="24"/>
  <c r="H310" i="24" s="1"/>
  <c r="I310" i="24" s="1"/>
  <c r="E310" i="24"/>
  <c r="G310" i="24" s="1"/>
  <c r="G309" i="24"/>
  <c r="F309" i="24"/>
  <c r="H309" i="24" s="1"/>
  <c r="I309" i="24" s="1"/>
  <c r="E309" i="24"/>
  <c r="G308" i="24"/>
  <c r="F308" i="24"/>
  <c r="H308" i="24" s="1"/>
  <c r="I308" i="24" s="1"/>
  <c r="E308" i="24"/>
  <c r="F307" i="24"/>
  <c r="H307" i="24" s="1"/>
  <c r="I307" i="24" s="1"/>
  <c r="E307" i="24"/>
  <c r="G307" i="24" s="1"/>
  <c r="G306" i="24"/>
  <c r="F306" i="24"/>
  <c r="H306" i="24" s="1"/>
  <c r="I306" i="24" s="1"/>
  <c r="E306" i="24"/>
  <c r="F305" i="24"/>
  <c r="H305" i="24" s="1"/>
  <c r="I305" i="24" s="1"/>
  <c r="E305" i="24"/>
  <c r="G305" i="24" s="1"/>
  <c r="F304" i="24"/>
  <c r="H304" i="24" s="1"/>
  <c r="I304" i="24" s="1"/>
  <c r="E304" i="24"/>
  <c r="G304" i="24" s="1"/>
  <c r="G303" i="24"/>
  <c r="F303" i="24"/>
  <c r="H303" i="24" s="1"/>
  <c r="I303" i="24" s="1"/>
  <c r="E303" i="24"/>
  <c r="F302" i="24"/>
  <c r="H302" i="24" s="1"/>
  <c r="I302" i="24" s="1"/>
  <c r="E302" i="24"/>
  <c r="G302" i="24" s="1"/>
  <c r="F301" i="24"/>
  <c r="H301" i="24" s="1"/>
  <c r="I301" i="24" s="1"/>
  <c r="E301" i="24"/>
  <c r="G301" i="24" s="1"/>
  <c r="G300" i="24"/>
  <c r="F300" i="24"/>
  <c r="H300" i="24" s="1"/>
  <c r="I300" i="24" s="1"/>
  <c r="E300" i="24"/>
  <c r="F299" i="24"/>
  <c r="H299" i="24" s="1"/>
  <c r="I299" i="24" s="1"/>
  <c r="E299" i="24"/>
  <c r="G299" i="24" s="1"/>
  <c r="F298" i="24"/>
  <c r="H298" i="24" s="1"/>
  <c r="I298" i="24" s="1"/>
  <c r="E298" i="24"/>
  <c r="G298" i="24" s="1"/>
  <c r="G297" i="24"/>
  <c r="F297" i="24"/>
  <c r="H297" i="24" s="1"/>
  <c r="I297" i="24" s="1"/>
  <c r="E297" i="24"/>
  <c r="G296" i="24"/>
  <c r="F296" i="24"/>
  <c r="H296" i="24" s="1"/>
  <c r="I296" i="24" s="1"/>
  <c r="E296" i="24"/>
  <c r="F295" i="24"/>
  <c r="H295" i="24" s="1"/>
  <c r="I295" i="24" s="1"/>
  <c r="E295" i="24"/>
  <c r="G295" i="24" s="1"/>
  <c r="G294" i="24"/>
  <c r="F294" i="24"/>
  <c r="H294" i="24" s="1"/>
  <c r="I294" i="24" s="1"/>
  <c r="E294" i="24"/>
  <c r="F293" i="24"/>
  <c r="H293" i="24" s="1"/>
  <c r="I293" i="24" s="1"/>
  <c r="E293" i="24"/>
  <c r="G293" i="24" s="1"/>
  <c r="F292" i="24"/>
  <c r="H292" i="24" s="1"/>
  <c r="I292" i="24" s="1"/>
  <c r="E292" i="24"/>
  <c r="G292" i="24" s="1"/>
  <c r="G291" i="24"/>
  <c r="F291" i="24"/>
  <c r="H291" i="24" s="1"/>
  <c r="I291" i="24" s="1"/>
  <c r="E291" i="24"/>
  <c r="F290" i="24"/>
  <c r="H290" i="24" s="1"/>
  <c r="I290" i="24" s="1"/>
  <c r="E290" i="24"/>
  <c r="G290" i="24" s="1"/>
  <c r="F289" i="24"/>
  <c r="H289" i="24" s="1"/>
  <c r="I289" i="24" s="1"/>
  <c r="E289" i="24"/>
  <c r="G289" i="24" s="1"/>
  <c r="G288" i="24"/>
  <c r="F288" i="24"/>
  <c r="H288" i="24" s="1"/>
  <c r="I288" i="24" s="1"/>
  <c r="E288" i="24"/>
  <c r="F287" i="24"/>
  <c r="H287" i="24" s="1"/>
  <c r="I287" i="24" s="1"/>
  <c r="E287" i="24"/>
  <c r="G287" i="24" s="1"/>
  <c r="F286" i="24"/>
  <c r="H286" i="24" s="1"/>
  <c r="I286" i="24" s="1"/>
  <c r="E286" i="24"/>
  <c r="G286" i="24" s="1"/>
  <c r="G285" i="24"/>
  <c r="F285" i="24"/>
  <c r="H285" i="24" s="1"/>
  <c r="I285" i="24" s="1"/>
  <c r="E285" i="24"/>
  <c r="G284" i="24"/>
  <c r="F284" i="24"/>
  <c r="H284" i="24" s="1"/>
  <c r="I284" i="24" s="1"/>
  <c r="E284" i="24"/>
  <c r="F283" i="24"/>
  <c r="H283" i="24" s="1"/>
  <c r="I283" i="24" s="1"/>
  <c r="E283" i="24"/>
  <c r="G283" i="24" s="1"/>
  <c r="G282" i="24"/>
  <c r="F282" i="24"/>
  <c r="H282" i="24" s="1"/>
  <c r="I282" i="24" s="1"/>
  <c r="E282" i="24"/>
  <c r="F281" i="24"/>
  <c r="H281" i="24" s="1"/>
  <c r="I281" i="24" s="1"/>
  <c r="E281" i="24"/>
  <c r="G281" i="24" s="1"/>
  <c r="F280" i="24"/>
  <c r="H280" i="24" s="1"/>
  <c r="I280" i="24" s="1"/>
  <c r="E280" i="24"/>
  <c r="G280" i="24" s="1"/>
  <c r="G279" i="24"/>
  <c r="F279" i="24"/>
  <c r="H279" i="24" s="1"/>
  <c r="I279" i="24" s="1"/>
  <c r="E279" i="24"/>
  <c r="F278" i="24"/>
  <c r="H278" i="24" s="1"/>
  <c r="I278" i="24" s="1"/>
  <c r="E278" i="24"/>
  <c r="G278" i="24" s="1"/>
  <c r="F277" i="24"/>
  <c r="H277" i="24" s="1"/>
  <c r="I277" i="24" s="1"/>
  <c r="E277" i="24"/>
  <c r="G277" i="24" s="1"/>
  <c r="G276" i="24"/>
  <c r="F276" i="24"/>
  <c r="H276" i="24" s="1"/>
  <c r="I276" i="24" s="1"/>
  <c r="E276" i="24"/>
  <c r="F275" i="24"/>
  <c r="H275" i="24" s="1"/>
  <c r="I275" i="24" s="1"/>
  <c r="E275" i="24"/>
  <c r="G275" i="24" s="1"/>
  <c r="F274" i="24"/>
  <c r="H274" i="24" s="1"/>
  <c r="I274" i="24" s="1"/>
  <c r="E274" i="24"/>
  <c r="G274" i="24" s="1"/>
  <c r="G273" i="24"/>
  <c r="F273" i="24"/>
  <c r="H273" i="24" s="1"/>
  <c r="I273" i="24" s="1"/>
  <c r="E273" i="24"/>
  <c r="G272" i="24"/>
  <c r="F272" i="24"/>
  <c r="H272" i="24" s="1"/>
  <c r="I272" i="24" s="1"/>
  <c r="E272" i="24"/>
  <c r="F271" i="24"/>
  <c r="H271" i="24" s="1"/>
  <c r="I271" i="24" s="1"/>
  <c r="E271" i="24"/>
  <c r="G271" i="24" s="1"/>
  <c r="G270" i="24"/>
  <c r="F270" i="24"/>
  <c r="H270" i="24" s="1"/>
  <c r="I270" i="24" s="1"/>
  <c r="E270" i="24"/>
  <c r="F269" i="24"/>
  <c r="H269" i="24" s="1"/>
  <c r="I269" i="24" s="1"/>
  <c r="E269" i="24"/>
  <c r="G269" i="24" s="1"/>
  <c r="F268" i="24"/>
  <c r="H268" i="24" s="1"/>
  <c r="I268" i="24" s="1"/>
  <c r="E268" i="24"/>
  <c r="G268" i="24" s="1"/>
  <c r="F267" i="24"/>
  <c r="H267" i="24" s="1"/>
  <c r="I267" i="24" s="1"/>
  <c r="E267" i="24"/>
  <c r="G267" i="24" s="1"/>
  <c r="F266" i="24"/>
  <c r="H266" i="24" s="1"/>
  <c r="I266" i="24" s="1"/>
  <c r="E266" i="24"/>
  <c r="G266" i="24" s="1"/>
  <c r="F265" i="24"/>
  <c r="H265" i="24" s="1"/>
  <c r="I265" i="24" s="1"/>
  <c r="E265" i="24"/>
  <c r="G265" i="24" s="1"/>
  <c r="F264" i="24"/>
  <c r="H264" i="24" s="1"/>
  <c r="I264" i="24" s="1"/>
  <c r="E264" i="24"/>
  <c r="G264" i="24" s="1"/>
  <c r="F263" i="24"/>
  <c r="H263" i="24" s="1"/>
  <c r="I263" i="24" s="1"/>
  <c r="E263" i="24"/>
  <c r="G263" i="24" s="1"/>
  <c r="F262" i="24"/>
  <c r="H262" i="24" s="1"/>
  <c r="I262" i="24" s="1"/>
  <c r="E262" i="24"/>
  <c r="G262" i="24" s="1"/>
  <c r="F261" i="24"/>
  <c r="H261" i="24" s="1"/>
  <c r="I261" i="24" s="1"/>
  <c r="E261" i="24"/>
  <c r="G261" i="24" s="1"/>
  <c r="G260" i="24"/>
  <c r="F260" i="24"/>
  <c r="H260" i="24" s="1"/>
  <c r="I260" i="24" s="1"/>
  <c r="E260" i="24"/>
  <c r="F259" i="24"/>
  <c r="H259" i="24" s="1"/>
  <c r="I259" i="24" s="1"/>
  <c r="E259" i="24"/>
  <c r="G259" i="24" s="1"/>
  <c r="G258" i="24"/>
  <c r="F258" i="24"/>
  <c r="H258" i="24" s="1"/>
  <c r="I258" i="24" s="1"/>
  <c r="E258" i="24"/>
  <c r="F257" i="24"/>
  <c r="H257" i="24" s="1"/>
  <c r="I257" i="24" s="1"/>
  <c r="E257" i="24"/>
  <c r="G257" i="24" s="1"/>
  <c r="F256" i="24"/>
  <c r="H256" i="24" s="1"/>
  <c r="I256" i="24" s="1"/>
  <c r="E256" i="24"/>
  <c r="G256" i="24" s="1"/>
  <c r="G255" i="24"/>
  <c r="F255" i="24"/>
  <c r="H255" i="24" s="1"/>
  <c r="I255" i="24" s="1"/>
  <c r="E255" i="24"/>
  <c r="F254" i="24"/>
  <c r="H254" i="24" s="1"/>
  <c r="I254" i="24" s="1"/>
  <c r="E254" i="24"/>
  <c r="G254" i="24" s="1"/>
  <c r="F253" i="24"/>
  <c r="H253" i="24" s="1"/>
  <c r="I253" i="24" s="1"/>
  <c r="E253" i="24"/>
  <c r="G253" i="24" s="1"/>
  <c r="G252" i="24"/>
  <c r="F252" i="24"/>
  <c r="H252" i="24" s="1"/>
  <c r="I252" i="24" s="1"/>
  <c r="E252" i="24"/>
  <c r="F251" i="24"/>
  <c r="H251" i="24" s="1"/>
  <c r="I251" i="24" s="1"/>
  <c r="E251" i="24"/>
  <c r="G251" i="24" s="1"/>
  <c r="F250" i="24"/>
  <c r="H250" i="24" s="1"/>
  <c r="I250" i="24" s="1"/>
  <c r="E250" i="24"/>
  <c r="G250" i="24" s="1"/>
  <c r="F249" i="24"/>
  <c r="H249" i="24" s="1"/>
  <c r="I249" i="24" s="1"/>
  <c r="E249" i="24"/>
  <c r="G249" i="24" s="1"/>
  <c r="G248" i="24"/>
  <c r="F248" i="24"/>
  <c r="H248" i="24" s="1"/>
  <c r="I248" i="24" s="1"/>
  <c r="E248" i="24"/>
  <c r="F247" i="24"/>
  <c r="H247" i="24" s="1"/>
  <c r="I247" i="24" s="1"/>
  <c r="E247" i="24"/>
  <c r="G247" i="24" s="1"/>
  <c r="G246" i="24"/>
  <c r="F246" i="24"/>
  <c r="H246" i="24" s="1"/>
  <c r="I246" i="24" s="1"/>
  <c r="E246" i="24"/>
  <c r="F245" i="24"/>
  <c r="H245" i="24" s="1"/>
  <c r="I245" i="24" s="1"/>
  <c r="E245" i="24"/>
  <c r="G245" i="24" s="1"/>
  <c r="F244" i="24"/>
  <c r="H244" i="24" s="1"/>
  <c r="I244" i="24" s="1"/>
  <c r="E244" i="24"/>
  <c r="G244" i="24" s="1"/>
  <c r="G243" i="24"/>
  <c r="F243" i="24"/>
  <c r="H243" i="24" s="1"/>
  <c r="I243" i="24" s="1"/>
  <c r="E243" i="24"/>
  <c r="F242" i="24"/>
  <c r="H242" i="24" s="1"/>
  <c r="I242" i="24" s="1"/>
  <c r="E242" i="24"/>
  <c r="G242" i="24" s="1"/>
  <c r="F241" i="24"/>
  <c r="H241" i="24" s="1"/>
  <c r="I241" i="24" s="1"/>
  <c r="E241" i="24"/>
  <c r="G241" i="24" s="1"/>
  <c r="F240" i="24"/>
  <c r="H240" i="24" s="1"/>
  <c r="I240" i="24" s="1"/>
  <c r="E240" i="24"/>
  <c r="G240" i="24" s="1"/>
  <c r="F239" i="24"/>
  <c r="H239" i="24" s="1"/>
  <c r="I239" i="24" s="1"/>
  <c r="E239" i="24"/>
  <c r="G239" i="24" s="1"/>
  <c r="F238" i="24"/>
  <c r="H238" i="24" s="1"/>
  <c r="I238" i="24" s="1"/>
  <c r="E238" i="24"/>
  <c r="G238" i="24" s="1"/>
  <c r="G237" i="24"/>
  <c r="F237" i="24"/>
  <c r="H237" i="24" s="1"/>
  <c r="I237" i="24" s="1"/>
  <c r="E237" i="24"/>
  <c r="G236" i="24"/>
  <c r="F236" i="24"/>
  <c r="H236" i="24" s="1"/>
  <c r="I236" i="24" s="1"/>
  <c r="E236" i="24"/>
  <c r="F235" i="24"/>
  <c r="H235" i="24" s="1"/>
  <c r="I235" i="24" s="1"/>
  <c r="E235" i="24"/>
  <c r="G235" i="24" s="1"/>
  <c r="F234" i="24"/>
  <c r="H234" i="24" s="1"/>
  <c r="I234" i="24" s="1"/>
  <c r="E234" i="24"/>
  <c r="G234" i="24" s="1"/>
  <c r="F233" i="24"/>
  <c r="H233" i="24" s="1"/>
  <c r="I233" i="24" s="1"/>
  <c r="E233" i="24"/>
  <c r="G233" i="24" s="1"/>
  <c r="F232" i="24"/>
  <c r="H232" i="24" s="1"/>
  <c r="I232" i="24" s="1"/>
  <c r="E232" i="24"/>
  <c r="G232" i="24" s="1"/>
  <c r="G231" i="24"/>
  <c r="F231" i="24"/>
  <c r="H231" i="24" s="1"/>
  <c r="I231" i="24" s="1"/>
  <c r="E231" i="24"/>
  <c r="F230" i="24"/>
  <c r="H230" i="24" s="1"/>
  <c r="I230" i="24" s="1"/>
  <c r="E230" i="24"/>
  <c r="G230" i="24" s="1"/>
  <c r="F229" i="24"/>
  <c r="H229" i="24" s="1"/>
  <c r="I229" i="24" s="1"/>
  <c r="E229" i="24"/>
  <c r="G229" i="24" s="1"/>
  <c r="G228" i="24"/>
  <c r="F228" i="24"/>
  <c r="H228" i="24" s="1"/>
  <c r="I228" i="24" s="1"/>
  <c r="E228" i="24"/>
  <c r="F227" i="24"/>
  <c r="H227" i="24" s="1"/>
  <c r="I227" i="24" s="1"/>
  <c r="E227" i="24"/>
  <c r="G227" i="24" s="1"/>
  <c r="F226" i="24"/>
  <c r="H226" i="24" s="1"/>
  <c r="I226" i="24" s="1"/>
  <c r="E226" i="24"/>
  <c r="G226" i="24" s="1"/>
  <c r="F225" i="24"/>
  <c r="H225" i="24" s="1"/>
  <c r="I225" i="24" s="1"/>
  <c r="E225" i="24"/>
  <c r="G225" i="24" s="1"/>
  <c r="F224" i="24"/>
  <c r="H224" i="24" s="1"/>
  <c r="I224" i="24" s="1"/>
  <c r="E224" i="24"/>
  <c r="G224" i="24" s="1"/>
  <c r="F223" i="24"/>
  <c r="H223" i="24" s="1"/>
  <c r="I223" i="24" s="1"/>
  <c r="E223" i="24"/>
  <c r="G223" i="24" s="1"/>
  <c r="G222" i="24"/>
  <c r="F222" i="24"/>
  <c r="H222" i="24" s="1"/>
  <c r="I222" i="24" s="1"/>
  <c r="E222" i="24"/>
  <c r="F221" i="24"/>
  <c r="H221" i="24" s="1"/>
  <c r="I221" i="24" s="1"/>
  <c r="E221" i="24"/>
  <c r="G221" i="24" s="1"/>
  <c r="F220" i="24"/>
  <c r="H220" i="24" s="1"/>
  <c r="I220" i="24" s="1"/>
  <c r="E220" i="24"/>
  <c r="G220" i="24" s="1"/>
  <c r="F219" i="24"/>
  <c r="H219" i="24" s="1"/>
  <c r="I219" i="24" s="1"/>
  <c r="E219" i="24"/>
  <c r="G219" i="24" s="1"/>
  <c r="F218" i="24"/>
  <c r="H218" i="24" s="1"/>
  <c r="I218" i="24" s="1"/>
  <c r="E218" i="24"/>
  <c r="G218" i="24" s="1"/>
  <c r="F217" i="24"/>
  <c r="H217" i="24" s="1"/>
  <c r="I217" i="24" s="1"/>
  <c r="E217" i="24"/>
  <c r="G217" i="24" s="1"/>
  <c r="G216" i="24"/>
  <c r="F216" i="24"/>
  <c r="H216" i="24" s="1"/>
  <c r="I216" i="24" s="1"/>
  <c r="E216" i="24"/>
  <c r="F215" i="24"/>
  <c r="H215" i="24" s="1"/>
  <c r="I215" i="24" s="1"/>
  <c r="E215" i="24"/>
  <c r="G215" i="24" s="1"/>
  <c r="F214" i="24"/>
  <c r="H214" i="24" s="1"/>
  <c r="I214" i="24" s="1"/>
  <c r="E214" i="24"/>
  <c r="G214" i="24" s="1"/>
  <c r="G213" i="24"/>
  <c r="F213" i="24"/>
  <c r="H213" i="24" s="1"/>
  <c r="I213" i="24" s="1"/>
  <c r="E213" i="24"/>
  <c r="G212" i="24"/>
  <c r="F212" i="24"/>
  <c r="H212" i="24" s="1"/>
  <c r="I212" i="24" s="1"/>
  <c r="E212" i="24"/>
  <c r="F211" i="24"/>
  <c r="H211" i="24" s="1"/>
  <c r="I211" i="24" s="1"/>
  <c r="E211" i="24"/>
  <c r="G211" i="24" s="1"/>
  <c r="F210" i="24"/>
  <c r="H210" i="24" s="1"/>
  <c r="I210" i="24" s="1"/>
  <c r="E210" i="24"/>
  <c r="G210" i="24" s="1"/>
  <c r="F209" i="24"/>
  <c r="H209" i="24" s="1"/>
  <c r="I209" i="24" s="1"/>
  <c r="E209" i="24"/>
  <c r="G209" i="24" s="1"/>
  <c r="F208" i="24"/>
  <c r="H208" i="24" s="1"/>
  <c r="I208" i="24" s="1"/>
  <c r="E208" i="24"/>
  <c r="G208" i="24" s="1"/>
  <c r="G207" i="24"/>
  <c r="F207" i="24"/>
  <c r="H207" i="24" s="1"/>
  <c r="I207" i="24" s="1"/>
  <c r="E207" i="24"/>
  <c r="F206" i="24"/>
  <c r="H206" i="24" s="1"/>
  <c r="I206" i="24" s="1"/>
  <c r="E206" i="24"/>
  <c r="G206" i="24" s="1"/>
  <c r="F205" i="24"/>
  <c r="H205" i="24" s="1"/>
  <c r="I205" i="24" s="1"/>
  <c r="E205" i="24"/>
  <c r="G205" i="24" s="1"/>
  <c r="G204" i="24"/>
  <c r="F204" i="24"/>
  <c r="H204" i="24" s="1"/>
  <c r="I204" i="24" s="1"/>
  <c r="E204" i="24"/>
  <c r="F203" i="24"/>
  <c r="H203" i="24" s="1"/>
  <c r="I203" i="24" s="1"/>
  <c r="E203" i="24"/>
  <c r="G203" i="24" s="1"/>
  <c r="F202" i="24"/>
  <c r="H202" i="24" s="1"/>
  <c r="I202" i="24" s="1"/>
  <c r="E202" i="24"/>
  <c r="G202" i="24" s="1"/>
  <c r="F201" i="24"/>
  <c r="H201" i="24" s="1"/>
  <c r="I201" i="24" s="1"/>
  <c r="E201" i="24"/>
  <c r="G201" i="24" s="1"/>
  <c r="F200" i="24"/>
  <c r="H200" i="24" s="1"/>
  <c r="I200" i="24" s="1"/>
  <c r="E200" i="24"/>
  <c r="G200" i="24" s="1"/>
  <c r="F199" i="24"/>
  <c r="H199" i="24" s="1"/>
  <c r="I199" i="24" s="1"/>
  <c r="E199" i="24"/>
  <c r="G199" i="24" s="1"/>
  <c r="G198" i="24"/>
  <c r="F198" i="24"/>
  <c r="H198" i="24" s="1"/>
  <c r="I198" i="24" s="1"/>
  <c r="E198" i="24"/>
  <c r="F197" i="24"/>
  <c r="H197" i="24" s="1"/>
  <c r="I197" i="24" s="1"/>
  <c r="E197" i="24"/>
  <c r="G197" i="24" s="1"/>
  <c r="F196" i="24"/>
  <c r="H196" i="24" s="1"/>
  <c r="I196" i="24" s="1"/>
  <c r="E196" i="24"/>
  <c r="G196" i="24" s="1"/>
  <c r="F195" i="24"/>
  <c r="H195" i="24" s="1"/>
  <c r="I195" i="24" s="1"/>
  <c r="E195" i="24"/>
  <c r="G195" i="24" s="1"/>
  <c r="F194" i="24"/>
  <c r="H194" i="24" s="1"/>
  <c r="I194" i="24" s="1"/>
  <c r="E194" i="24"/>
  <c r="G194" i="24" s="1"/>
  <c r="F193" i="24"/>
  <c r="H193" i="24" s="1"/>
  <c r="I193" i="24" s="1"/>
  <c r="E193" i="24"/>
  <c r="G193" i="24" s="1"/>
  <c r="G192" i="24"/>
  <c r="F192" i="24"/>
  <c r="H192" i="24" s="1"/>
  <c r="I192" i="24" s="1"/>
  <c r="E192" i="24"/>
  <c r="F191" i="24"/>
  <c r="H191" i="24" s="1"/>
  <c r="I191" i="24" s="1"/>
  <c r="E191" i="24"/>
  <c r="G191" i="24" s="1"/>
  <c r="F190" i="24"/>
  <c r="H190" i="24" s="1"/>
  <c r="I190" i="24" s="1"/>
  <c r="E190" i="24"/>
  <c r="G190" i="24" s="1"/>
  <c r="G189" i="24"/>
  <c r="F189" i="24"/>
  <c r="H189" i="24" s="1"/>
  <c r="I189" i="24" s="1"/>
  <c r="E189" i="24"/>
  <c r="G188" i="24"/>
  <c r="F188" i="24"/>
  <c r="H188" i="24" s="1"/>
  <c r="I188" i="24" s="1"/>
  <c r="E188" i="24"/>
  <c r="F187" i="24"/>
  <c r="H187" i="24" s="1"/>
  <c r="I187" i="24" s="1"/>
  <c r="E187" i="24"/>
  <c r="G187" i="24" s="1"/>
  <c r="F186" i="24"/>
  <c r="H186" i="24" s="1"/>
  <c r="I186" i="24" s="1"/>
  <c r="E186" i="24"/>
  <c r="G186" i="24" s="1"/>
  <c r="F185" i="24"/>
  <c r="H185" i="24" s="1"/>
  <c r="I185" i="24" s="1"/>
  <c r="E185" i="24"/>
  <c r="G185" i="24" s="1"/>
  <c r="F184" i="24"/>
  <c r="H184" i="24" s="1"/>
  <c r="I184" i="24" s="1"/>
  <c r="E184" i="24"/>
  <c r="G184" i="24" s="1"/>
  <c r="F183" i="24"/>
  <c r="H183" i="24" s="1"/>
  <c r="I183" i="24" s="1"/>
  <c r="E183" i="24"/>
  <c r="G183" i="24" s="1"/>
  <c r="F182" i="24"/>
  <c r="H182" i="24" s="1"/>
  <c r="I182" i="24" s="1"/>
  <c r="E182" i="24"/>
  <c r="G182" i="24" s="1"/>
  <c r="F181" i="24"/>
  <c r="H181" i="24" s="1"/>
  <c r="I181" i="24" s="1"/>
  <c r="E181" i="24"/>
  <c r="G181" i="24" s="1"/>
  <c r="F180" i="24"/>
  <c r="H180" i="24" s="1"/>
  <c r="I180" i="24" s="1"/>
  <c r="E180" i="24"/>
  <c r="G180" i="24" s="1"/>
  <c r="F179" i="24"/>
  <c r="H179" i="24" s="1"/>
  <c r="I179" i="24" s="1"/>
  <c r="E179" i="24"/>
  <c r="G179" i="24" s="1"/>
  <c r="F178" i="24"/>
  <c r="H178" i="24" s="1"/>
  <c r="I178" i="24" s="1"/>
  <c r="E178" i="24"/>
  <c r="G178" i="24" s="1"/>
  <c r="F177" i="24"/>
  <c r="H177" i="24" s="1"/>
  <c r="I177" i="24" s="1"/>
  <c r="E177" i="24"/>
  <c r="G177" i="24" s="1"/>
  <c r="F176" i="24"/>
  <c r="H176" i="24" s="1"/>
  <c r="I176" i="24" s="1"/>
  <c r="E176" i="24"/>
  <c r="G176" i="24" s="1"/>
  <c r="F175" i="24"/>
  <c r="H175" i="24" s="1"/>
  <c r="I175" i="24" s="1"/>
  <c r="E175" i="24"/>
  <c r="G175" i="24" s="1"/>
  <c r="F174" i="24"/>
  <c r="H174" i="24" s="1"/>
  <c r="I174" i="24" s="1"/>
  <c r="E174" i="24"/>
  <c r="G174" i="24" s="1"/>
  <c r="F173" i="24"/>
  <c r="H173" i="24" s="1"/>
  <c r="I173" i="24" s="1"/>
  <c r="E173" i="24"/>
  <c r="G173" i="24" s="1"/>
  <c r="F172" i="24"/>
  <c r="H172" i="24" s="1"/>
  <c r="I172" i="24" s="1"/>
  <c r="E172" i="24"/>
  <c r="G172" i="24" s="1"/>
  <c r="G171" i="24"/>
  <c r="F171" i="24"/>
  <c r="H171" i="24" s="1"/>
  <c r="I171" i="24" s="1"/>
  <c r="E171" i="24"/>
  <c r="F170" i="24"/>
  <c r="H170" i="24" s="1"/>
  <c r="I170" i="24" s="1"/>
  <c r="E170" i="24"/>
  <c r="G170" i="24" s="1"/>
  <c r="F169" i="24"/>
  <c r="H169" i="24" s="1"/>
  <c r="I169" i="24" s="1"/>
  <c r="E169" i="24"/>
  <c r="G169" i="24" s="1"/>
  <c r="F168" i="24"/>
  <c r="H168" i="24" s="1"/>
  <c r="I168" i="24" s="1"/>
  <c r="E168" i="24"/>
  <c r="G168" i="24" s="1"/>
  <c r="F167" i="24"/>
  <c r="H167" i="24" s="1"/>
  <c r="I167" i="24" s="1"/>
  <c r="E167" i="24"/>
  <c r="G167" i="24" s="1"/>
  <c r="F166" i="24"/>
  <c r="H166" i="24" s="1"/>
  <c r="I166" i="24" s="1"/>
  <c r="E166" i="24"/>
  <c r="G166" i="24" s="1"/>
  <c r="F165" i="24"/>
  <c r="H165" i="24" s="1"/>
  <c r="I165" i="24" s="1"/>
  <c r="E165" i="24"/>
  <c r="G165" i="24" s="1"/>
  <c r="G164" i="24"/>
  <c r="F164" i="24"/>
  <c r="H164" i="24" s="1"/>
  <c r="I164" i="24" s="1"/>
  <c r="E164" i="24"/>
  <c r="F163" i="24"/>
  <c r="H163" i="24" s="1"/>
  <c r="I163" i="24" s="1"/>
  <c r="E163" i="24"/>
  <c r="G163" i="24" s="1"/>
  <c r="F162" i="24"/>
  <c r="H162" i="24" s="1"/>
  <c r="I162" i="24" s="1"/>
  <c r="E162" i="24"/>
  <c r="G162" i="24" s="1"/>
  <c r="F161" i="24"/>
  <c r="H161" i="24" s="1"/>
  <c r="I161" i="24" s="1"/>
  <c r="E161" i="24"/>
  <c r="G161" i="24" s="1"/>
  <c r="F160" i="24"/>
  <c r="H160" i="24" s="1"/>
  <c r="I160" i="24" s="1"/>
  <c r="E160" i="24"/>
  <c r="G160" i="24" s="1"/>
  <c r="F159" i="24"/>
  <c r="H159" i="24" s="1"/>
  <c r="I159" i="24" s="1"/>
  <c r="E159" i="24"/>
  <c r="G159" i="24" s="1"/>
  <c r="F158" i="24"/>
  <c r="H158" i="24" s="1"/>
  <c r="I158" i="24" s="1"/>
  <c r="E158" i="24"/>
  <c r="G158" i="24" s="1"/>
  <c r="F157" i="24"/>
  <c r="H157" i="24" s="1"/>
  <c r="I157" i="24" s="1"/>
  <c r="E157" i="24"/>
  <c r="G157" i="24" s="1"/>
  <c r="G156" i="24"/>
  <c r="F156" i="24"/>
  <c r="H156" i="24" s="1"/>
  <c r="I156" i="24" s="1"/>
  <c r="E156" i="24"/>
  <c r="F155" i="24"/>
  <c r="H155" i="24" s="1"/>
  <c r="I155" i="24" s="1"/>
  <c r="E155" i="24"/>
  <c r="G155" i="24" s="1"/>
  <c r="F154" i="24"/>
  <c r="H154" i="24" s="1"/>
  <c r="I154" i="24" s="1"/>
  <c r="E154" i="24"/>
  <c r="G154" i="24" s="1"/>
  <c r="G153" i="24"/>
  <c r="F153" i="24"/>
  <c r="H153" i="24" s="1"/>
  <c r="I153" i="24" s="1"/>
  <c r="E153" i="24"/>
  <c r="G152" i="24"/>
  <c r="F152" i="24"/>
  <c r="H152" i="24" s="1"/>
  <c r="I152" i="24" s="1"/>
  <c r="E152" i="24"/>
  <c r="F151" i="24"/>
  <c r="H151" i="24" s="1"/>
  <c r="I151" i="24" s="1"/>
  <c r="E151" i="24"/>
  <c r="G151" i="24" s="1"/>
  <c r="F150" i="24"/>
  <c r="H150" i="24" s="1"/>
  <c r="I150" i="24" s="1"/>
  <c r="E150" i="24"/>
  <c r="G150" i="24" s="1"/>
  <c r="F149" i="24"/>
  <c r="H149" i="24" s="1"/>
  <c r="I149" i="24" s="1"/>
  <c r="E149" i="24"/>
  <c r="G149" i="24" s="1"/>
  <c r="F148" i="24"/>
  <c r="H148" i="24" s="1"/>
  <c r="I148" i="24" s="1"/>
  <c r="E148" i="24"/>
  <c r="G148" i="24" s="1"/>
  <c r="G147" i="24"/>
  <c r="F147" i="24"/>
  <c r="H147" i="24" s="1"/>
  <c r="I147" i="24" s="1"/>
  <c r="E147" i="24"/>
  <c r="F146" i="24"/>
  <c r="H146" i="24" s="1"/>
  <c r="I146" i="24" s="1"/>
  <c r="E146" i="24"/>
  <c r="G146" i="24" s="1"/>
  <c r="F145" i="24"/>
  <c r="H145" i="24" s="1"/>
  <c r="I145" i="24" s="1"/>
  <c r="E145" i="24"/>
  <c r="G145" i="24" s="1"/>
  <c r="F144" i="24"/>
  <c r="H144" i="24" s="1"/>
  <c r="I144" i="24" s="1"/>
  <c r="E144" i="24"/>
  <c r="G144" i="24" s="1"/>
  <c r="F143" i="24"/>
  <c r="H143" i="24" s="1"/>
  <c r="I143" i="24" s="1"/>
  <c r="E143" i="24"/>
  <c r="G143" i="24" s="1"/>
  <c r="F142" i="24"/>
  <c r="H142" i="24" s="1"/>
  <c r="I142" i="24" s="1"/>
  <c r="E142" i="24"/>
  <c r="G142" i="24" s="1"/>
  <c r="G141" i="24"/>
  <c r="F141" i="24"/>
  <c r="H141" i="24" s="1"/>
  <c r="I141" i="24" s="1"/>
  <c r="E141" i="24"/>
  <c r="F140" i="24"/>
  <c r="H140" i="24" s="1"/>
  <c r="I140" i="24" s="1"/>
  <c r="E140" i="24"/>
  <c r="G140" i="24" s="1"/>
  <c r="F139" i="24"/>
  <c r="H139" i="24" s="1"/>
  <c r="I139" i="24" s="1"/>
  <c r="E139" i="24"/>
  <c r="G139" i="24" s="1"/>
  <c r="F138" i="24"/>
  <c r="H138" i="24" s="1"/>
  <c r="I138" i="24" s="1"/>
  <c r="E138" i="24"/>
  <c r="G138" i="24" s="1"/>
  <c r="F137" i="24"/>
  <c r="H137" i="24" s="1"/>
  <c r="I137" i="24" s="1"/>
  <c r="E137" i="24"/>
  <c r="G137" i="24" s="1"/>
  <c r="F136" i="24"/>
  <c r="H136" i="24" s="1"/>
  <c r="I136" i="24" s="1"/>
  <c r="E136" i="24"/>
  <c r="G136" i="24" s="1"/>
  <c r="F135" i="24"/>
  <c r="H135" i="24" s="1"/>
  <c r="I135" i="24" s="1"/>
  <c r="E135" i="24"/>
  <c r="G135" i="24" s="1"/>
  <c r="F134" i="24"/>
  <c r="H134" i="24" s="1"/>
  <c r="I134" i="24" s="1"/>
  <c r="E134" i="24"/>
  <c r="F133" i="24"/>
  <c r="H133" i="24" s="1"/>
  <c r="I133" i="24" s="1"/>
  <c r="E133" i="24"/>
  <c r="F132" i="24"/>
  <c r="H132" i="24" s="1"/>
  <c r="I132" i="24" s="1"/>
  <c r="E132" i="24"/>
  <c r="G132" i="24" s="1"/>
  <c r="F131" i="24"/>
  <c r="H131" i="24" s="1"/>
  <c r="I131" i="24" s="1"/>
  <c r="E131" i="24"/>
  <c r="F130" i="24"/>
  <c r="H130" i="24" s="1"/>
  <c r="I130" i="24" s="1"/>
  <c r="E130" i="24"/>
  <c r="F129" i="24"/>
  <c r="H129" i="24" s="1"/>
  <c r="I129" i="24" s="1"/>
  <c r="E129" i="24"/>
  <c r="F128" i="24"/>
  <c r="H128" i="24" s="1"/>
  <c r="I128" i="24" s="1"/>
  <c r="E128" i="24"/>
  <c r="F127" i="24"/>
  <c r="H127" i="24" s="1"/>
  <c r="I127" i="24" s="1"/>
  <c r="E127" i="24"/>
  <c r="F126" i="24"/>
  <c r="H126" i="24" s="1"/>
  <c r="I126" i="24" s="1"/>
  <c r="E126" i="24"/>
  <c r="F125" i="24"/>
  <c r="H125" i="24" s="1"/>
  <c r="I125" i="24" s="1"/>
  <c r="E125" i="24"/>
  <c r="F124" i="24"/>
  <c r="H124" i="24" s="1"/>
  <c r="I124" i="24" s="1"/>
  <c r="E124" i="24"/>
  <c r="F123" i="24"/>
  <c r="H123" i="24" s="1"/>
  <c r="I123" i="24" s="1"/>
  <c r="E123" i="24"/>
  <c r="F122" i="24"/>
  <c r="H122" i="24" s="1"/>
  <c r="I122" i="24" s="1"/>
  <c r="E122" i="24"/>
  <c r="F121" i="24"/>
  <c r="H121" i="24" s="1"/>
  <c r="I121" i="24" s="1"/>
  <c r="E121" i="24"/>
  <c r="F120" i="24"/>
  <c r="H120" i="24" s="1"/>
  <c r="I120" i="24" s="1"/>
  <c r="E120" i="24"/>
  <c r="F119" i="24"/>
  <c r="H119" i="24" s="1"/>
  <c r="I119" i="24" s="1"/>
  <c r="E119" i="24"/>
  <c r="F118" i="24"/>
  <c r="H118" i="24" s="1"/>
  <c r="I118" i="24" s="1"/>
  <c r="E118" i="24"/>
  <c r="F117" i="24"/>
  <c r="H117" i="24" s="1"/>
  <c r="I117" i="24" s="1"/>
  <c r="E117" i="24"/>
  <c r="F116" i="24"/>
  <c r="H116" i="24" s="1"/>
  <c r="I116" i="24" s="1"/>
  <c r="E116" i="24"/>
  <c r="F115" i="24"/>
  <c r="H115" i="24" s="1"/>
  <c r="I115" i="24" s="1"/>
  <c r="E115" i="24"/>
  <c r="F114" i="24"/>
  <c r="H114" i="24" s="1"/>
  <c r="I114" i="24" s="1"/>
  <c r="E114" i="24"/>
  <c r="F113" i="24"/>
  <c r="H113" i="24" s="1"/>
  <c r="I113" i="24" s="1"/>
  <c r="E113" i="24"/>
  <c r="F112" i="24"/>
  <c r="H112" i="24" s="1"/>
  <c r="I112" i="24" s="1"/>
  <c r="E112" i="24"/>
  <c r="F111" i="24"/>
  <c r="H111" i="24" s="1"/>
  <c r="I111" i="24" s="1"/>
  <c r="E111" i="24"/>
  <c r="F110" i="24"/>
  <c r="H110" i="24" s="1"/>
  <c r="I110" i="24" s="1"/>
  <c r="E110" i="24"/>
  <c r="F109" i="24"/>
  <c r="H109" i="24" s="1"/>
  <c r="I109" i="24" s="1"/>
  <c r="E109" i="24"/>
  <c r="F108" i="24"/>
  <c r="H108" i="24" s="1"/>
  <c r="I108" i="24" s="1"/>
  <c r="E108" i="24"/>
  <c r="F107" i="24"/>
  <c r="H107" i="24" s="1"/>
  <c r="I107" i="24" s="1"/>
  <c r="E107" i="24"/>
  <c r="F106" i="24"/>
  <c r="H106" i="24" s="1"/>
  <c r="I106" i="24" s="1"/>
  <c r="E106" i="24"/>
  <c r="F105" i="24"/>
  <c r="H105" i="24" s="1"/>
  <c r="I105" i="24" s="1"/>
  <c r="E105" i="24"/>
  <c r="F104" i="24"/>
  <c r="H104" i="24" s="1"/>
  <c r="I104" i="24" s="1"/>
  <c r="E104" i="24"/>
  <c r="F103" i="24"/>
  <c r="H103" i="24" s="1"/>
  <c r="I103" i="24" s="1"/>
  <c r="E103" i="24"/>
  <c r="F102" i="24"/>
  <c r="H102" i="24" s="1"/>
  <c r="I102" i="24" s="1"/>
  <c r="E102" i="24"/>
  <c r="F101" i="24"/>
  <c r="H101" i="24" s="1"/>
  <c r="I101" i="24" s="1"/>
  <c r="E101" i="24"/>
  <c r="F100" i="24"/>
  <c r="H100" i="24" s="1"/>
  <c r="I100" i="24" s="1"/>
  <c r="E100" i="24"/>
  <c r="F99" i="24"/>
  <c r="H99" i="24" s="1"/>
  <c r="I99" i="24" s="1"/>
  <c r="E99" i="24"/>
  <c r="F98" i="24"/>
  <c r="H98" i="24" s="1"/>
  <c r="I98" i="24" s="1"/>
  <c r="E98" i="24"/>
  <c r="F97" i="24"/>
  <c r="H97" i="24" s="1"/>
  <c r="I97" i="24" s="1"/>
  <c r="E97" i="24"/>
  <c r="F96" i="24"/>
  <c r="H96" i="24" s="1"/>
  <c r="I96" i="24" s="1"/>
  <c r="E96" i="24"/>
  <c r="F95" i="24"/>
  <c r="H95" i="24" s="1"/>
  <c r="I95" i="24" s="1"/>
  <c r="E95" i="24"/>
  <c r="F94" i="24"/>
  <c r="H94" i="24" s="1"/>
  <c r="I94" i="24" s="1"/>
  <c r="E94" i="24"/>
  <c r="F93" i="24"/>
  <c r="H93" i="24" s="1"/>
  <c r="I93" i="24" s="1"/>
  <c r="E93" i="24"/>
  <c r="F92" i="24"/>
  <c r="H92" i="24" s="1"/>
  <c r="I92" i="24" s="1"/>
  <c r="E92" i="24"/>
  <c r="F91" i="24"/>
  <c r="H91" i="24" s="1"/>
  <c r="I91" i="24" s="1"/>
  <c r="E91" i="24"/>
  <c r="F90" i="24"/>
  <c r="H90" i="24" s="1"/>
  <c r="I90" i="24" s="1"/>
  <c r="E90" i="24"/>
  <c r="F89" i="24"/>
  <c r="H89" i="24" s="1"/>
  <c r="I89" i="24" s="1"/>
  <c r="E89" i="24"/>
  <c r="F88" i="24"/>
  <c r="H88" i="24" s="1"/>
  <c r="I88" i="24" s="1"/>
  <c r="E88" i="24"/>
  <c r="F87" i="24"/>
  <c r="H87" i="24" s="1"/>
  <c r="I87" i="24" s="1"/>
  <c r="E87" i="24"/>
  <c r="F86" i="24"/>
  <c r="H86" i="24" s="1"/>
  <c r="I86" i="24" s="1"/>
  <c r="E86" i="24"/>
  <c r="F85" i="24"/>
  <c r="H85" i="24" s="1"/>
  <c r="I85" i="24" s="1"/>
  <c r="E85" i="24"/>
  <c r="F84" i="24"/>
  <c r="H84" i="24" s="1"/>
  <c r="I84" i="24" s="1"/>
  <c r="E84" i="24"/>
  <c r="F83" i="24"/>
  <c r="H83" i="24" s="1"/>
  <c r="I83" i="24" s="1"/>
  <c r="E83" i="24"/>
  <c r="F82" i="24"/>
  <c r="H82" i="24" s="1"/>
  <c r="I82" i="24" s="1"/>
  <c r="E82" i="24"/>
  <c r="F81" i="24"/>
  <c r="H81" i="24" s="1"/>
  <c r="I81" i="24" s="1"/>
  <c r="E81" i="24"/>
  <c r="F80" i="24"/>
  <c r="H80" i="24" s="1"/>
  <c r="I80" i="24" s="1"/>
  <c r="E80" i="24"/>
  <c r="F79" i="24"/>
  <c r="H79" i="24" s="1"/>
  <c r="I79" i="24" s="1"/>
  <c r="E79" i="24"/>
  <c r="F78" i="24"/>
  <c r="H78" i="24" s="1"/>
  <c r="I78" i="24" s="1"/>
  <c r="E78" i="24"/>
  <c r="F77" i="24"/>
  <c r="H77" i="24" s="1"/>
  <c r="I77" i="24" s="1"/>
  <c r="E77" i="24"/>
  <c r="F76" i="24"/>
  <c r="H76" i="24" s="1"/>
  <c r="I76" i="24" s="1"/>
  <c r="E76" i="24"/>
  <c r="F75" i="24"/>
  <c r="H75" i="24" s="1"/>
  <c r="I75" i="24" s="1"/>
  <c r="E75" i="24"/>
  <c r="F74" i="24"/>
  <c r="H74" i="24" s="1"/>
  <c r="I74" i="24" s="1"/>
  <c r="E74" i="24"/>
  <c r="F73" i="24"/>
  <c r="H73" i="24" s="1"/>
  <c r="I73" i="24" s="1"/>
  <c r="E73" i="24"/>
  <c r="F72" i="24"/>
  <c r="H72" i="24" s="1"/>
  <c r="I72" i="24" s="1"/>
  <c r="E72" i="24"/>
  <c r="F71" i="24"/>
  <c r="H71" i="24" s="1"/>
  <c r="I71" i="24" s="1"/>
  <c r="E71" i="24"/>
  <c r="F70" i="24"/>
  <c r="H70" i="24" s="1"/>
  <c r="I70" i="24" s="1"/>
  <c r="E70" i="24"/>
  <c r="F69" i="24"/>
  <c r="H69" i="24" s="1"/>
  <c r="I69" i="24" s="1"/>
  <c r="E69" i="24"/>
  <c r="F68" i="24"/>
  <c r="H68" i="24" s="1"/>
  <c r="I68" i="24" s="1"/>
  <c r="E68" i="24"/>
  <c r="F67" i="24"/>
  <c r="H67" i="24" s="1"/>
  <c r="I67" i="24" s="1"/>
  <c r="E67" i="24"/>
  <c r="F66" i="24"/>
  <c r="H66" i="24" s="1"/>
  <c r="I66" i="24" s="1"/>
  <c r="E66" i="24"/>
  <c r="F65" i="24"/>
  <c r="H65" i="24" s="1"/>
  <c r="I65" i="24" s="1"/>
  <c r="E65" i="24"/>
  <c r="F64" i="24"/>
  <c r="H64" i="24" s="1"/>
  <c r="I64" i="24" s="1"/>
  <c r="E64" i="24"/>
  <c r="F63" i="24"/>
  <c r="H63" i="24" s="1"/>
  <c r="I63" i="24" s="1"/>
  <c r="E63" i="24"/>
  <c r="F62" i="24"/>
  <c r="H62" i="24" s="1"/>
  <c r="I62" i="24" s="1"/>
  <c r="E62" i="24"/>
  <c r="F61" i="24"/>
  <c r="H61" i="24" s="1"/>
  <c r="I61" i="24" s="1"/>
  <c r="E61" i="24"/>
  <c r="F60" i="24"/>
  <c r="H60" i="24" s="1"/>
  <c r="I60" i="24" s="1"/>
  <c r="E60" i="24"/>
  <c r="F59" i="24"/>
  <c r="H59" i="24" s="1"/>
  <c r="I59" i="24" s="1"/>
  <c r="E59" i="24"/>
  <c r="F58" i="24"/>
  <c r="H58" i="24" s="1"/>
  <c r="I58" i="24" s="1"/>
  <c r="E58" i="24"/>
  <c r="F57" i="24"/>
  <c r="H57" i="24" s="1"/>
  <c r="I57" i="24" s="1"/>
  <c r="E57" i="24"/>
  <c r="F56" i="24"/>
  <c r="H56" i="24" s="1"/>
  <c r="I56" i="24" s="1"/>
  <c r="E56" i="24"/>
  <c r="F55" i="24"/>
  <c r="H55" i="24" s="1"/>
  <c r="I55" i="24" s="1"/>
  <c r="E55" i="24"/>
  <c r="F54" i="24"/>
  <c r="H54" i="24" s="1"/>
  <c r="I54" i="24" s="1"/>
  <c r="E54" i="24"/>
  <c r="F53" i="24"/>
  <c r="H53" i="24" s="1"/>
  <c r="I53" i="24" s="1"/>
  <c r="E53" i="24"/>
  <c r="F52" i="24"/>
  <c r="H52" i="24" s="1"/>
  <c r="I52" i="24" s="1"/>
  <c r="E52" i="24"/>
  <c r="F51" i="24"/>
  <c r="H51" i="24" s="1"/>
  <c r="I51" i="24" s="1"/>
  <c r="E51" i="24"/>
  <c r="F50" i="24"/>
  <c r="H50" i="24" s="1"/>
  <c r="I50" i="24" s="1"/>
  <c r="E50" i="24"/>
  <c r="F49" i="24"/>
  <c r="H49" i="24" s="1"/>
  <c r="I49" i="24" s="1"/>
  <c r="E49" i="24"/>
  <c r="F48" i="24"/>
  <c r="H48" i="24" s="1"/>
  <c r="I48" i="24" s="1"/>
  <c r="E48" i="24"/>
  <c r="F47" i="24"/>
  <c r="H47" i="24" s="1"/>
  <c r="I47" i="24" s="1"/>
  <c r="E47" i="24"/>
  <c r="F46" i="24"/>
  <c r="H46" i="24" s="1"/>
  <c r="I46" i="24" s="1"/>
  <c r="E46" i="24"/>
  <c r="F45" i="24"/>
  <c r="H45" i="24" s="1"/>
  <c r="I45" i="24" s="1"/>
  <c r="E45" i="24"/>
  <c r="F44" i="24"/>
  <c r="H44" i="24" s="1"/>
  <c r="I44" i="24" s="1"/>
  <c r="E44" i="24"/>
  <c r="F43" i="24"/>
  <c r="H43" i="24" s="1"/>
  <c r="I43" i="24" s="1"/>
  <c r="E43" i="24"/>
  <c r="F42" i="24"/>
  <c r="H42" i="24" s="1"/>
  <c r="I42" i="24" s="1"/>
  <c r="E42" i="24"/>
  <c r="F41" i="24"/>
  <c r="H41" i="24" s="1"/>
  <c r="I41" i="24" s="1"/>
  <c r="E41" i="24"/>
  <c r="F40" i="24"/>
  <c r="H40" i="24" s="1"/>
  <c r="I40" i="24" s="1"/>
  <c r="E40" i="24"/>
  <c r="F39" i="24"/>
  <c r="H39" i="24" s="1"/>
  <c r="I39" i="24" s="1"/>
  <c r="E39" i="24"/>
  <c r="F38" i="24"/>
  <c r="H38" i="24" s="1"/>
  <c r="I38" i="24" s="1"/>
  <c r="E38" i="24"/>
  <c r="F37" i="24"/>
  <c r="H37" i="24" s="1"/>
  <c r="I37" i="24" s="1"/>
  <c r="E37" i="24"/>
  <c r="F36" i="24"/>
  <c r="H36" i="24" s="1"/>
  <c r="I36" i="24" s="1"/>
  <c r="E36" i="24"/>
  <c r="F35" i="24"/>
  <c r="H35" i="24" s="1"/>
  <c r="I35" i="24" s="1"/>
  <c r="E35" i="24"/>
  <c r="F34" i="24"/>
  <c r="H34" i="24" s="1"/>
  <c r="I34" i="24" s="1"/>
  <c r="E34" i="24"/>
  <c r="F33" i="24"/>
  <c r="H33" i="24" s="1"/>
  <c r="I33" i="24" s="1"/>
  <c r="E33" i="24"/>
  <c r="F32" i="24"/>
  <c r="H32" i="24" s="1"/>
  <c r="I32" i="24" s="1"/>
  <c r="E32" i="24"/>
  <c r="F31" i="24"/>
  <c r="H31" i="24" s="1"/>
  <c r="I31" i="24" s="1"/>
  <c r="E31" i="24"/>
  <c r="F30" i="24"/>
  <c r="H30" i="24" s="1"/>
  <c r="I30" i="24" s="1"/>
  <c r="E30" i="24"/>
  <c r="F29" i="24"/>
  <c r="H29" i="24" s="1"/>
  <c r="I29" i="24" s="1"/>
  <c r="E29" i="24"/>
  <c r="F28" i="24"/>
  <c r="H28" i="24" s="1"/>
  <c r="I28" i="24" s="1"/>
  <c r="E28" i="24"/>
  <c r="F27" i="24"/>
  <c r="H27" i="24" s="1"/>
  <c r="I27" i="24" s="1"/>
  <c r="E27" i="24"/>
  <c r="F26" i="24"/>
  <c r="H26" i="24" s="1"/>
  <c r="I26" i="24" s="1"/>
  <c r="E26" i="24"/>
  <c r="F25" i="24"/>
  <c r="H25" i="24" s="1"/>
  <c r="I25" i="24" s="1"/>
  <c r="E25" i="24"/>
  <c r="F24" i="24"/>
  <c r="H24" i="24" s="1"/>
  <c r="I24" i="24" s="1"/>
  <c r="E24" i="24"/>
  <c r="F23" i="24"/>
  <c r="H23" i="24" s="1"/>
  <c r="I23" i="24" s="1"/>
  <c r="E23" i="24"/>
  <c r="F22" i="24"/>
  <c r="H22" i="24" s="1"/>
  <c r="I22" i="24" s="1"/>
  <c r="E22" i="24"/>
  <c r="F21" i="24"/>
  <c r="H21" i="24" s="1"/>
  <c r="I21" i="24" s="1"/>
  <c r="E21" i="24"/>
  <c r="F20" i="24"/>
  <c r="H20" i="24" s="1"/>
  <c r="I20" i="24" s="1"/>
  <c r="E20" i="24"/>
  <c r="F19" i="24"/>
  <c r="H19" i="24" s="1"/>
  <c r="I19" i="24" s="1"/>
  <c r="E19" i="24"/>
  <c r="F18" i="24"/>
  <c r="H18" i="24" s="1"/>
  <c r="I18" i="24" s="1"/>
  <c r="E18" i="24"/>
  <c r="F17" i="24"/>
  <c r="H17" i="24" s="1"/>
  <c r="I17" i="24" s="1"/>
  <c r="E17" i="24"/>
  <c r="F16" i="24"/>
  <c r="H16" i="24" s="1"/>
  <c r="I16" i="24" s="1"/>
  <c r="E16" i="24"/>
  <c r="F15" i="24"/>
  <c r="H15" i="24" s="1"/>
  <c r="I15" i="24" s="1"/>
  <c r="E15" i="24"/>
  <c r="G15" i="24" s="1"/>
  <c r="G92" i="29" l="1"/>
  <c r="G132" i="29"/>
  <c r="G111" i="29"/>
  <c r="G104" i="29"/>
  <c r="G112" i="29"/>
  <c r="G120" i="29"/>
  <c r="G97" i="29"/>
  <c r="G85" i="29"/>
  <c r="G109" i="29"/>
  <c r="G133" i="29"/>
  <c r="G179" i="29"/>
  <c r="G187" i="29"/>
  <c r="G195" i="29"/>
  <c r="G140" i="29"/>
  <c r="G46" i="29"/>
  <c r="G70" i="29"/>
  <c r="G137" i="29"/>
  <c r="G31" i="29"/>
  <c r="G78" i="29"/>
  <c r="G94" i="29"/>
  <c r="G79" i="29"/>
  <c r="G150" i="29"/>
  <c r="G80" i="29"/>
  <c r="G96" i="29"/>
  <c r="G143" i="29"/>
  <c r="G159" i="29"/>
  <c r="G53" i="29"/>
  <c r="G74" i="29"/>
  <c r="G138" i="29"/>
  <c r="G146" i="29"/>
  <c r="G154" i="29"/>
  <c r="G123" i="29"/>
  <c r="G32" i="29"/>
  <c r="G55" i="29"/>
  <c r="G63" i="29"/>
  <c r="G110" i="29"/>
  <c r="G126" i="29"/>
  <c r="G141" i="29"/>
  <c r="G166" i="29"/>
  <c r="G174" i="29"/>
  <c r="G81" i="29"/>
  <c r="G128" i="29"/>
  <c r="G175" i="29"/>
  <c r="G136" i="29"/>
  <c r="G184" i="29"/>
  <c r="G192" i="29"/>
  <c r="G59" i="29"/>
  <c r="G21" i="29"/>
  <c r="G169" i="29"/>
  <c r="G177" i="29"/>
  <c r="G107" i="29"/>
  <c r="G30" i="29"/>
  <c r="G100" i="29"/>
  <c r="G108" i="29"/>
  <c r="G116" i="29"/>
  <c r="G124" i="29"/>
  <c r="G47" i="29"/>
  <c r="G54" i="29"/>
  <c r="G68" i="29"/>
  <c r="G91" i="29"/>
  <c r="G127" i="29"/>
  <c r="G149" i="29"/>
  <c r="G157" i="29"/>
  <c r="G165" i="29"/>
  <c r="G172" i="29"/>
  <c r="G69" i="29"/>
  <c r="G84" i="29"/>
  <c r="G114" i="29"/>
  <c r="G142" i="29"/>
  <c r="G180" i="29"/>
  <c r="G188" i="29"/>
  <c r="G196" i="29"/>
  <c r="G28" i="29"/>
  <c r="G48" i="29"/>
  <c r="G115" i="29"/>
  <c r="G122" i="29"/>
  <c r="G135" i="29"/>
  <c r="G181" i="29"/>
  <c r="G189" i="29"/>
  <c r="G197" i="29"/>
  <c r="H48" i="29"/>
  <c r="I48" i="29" s="1"/>
  <c r="G43" i="29"/>
  <c r="G182" i="29"/>
  <c r="G190" i="29"/>
  <c r="G183" i="29"/>
  <c r="G191" i="29"/>
  <c r="G37" i="29"/>
  <c r="G58" i="29"/>
  <c r="G66" i="29"/>
  <c r="G87" i="29"/>
  <c r="G95" i="29"/>
  <c r="G117" i="29"/>
  <c r="G145" i="29"/>
  <c r="G161" i="29"/>
  <c r="G168" i="29"/>
  <c r="G176" i="29"/>
  <c r="G25" i="29"/>
  <c r="G88" i="29"/>
  <c r="G185" i="29"/>
  <c r="G147" i="29"/>
  <c r="G155" i="29"/>
  <c r="G170" i="29"/>
  <c r="G178" i="29"/>
  <c r="G60" i="29"/>
  <c r="G75" i="29"/>
  <c r="G194" i="29"/>
  <c r="G90" i="29"/>
  <c r="G148" i="29"/>
  <c r="G156" i="29"/>
  <c r="G164" i="29"/>
  <c r="G171" i="29"/>
  <c r="G35" i="29"/>
  <c r="G61" i="29"/>
  <c r="H88" i="29"/>
  <c r="I88" i="29" s="1"/>
  <c r="G62" i="29"/>
  <c r="G18" i="29"/>
  <c r="G19" i="29"/>
  <c r="G44" i="29"/>
  <c r="G56" i="29"/>
  <c r="G27" i="29"/>
  <c r="G50" i="29"/>
  <c r="G51" i="29"/>
  <c r="G98" i="29"/>
  <c r="G16" i="29"/>
  <c r="G34" i="29"/>
  <c r="G41" i="29"/>
  <c r="G20" i="29"/>
  <c r="G36" i="29"/>
  <c r="G52" i="29"/>
  <c r="G72" i="29"/>
  <c r="G77" i="29"/>
  <c r="G82" i="29"/>
  <c r="G101" i="29"/>
  <c r="G73" i="29"/>
  <c r="G83" i="29"/>
  <c r="G160" i="29"/>
  <c r="G102" i="29"/>
  <c r="G113" i="29"/>
  <c r="G144" i="29"/>
  <c r="G193" i="29"/>
  <c r="G198" i="29"/>
  <c r="G17" i="29"/>
  <c r="G22" i="29"/>
  <c r="G33" i="29"/>
  <c r="G38" i="29"/>
  <c r="G49" i="29"/>
  <c r="G64" i="29"/>
  <c r="G93" i="29"/>
  <c r="G103" i="29"/>
  <c r="G118" i="29"/>
  <c r="G129" i="29"/>
  <c r="G139" i="29"/>
  <c r="G199" i="29"/>
  <c r="G23" i="29"/>
  <c r="G39" i="29"/>
  <c r="G65" i="29"/>
  <c r="G89" i="29"/>
  <c r="G99" i="29"/>
  <c r="G119" i="29"/>
  <c r="G134" i="29"/>
  <c r="G167" i="29"/>
  <c r="G151" i="29"/>
  <c r="G200" i="29"/>
  <c r="H18" i="29"/>
  <c r="I18" i="29" s="1"/>
  <c r="G29" i="29"/>
  <c r="H34" i="29"/>
  <c r="I34" i="29" s="1"/>
  <c r="G45" i="29"/>
  <c r="H50" i="29"/>
  <c r="I50" i="29" s="1"/>
  <c r="G125" i="29"/>
  <c r="G130" i="29"/>
  <c r="G162" i="29"/>
  <c r="G173" i="29"/>
  <c r="G71" i="29"/>
  <c r="G105" i="29"/>
  <c r="G131" i="29"/>
  <c r="G152" i="29"/>
  <c r="G158" i="29"/>
  <c r="G163" i="29"/>
  <c r="H56" i="29"/>
  <c r="I56" i="29" s="1"/>
  <c r="G67" i="29"/>
  <c r="G76" i="29"/>
  <c r="G106" i="29"/>
  <c r="G121" i="29"/>
  <c r="G26" i="29"/>
  <c r="G42" i="29"/>
  <c r="G57" i="29"/>
  <c r="G86" i="29"/>
  <c r="G153" i="29"/>
  <c r="G186" i="29"/>
  <c r="G115" i="31"/>
  <c r="G131" i="31"/>
  <c r="G127" i="31"/>
  <c r="G135" i="31"/>
  <c r="G96" i="31"/>
  <c r="G140" i="31"/>
  <c r="G165" i="31"/>
  <c r="G173" i="31"/>
  <c r="G181" i="31"/>
  <c r="G170" i="31"/>
  <c r="G194" i="31"/>
  <c r="G125" i="31"/>
  <c r="G179" i="31"/>
  <c r="G187" i="31"/>
  <c r="G80" i="31"/>
  <c r="G158" i="31"/>
  <c r="G174" i="31"/>
  <c r="G182" i="31"/>
  <c r="G190" i="31"/>
  <c r="G155" i="31"/>
  <c r="G180" i="31"/>
  <c r="G188" i="31"/>
  <c r="G196" i="31"/>
  <c r="G101" i="31"/>
  <c r="G149" i="31"/>
  <c r="G157" i="31"/>
  <c r="G191" i="31"/>
  <c r="G199" i="31"/>
  <c r="G184" i="31"/>
  <c r="G192" i="31"/>
  <c r="G193" i="31"/>
  <c r="G147" i="31"/>
  <c r="G116" i="31"/>
  <c r="G69" i="31"/>
  <c r="G77" i="31"/>
  <c r="G85" i="31"/>
  <c r="G93" i="31"/>
  <c r="G141" i="31"/>
  <c r="G150" i="31"/>
  <c r="G143" i="31"/>
  <c r="G105" i="31"/>
  <c r="G112" i="31"/>
  <c r="G107" i="31"/>
  <c r="G71" i="31"/>
  <c r="G95" i="31"/>
  <c r="G102" i="31"/>
  <c r="G197" i="31"/>
  <c r="G64" i="31"/>
  <c r="G72" i="31"/>
  <c r="G65" i="31"/>
  <c r="G73" i="31"/>
  <c r="G81" i="31"/>
  <c r="G97" i="31"/>
  <c r="G151" i="31"/>
  <c r="G159" i="31"/>
  <c r="G167" i="31"/>
  <c r="G66" i="31"/>
  <c r="G74" i="31"/>
  <c r="G90" i="31"/>
  <c r="G113" i="31"/>
  <c r="G121" i="31"/>
  <c r="G137" i="31"/>
  <c r="G176" i="31"/>
  <c r="G146" i="31"/>
  <c r="G200" i="31"/>
  <c r="G99" i="31"/>
  <c r="G153" i="31"/>
  <c r="G161" i="31"/>
  <c r="G185" i="31"/>
  <c r="G156" i="31"/>
  <c r="G91" i="31"/>
  <c r="G163" i="31"/>
  <c r="G171" i="31"/>
  <c r="G186" i="31"/>
  <c r="G92" i="31"/>
  <c r="G78" i="31"/>
  <c r="G128" i="31"/>
  <c r="G86" i="31"/>
  <c r="G108" i="31"/>
  <c r="G122" i="31"/>
  <c r="G87" i="31"/>
  <c r="G109" i="31"/>
  <c r="G189" i="31"/>
  <c r="G145" i="31"/>
  <c r="G103" i="31"/>
  <c r="G117" i="31"/>
  <c r="G130" i="31"/>
  <c r="G198" i="31"/>
  <c r="G106" i="31"/>
  <c r="G183" i="31"/>
  <c r="G89" i="31"/>
  <c r="G104" i="31"/>
  <c r="G110" i="31"/>
  <c r="G124" i="31"/>
  <c r="G139" i="31"/>
  <c r="G169" i="31"/>
  <c r="G134" i="31"/>
  <c r="G118" i="31"/>
  <c r="G177" i="31"/>
  <c r="G67" i="31"/>
  <c r="G75" i="31"/>
  <c r="G83" i="31"/>
  <c r="G98" i="31"/>
  <c r="G119" i="31"/>
  <c r="G126" i="31"/>
  <c r="G133" i="31"/>
  <c r="G162" i="31"/>
  <c r="G178" i="31"/>
  <c r="G142" i="31"/>
  <c r="G82" i="31"/>
  <c r="G88" i="31"/>
  <c r="G136" i="31"/>
  <c r="G148" i="31"/>
  <c r="G41" i="31"/>
  <c r="G195" i="31"/>
  <c r="G84" i="31"/>
  <c r="G114" i="31"/>
  <c r="G120" i="31"/>
  <c r="G132" i="31"/>
  <c r="G172" i="31"/>
  <c r="G168" i="31"/>
  <c r="G160" i="31"/>
  <c r="G138" i="31"/>
  <c r="G144" i="31"/>
  <c r="G154" i="31"/>
  <c r="G76" i="31"/>
  <c r="G79" i="31"/>
  <c r="G175" i="31"/>
  <c r="G70" i="31"/>
  <c r="G60" i="31"/>
  <c r="G68" i="31"/>
  <c r="G152" i="31"/>
  <c r="G164" i="31"/>
  <c r="G111" i="31"/>
  <c r="G123" i="31"/>
  <c r="G129" i="31"/>
  <c r="G166" i="31"/>
  <c r="G94" i="31"/>
  <c r="G63" i="31"/>
  <c r="G100" i="31"/>
  <c r="G51" i="31"/>
  <c r="G59" i="31"/>
  <c r="G24" i="31"/>
  <c r="G23" i="31"/>
  <c r="G17" i="31"/>
  <c r="G33" i="31"/>
  <c r="G52" i="31"/>
  <c r="G32" i="31"/>
  <c r="H38" i="31"/>
  <c r="I38" i="31" s="1"/>
  <c r="G19" i="31"/>
  <c r="G39" i="31"/>
  <c r="G53" i="31"/>
  <c r="H28" i="31"/>
  <c r="I28" i="31" s="1"/>
  <c r="H61" i="31"/>
  <c r="I61" i="31" s="1"/>
  <c r="H35" i="31"/>
  <c r="I35" i="31" s="1"/>
  <c r="H41" i="31"/>
  <c r="I41" i="31" s="1"/>
  <c r="G48" i="31"/>
  <c r="G50" i="31"/>
  <c r="G37" i="31"/>
  <c r="G42" i="31"/>
  <c r="G57" i="31"/>
  <c r="H29" i="31"/>
  <c r="I29" i="31" s="1"/>
  <c r="G34" i="31"/>
  <c r="G43" i="31"/>
  <c r="G25" i="31"/>
  <c r="G16" i="31"/>
  <c r="G21" i="31"/>
  <c r="G58" i="31"/>
  <c r="G31" i="31"/>
  <c r="G40" i="31"/>
  <c r="H44" i="31"/>
  <c r="I44" i="31" s="1"/>
  <c r="G49" i="31"/>
  <c r="H54" i="31"/>
  <c r="I54" i="31" s="1"/>
  <c r="H22" i="31"/>
  <c r="I22" i="31" s="1"/>
  <c r="G26" i="31"/>
  <c r="H45" i="31"/>
  <c r="I45" i="31" s="1"/>
  <c r="G55" i="31"/>
  <c r="G18" i="31"/>
  <c r="G27" i="31"/>
  <c r="G56" i="31"/>
  <c r="H60" i="31"/>
  <c r="I60" i="31" s="1"/>
  <c r="G47" i="31"/>
  <c r="H20" i="31"/>
  <c r="I20" i="31" s="1"/>
  <c r="G62" i="31"/>
  <c r="G36" i="31"/>
  <c r="G30" i="31"/>
  <c r="G46" i="31"/>
  <c r="H28" i="29"/>
  <c r="I28" i="29" s="1"/>
  <c r="H44" i="29"/>
  <c r="I44" i="29" s="1"/>
  <c r="H60" i="29"/>
  <c r="I60" i="29" s="1"/>
  <c r="G24" i="29"/>
  <c r="G40" i="29"/>
  <c r="G53" i="25"/>
  <c r="G22" i="25"/>
  <c r="G38" i="25"/>
  <c r="G21" i="25"/>
  <c r="G37" i="25"/>
  <c r="G55" i="25"/>
  <c r="H17" i="25"/>
  <c r="I17" i="25" s="1"/>
  <c r="I14" i="25" s="1"/>
  <c r="H33" i="25"/>
  <c r="I33" i="25" s="1"/>
  <c r="H49" i="25"/>
  <c r="I49" i="25" s="1"/>
  <c r="G50" i="24"/>
  <c r="G69" i="24"/>
  <c r="G75" i="24"/>
  <c r="G115" i="24"/>
  <c r="G127" i="24"/>
  <c r="G18" i="24"/>
  <c r="G24" i="24"/>
  <c r="G31" i="24"/>
  <c r="G60" i="24"/>
  <c r="G40" i="24"/>
  <c r="G77" i="24"/>
  <c r="G100" i="24"/>
  <c r="G106" i="24"/>
  <c r="G112" i="24"/>
  <c r="G124" i="24"/>
  <c r="G61" i="24"/>
  <c r="G28" i="24"/>
  <c r="G45" i="24"/>
  <c r="G51" i="24"/>
  <c r="G101" i="24"/>
  <c r="G125" i="24"/>
  <c r="G29" i="24"/>
  <c r="G52" i="24"/>
  <c r="G63" i="24"/>
  <c r="G91" i="24"/>
  <c r="G96" i="24"/>
  <c r="G114" i="24"/>
  <c r="G126" i="24"/>
  <c r="G81" i="24"/>
  <c r="G109" i="24"/>
  <c r="G70" i="24"/>
  <c r="G87" i="24"/>
  <c r="G48" i="24"/>
  <c r="G82" i="24"/>
  <c r="G98" i="24"/>
  <c r="G83" i="24"/>
  <c r="G99" i="24"/>
  <c r="G111" i="24"/>
  <c r="G123" i="24"/>
  <c r="G55" i="24"/>
  <c r="G66" i="24"/>
  <c r="G78" i="24"/>
  <c r="G21" i="24"/>
  <c r="G39" i="24"/>
  <c r="G67" i="24"/>
  <c r="G79" i="24"/>
  <c r="G34" i="24"/>
  <c r="G53" i="24"/>
  <c r="G64" i="24"/>
  <c r="G90" i="24"/>
  <c r="G105" i="24"/>
  <c r="G54" i="24"/>
  <c r="G19" i="24"/>
  <c r="G30" i="24"/>
  <c r="G35" i="24"/>
  <c r="G76" i="24"/>
  <c r="G117" i="24"/>
  <c r="G36" i="24"/>
  <c r="G41" i="24"/>
  <c r="G46" i="24"/>
  <c r="G72" i="24"/>
  <c r="G102" i="24"/>
  <c r="G118" i="24"/>
  <c r="G129" i="24"/>
  <c r="G16" i="24"/>
  <c r="G42" i="24"/>
  <c r="G57" i="24"/>
  <c r="G88" i="24"/>
  <c r="G93" i="24"/>
  <c r="G103" i="24"/>
  <c r="G108" i="24"/>
  <c r="G130" i="24"/>
  <c r="G22" i="24"/>
  <c r="G27" i="24"/>
  <c r="G33" i="24"/>
  <c r="G43" i="24"/>
  <c r="G58" i="24"/>
  <c r="G84" i="24"/>
  <c r="G89" i="24"/>
  <c r="G94" i="24"/>
  <c r="G120" i="24"/>
  <c r="G131" i="24"/>
  <c r="I14" i="24"/>
  <c r="G20" i="24"/>
  <c r="G68" i="24"/>
  <c r="G116" i="24"/>
  <c r="G17" i="24"/>
  <c r="G65" i="24"/>
  <c r="G113" i="24"/>
  <c r="G25" i="24"/>
  <c r="G32" i="24"/>
  <c r="G47" i="24"/>
  <c r="G62" i="24"/>
  <c r="G73" i="24"/>
  <c r="G80" i="24"/>
  <c r="G95" i="24"/>
  <c r="G110" i="24"/>
  <c r="G121" i="24"/>
  <c r="G128" i="24"/>
  <c r="G26" i="24"/>
  <c r="G37" i="24"/>
  <c r="G44" i="24"/>
  <c r="G59" i="24"/>
  <c r="G74" i="24"/>
  <c r="G85" i="24"/>
  <c r="G92" i="24"/>
  <c r="G107" i="24"/>
  <c r="G122" i="24"/>
  <c r="G133" i="24"/>
  <c r="G23" i="24"/>
  <c r="G38" i="24"/>
  <c r="G49" i="24"/>
  <c r="G56" i="24"/>
  <c r="G71" i="24"/>
  <c r="G86" i="24"/>
  <c r="G97" i="24"/>
  <c r="G104" i="24"/>
  <c r="G119" i="24"/>
  <c r="G134" i="24"/>
  <c r="G200" i="7"/>
  <c r="F200" i="7"/>
  <c r="H200" i="7" s="1"/>
  <c r="I200" i="7" s="1"/>
  <c r="E200" i="7"/>
  <c r="F199" i="7"/>
  <c r="H199" i="7" s="1"/>
  <c r="I199" i="7" s="1"/>
  <c r="E199" i="7"/>
  <c r="G199" i="7" s="1"/>
  <c r="F198" i="7"/>
  <c r="H198" i="7" s="1"/>
  <c r="I198" i="7" s="1"/>
  <c r="E198" i="7"/>
  <c r="G198" i="7" s="1"/>
  <c r="F197" i="7"/>
  <c r="H197" i="7" s="1"/>
  <c r="I197" i="7" s="1"/>
  <c r="E197" i="7"/>
  <c r="G197" i="7" s="1"/>
  <c r="F196" i="7"/>
  <c r="H196" i="7" s="1"/>
  <c r="I196" i="7" s="1"/>
  <c r="E196" i="7"/>
  <c r="G196" i="7" s="1"/>
  <c r="G195" i="7"/>
  <c r="F195" i="7"/>
  <c r="H195" i="7" s="1"/>
  <c r="I195" i="7" s="1"/>
  <c r="E195" i="7"/>
  <c r="F194" i="7"/>
  <c r="H194" i="7" s="1"/>
  <c r="I194" i="7" s="1"/>
  <c r="E194" i="7"/>
  <c r="G194" i="7" s="1"/>
  <c r="F193" i="7"/>
  <c r="H193" i="7" s="1"/>
  <c r="I193" i="7" s="1"/>
  <c r="E193" i="7"/>
  <c r="G193" i="7" s="1"/>
  <c r="F192" i="7"/>
  <c r="H192" i="7" s="1"/>
  <c r="I192" i="7" s="1"/>
  <c r="E192" i="7"/>
  <c r="G192" i="7" s="1"/>
  <c r="G191" i="7"/>
  <c r="F191" i="7"/>
  <c r="H191" i="7" s="1"/>
  <c r="I191" i="7" s="1"/>
  <c r="E191" i="7"/>
  <c r="G190" i="7"/>
  <c r="F190" i="7"/>
  <c r="H190" i="7" s="1"/>
  <c r="I190" i="7" s="1"/>
  <c r="E190" i="7"/>
  <c r="F189" i="7"/>
  <c r="H189" i="7" s="1"/>
  <c r="I189" i="7" s="1"/>
  <c r="E189" i="7"/>
  <c r="G189" i="7" s="1"/>
  <c r="G188" i="7"/>
  <c r="F188" i="7"/>
  <c r="H188" i="7" s="1"/>
  <c r="I188" i="7" s="1"/>
  <c r="E188" i="7"/>
  <c r="F187" i="7"/>
  <c r="H187" i="7" s="1"/>
  <c r="I187" i="7" s="1"/>
  <c r="E187" i="7"/>
  <c r="G187" i="7" s="1"/>
  <c r="F186" i="7"/>
  <c r="H186" i="7" s="1"/>
  <c r="I186" i="7" s="1"/>
  <c r="E186" i="7"/>
  <c r="G186" i="7" s="1"/>
  <c r="F185" i="7"/>
  <c r="H185" i="7" s="1"/>
  <c r="I185" i="7" s="1"/>
  <c r="E185" i="7"/>
  <c r="G185" i="7" s="1"/>
  <c r="F184" i="7"/>
  <c r="H184" i="7" s="1"/>
  <c r="I184" i="7" s="1"/>
  <c r="E184" i="7"/>
  <c r="G184" i="7" s="1"/>
  <c r="G183" i="7"/>
  <c r="F183" i="7"/>
  <c r="H183" i="7" s="1"/>
  <c r="I183" i="7" s="1"/>
  <c r="E183" i="7"/>
  <c r="F182" i="7"/>
  <c r="H182" i="7" s="1"/>
  <c r="I182" i="7" s="1"/>
  <c r="E182" i="7"/>
  <c r="G182" i="7" s="1"/>
  <c r="F181" i="7"/>
  <c r="H181" i="7" s="1"/>
  <c r="I181" i="7" s="1"/>
  <c r="E181" i="7"/>
  <c r="G181" i="7" s="1"/>
  <c r="F180" i="7"/>
  <c r="H180" i="7" s="1"/>
  <c r="I180" i="7" s="1"/>
  <c r="E180" i="7"/>
  <c r="G180" i="7" s="1"/>
  <c r="G179" i="7"/>
  <c r="F179" i="7"/>
  <c r="H179" i="7" s="1"/>
  <c r="I179" i="7" s="1"/>
  <c r="E179" i="7"/>
  <c r="G178" i="7"/>
  <c r="F178" i="7"/>
  <c r="H178" i="7" s="1"/>
  <c r="I178" i="7" s="1"/>
  <c r="E178" i="7"/>
  <c r="F177" i="7"/>
  <c r="H177" i="7" s="1"/>
  <c r="I177" i="7" s="1"/>
  <c r="E177" i="7"/>
  <c r="G177" i="7" s="1"/>
  <c r="G176" i="7"/>
  <c r="F176" i="7"/>
  <c r="H176" i="7" s="1"/>
  <c r="I176" i="7" s="1"/>
  <c r="E176" i="7"/>
  <c r="F175" i="7"/>
  <c r="H175" i="7" s="1"/>
  <c r="I175" i="7" s="1"/>
  <c r="E175" i="7"/>
  <c r="G175" i="7" s="1"/>
  <c r="F174" i="7"/>
  <c r="H174" i="7" s="1"/>
  <c r="I174" i="7" s="1"/>
  <c r="E174" i="7"/>
  <c r="G174" i="7" s="1"/>
  <c r="F173" i="7"/>
  <c r="H173" i="7" s="1"/>
  <c r="I173" i="7" s="1"/>
  <c r="E173" i="7"/>
  <c r="G173" i="7" s="1"/>
  <c r="F172" i="7"/>
  <c r="H172" i="7" s="1"/>
  <c r="I172" i="7" s="1"/>
  <c r="E172" i="7"/>
  <c r="G172" i="7" s="1"/>
  <c r="G171" i="7"/>
  <c r="F171" i="7"/>
  <c r="H171" i="7" s="1"/>
  <c r="I171" i="7" s="1"/>
  <c r="E171" i="7"/>
  <c r="F170" i="7"/>
  <c r="H170" i="7" s="1"/>
  <c r="I170" i="7" s="1"/>
  <c r="E170" i="7"/>
  <c r="G170" i="7" s="1"/>
  <c r="F169" i="7"/>
  <c r="H169" i="7" s="1"/>
  <c r="I169" i="7" s="1"/>
  <c r="E169" i="7"/>
  <c r="G169" i="7" s="1"/>
  <c r="F168" i="7"/>
  <c r="H168" i="7" s="1"/>
  <c r="I168" i="7" s="1"/>
  <c r="E168" i="7"/>
  <c r="G168" i="7" s="1"/>
  <c r="G167" i="7"/>
  <c r="F167" i="7"/>
  <c r="H167" i="7" s="1"/>
  <c r="I167" i="7" s="1"/>
  <c r="E167" i="7"/>
  <c r="G166" i="7"/>
  <c r="F166" i="7"/>
  <c r="H166" i="7" s="1"/>
  <c r="I166" i="7" s="1"/>
  <c r="E166" i="7"/>
  <c r="F165" i="7"/>
  <c r="H165" i="7" s="1"/>
  <c r="I165" i="7" s="1"/>
  <c r="E165" i="7"/>
  <c r="G165" i="7" s="1"/>
  <c r="G164" i="7"/>
  <c r="F164" i="7"/>
  <c r="H164" i="7" s="1"/>
  <c r="I164" i="7" s="1"/>
  <c r="E164" i="7"/>
  <c r="F163" i="7"/>
  <c r="H163" i="7" s="1"/>
  <c r="I163" i="7" s="1"/>
  <c r="E163" i="7"/>
  <c r="G163" i="7" s="1"/>
  <c r="F162" i="7"/>
  <c r="H162" i="7" s="1"/>
  <c r="I162" i="7" s="1"/>
  <c r="E162" i="7"/>
  <c r="G162" i="7" s="1"/>
  <c r="F161" i="7"/>
  <c r="H161" i="7" s="1"/>
  <c r="I161" i="7" s="1"/>
  <c r="E161" i="7"/>
  <c r="G161" i="7" s="1"/>
  <c r="F160" i="7"/>
  <c r="H160" i="7" s="1"/>
  <c r="I160" i="7" s="1"/>
  <c r="E160" i="7"/>
  <c r="G160" i="7" s="1"/>
  <c r="G159" i="7"/>
  <c r="F159" i="7"/>
  <c r="H159" i="7" s="1"/>
  <c r="I159" i="7" s="1"/>
  <c r="E159" i="7"/>
  <c r="F158" i="7"/>
  <c r="H158" i="7" s="1"/>
  <c r="I158" i="7" s="1"/>
  <c r="E158" i="7"/>
  <c r="G158" i="7" s="1"/>
  <c r="F157" i="7"/>
  <c r="H157" i="7" s="1"/>
  <c r="I157" i="7" s="1"/>
  <c r="E157" i="7"/>
  <c r="G157" i="7" s="1"/>
  <c r="F156" i="7"/>
  <c r="H156" i="7" s="1"/>
  <c r="I156" i="7" s="1"/>
  <c r="E156" i="7"/>
  <c r="G156" i="7" s="1"/>
  <c r="G155" i="7"/>
  <c r="F155" i="7"/>
  <c r="H155" i="7" s="1"/>
  <c r="I155" i="7" s="1"/>
  <c r="E155" i="7"/>
  <c r="G154" i="7"/>
  <c r="F154" i="7"/>
  <c r="H154" i="7" s="1"/>
  <c r="I154" i="7" s="1"/>
  <c r="E154" i="7"/>
  <c r="F153" i="7"/>
  <c r="H153" i="7" s="1"/>
  <c r="I153" i="7" s="1"/>
  <c r="E153" i="7"/>
  <c r="G153" i="7" s="1"/>
  <c r="G152" i="7"/>
  <c r="F152" i="7"/>
  <c r="H152" i="7" s="1"/>
  <c r="I152" i="7" s="1"/>
  <c r="E152" i="7"/>
  <c r="F151" i="7"/>
  <c r="H151" i="7" s="1"/>
  <c r="I151" i="7" s="1"/>
  <c r="E151" i="7"/>
  <c r="G151" i="7" s="1"/>
  <c r="F150" i="7"/>
  <c r="H150" i="7" s="1"/>
  <c r="I150" i="7" s="1"/>
  <c r="E150" i="7"/>
  <c r="G150" i="7" s="1"/>
  <c r="F149" i="7"/>
  <c r="H149" i="7" s="1"/>
  <c r="I149" i="7" s="1"/>
  <c r="E149" i="7"/>
  <c r="G149" i="7" s="1"/>
  <c r="F148" i="7"/>
  <c r="H148" i="7" s="1"/>
  <c r="I148" i="7" s="1"/>
  <c r="E148" i="7"/>
  <c r="G148" i="7" s="1"/>
  <c r="G147" i="7"/>
  <c r="F147" i="7"/>
  <c r="H147" i="7" s="1"/>
  <c r="I147" i="7" s="1"/>
  <c r="E147" i="7"/>
  <c r="F146" i="7"/>
  <c r="H146" i="7" s="1"/>
  <c r="I146" i="7" s="1"/>
  <c r="E146" i="7"/>
  <c r="G146" i="7" s="1"/>
  <c r="F145" i="7"/>
  <c r="H145" i="7" s="1"/>
  <c r="I145" i="7" s="1"/>
  <c r="E145" i="7"/>
  <c r="G145" i="7" s="1"/>
  <c r="F144" i="7"/>
  <c r="H144" i="7" s="1"/>
  <c r="I144" i="7" s="1"/>
  <c r="E144" i="7"/>
  <c r="G144" i="7" s="1"/>
  <c r="G143" i="7"/>
  <c r="F143" i="7"/>
  <c r="H143" i="7" s="1"/>
  <c r="I143" i="7" s="1"/>
  <c r="E143" i="7"/>
  <c r="G142" i="7"/>
  <c r="F142" i="7"/>
  <c r="H142" i="7" s="1"/>
  <c r="I142" i="7" s="1"/>
  <c r="E142" i="7"/>
  <c r="F141" i="7"/>
  <c r="H141" i="7" s="1"/>
  <c r="I141" i="7" s="1"/>
  <c r="E141" i="7"/>
  <c r="G141" i="7" s="1"/>
  <c r="G140" i="7"/>
  <c r="F140" i="7"/>
  <c r="H140" i="7" s="1"/>
  <c r="I140" i="7" s="1"/>
  <c r="E140" i="7"/>
  <c r="F139" i="7"/>
  <c r="H139" i="7" s="1"/>
  <c r="I139" i="7" s="1"/>
  <c r="E139" i="7"/>
  <c r="G139" i="7" s="1"/>
  <c r="F138" i="7"/>
  <c r="H138" i="7" s="1"/>
  <c r="I138" i="7" s="1"/>
  <c r="E138" i="7"/>
  <c r="G138" i="7" s="1"/>
  <c r="F137" i="7"/>
  <c r="H137" i="7" s="1"/>
  <c r="I137" i="7" s="1"/>
  <c r="E137" i="7"/>
  <c r="G137" i="7" s="1"/>
  <c r="G136" i="7"/>
  <c r="F136" i="7"/>
  <c r="H136" i="7" s="1"/>
  <c r="I136" i="7" s="1"/>
  <c r="E136" i="7"/>
  <c r="G135" i="7"/>
  <c r="F135" i="7"/>
  <c r="H135" i="7" s="1"/>
  <c r="I135" i="7" s="1"/>
  <c r="E135" i="7"/>
  <c r="F134" i="7"/>
  <c r="H134" i="7" s="1"/>
  <c r="I134" i="7" s="1"/>
  <c r="E134" i="7"/>
  <c r="G134" i="7" s="1"/>
  <c r="F133" i="7"/>
  <c r="H133" i="7" s="1"/>
  <c r="I133" i="7" s="1"/>
  <c r="E133" i="7"/>
  <c r="G133" i="7" s="1"/>
  <c r="F132" i="7"/>
  <c r="H132" i="7" s="1"/>
  <c r="I132" i="7" s="1"/>
  <c r="E132" i="7"/>
  <c r="G132" i="7" s="1"/>
  <c r="G131" i="7"/>
  <c r="F131" i="7"/>
  <c r="H131" i="7" s="1"/>
  <c r="I131" i="7" s="1"/>
  <c r="E131" i="7"/>
  <c r="G130" i="7"/>
  <c r="F130" i="7"/>
  <c r="H130" i="7" s="1"/>
  <c r="I130" i="7" s="1"/>
  <c r="E130" i="7"/>
  <c r="F129" i="7"/>
  <c r="H129" i="7" s="1"/>
  <c r="I129" i="7" s="1"/>
  <c r="E129" i="7"/>
  <c r="G129" i="7" s="1"/>
  <c r="G128" i="7"/>
  <c r="F128" i="7"/>
  <c r="H128" i="7" s="1"/>
  <c r="I128" i="7" s="1"/>
  <c r="E128" i="7"/>
  <c r="F127" i="7"/>
  <c r="H127" i="7" s="1"/>
  <c r="I127" i="7" s="1"/>
  <c r="E127" i="7"/>
  <c r="G127" i="7" s="1"/>
  <c r="F126" i="7"/>
  <c r="H126" i="7" s="1"/>
  <c r="I126" i="7" s="1"/>
  <c r="E126" i="7"/>
  <c r="G126" i="7" s="1"/>
  <c r="F125" i="7"/>
  <c r="H125" i="7" s="1"/>
  <c r="I125" i="7" s="1"/>
  <c r="E125" i="7"/>
  <c r="G125" i="7" s="1"/>
  <c r="F124" i="7"/>
  <c r="H124" i="7" s="1"/>
  <c r="I124" i="7" s="1"/>
  <c r="E124" i="7"/>
  <c r="G124" i="7" s="1"/>
  <c r="G123" i="7"/>
  <c r="F123" i="7"/>
  <c r="H123" i="7" s="1"/>
  <c r="I123" i="7" s="1"/>
  <c r="E123" i="7"/>
  <c r="F122" i="7"/>
  <c r="H122" i="7" s="1"/>
  <c r="I122" i="7" s="1"/>
  <c r="E122" i="7"/>
  <c r="G122" i="7" s="1"/>
  <c r="F121" i="7"/>
  <c r="H121" i="7" s="1"/>
  <c r="I121" i="7" s="1"/>
  <c r="E121" i="7"/>
  <c r="G121" i="7" s="1"/>
  <c r="F120" i="7"/>
  <c r="H120" i="7" s="1"/>
  <c r="I120" i="7" s="1"/>
  <c r="E120" i="7"/>
  <c r="G120" i="7" s="1"/>
  <c r="G119" i="7"/>
  <c r="F119" i="7"/>
  <c r="H119" i="7" s="1"/>
  <c r="I119" i="7" s="1"/>
  <c r="E119" i="7"/>
  <c r="G118" i="7"/>
  <c r="F118" i="7"/>
  <c r="H118" i="7" s="1"/>
  <c r="I118" i="7" s="1"/>
  <c r="E118" i="7"/>
  <c r="F117" i="7"/>
  <c r="H117" i="7" s="1"/>
  <c r="I117" i="7" s="1"/>
  <c r="E117" i="7"/>
  <c r="G117" i="7" s="1"/>
  <c r="G116" i="7"/>
  <c r="F116" i="7"/>
  <c r="H116" i="7" s="1"/>
  <c r="I116" i="7" s="1"/>
  <c r="E116" i="7"/>
  <c r="G115" i="7"/>
  <c r="F115" i="7"/>
  <c r="H115" i="7" s="1"/>
  <c r="I115" i="7" s="1"/>
  <c r="E115" i="7"/>
  <c r="F114" i="7"/>
  <c r="H114" i="7" s="1"/>
  <c r="I114" i="7" s="1"/>
  <c r="E114" i="7"/>
  <c r="G114" i="7" s="1"/>
  <c r="F113" i="7"/>
  <c r="H113" i="7" s="1"/>
  <c r="I113" i="7" s="1"/>
  <c r="E113" i="7"/>
  <c r="G113" i="7" s="1"/>
  <c r="F112" i="7"/>
  <c r="H112" i="7" s="1"/>
  <c r="I112" i="7" s="1"/>
  <c r="E112" i="7"/>
  <c r="G112" i="7" s="1"/>
  <c r="G111" i="7"/>
  <c r="F111" i="7"/>
  <c r="H111" i="7" s="1"/>
  <c r="I111" i="7" s="1"/>
  <c r="E111" i="7"/>
  <c r="F110" i="7"/>
  <c r="H110" i="7" s="1"/>
  <c r="I110" i="7" s="1"/>
  <c r="E110" i="7"/>
  <c r="G110" i="7" s="1"/>
  <c r="F109" i="7"/>
  <c r="H109" i="7" s="1"/>
  <c r="I109" i="7" s="1"/>
  <c r="E109" i="7"/>
  <c r="G109" i="7" s="1"/>
  <c r="F108" i="7"/>
  <c r="H108" i="7" s="1"/>
  <c r="I108" i="7" s="1"/>
  <c r="E108" i="7"/>
  <c r="G108" i="7" s="1"/>
  <c r="F107" i="7"/>
  <c r="H107" i="7" s="1"/>
  <c r="I107" i="7" s="1"/>
  <c r="E107" i="7"/>
  <c r="G107" i="7" s="1"/>
  <c r="F106" i="7"/>
  <c r="H106" i="7" s="1"/>
  <c r="I106" i="7" s="1"/>
  <c r="E106" i="7"/>
  <c r="G106" i="7" s="1"/>
  <c r="F105" i="7"/>
  <c r="H105" i="7" s="1"/>
  <c r="I105" i="7" s="1"/>
  <c r="E105" i="7"/>
  <c r="G105" i="7" s="1"/>
  <c r="F104" i="7"/>
  <c r="H104" i="7" s="1"/>
  <c r="I104" i="7" s="1"/>
  <c r="E104" i="7"/>
  <c r="G104" i="7" s="1"/>
  <c r="F103" i="7"/>
  <c r="H103" i="7" s="1"/>
  <c r="I103" i="7" s="1"/>
  <c r="E103" i="7"/>
  <c r="G103" i="7" s="1"/>
  <c r="F102" i="7"/>
  <c r="H102" i="7" s="1"/>
  <c r="I102" i="7" s="1"/>
  <c r="E102" i="7"/>
  <c r="G102" i="7" s="1"/>
  <c r="F101" i="7"/>
  <c r="H101" i="7" s="1"/>
  <c r="I101" i="7" s="1"/>
  <c r="E101" i="7"/>
  <c r="G101" i="7" s="1"/>
  <c r="F100" i="7"/>
  <c r="H100" i="7" s="1"/>
  <c r="I100" i="7" s="1"/>
  <c r="E100" i="7"/>
  <c r="G100" i="7" s="1"/>
  <c r="G99" i="7"/>
  <c r="F99" i="7"/>
  <c r="H99" i="7" s="1"/>
  <c r="I99" i="7" s="1"/>
  <c r="E99" i="7"/>
  <c r="F98" i="7"/>
  <c r="H98" i="7" s="1"/>
  <c r="I98" i="7" s="1"/>
  <c r="E98" i="7"/>
  <c r="G98" i="7" s="1"/>
  <c r="F97" i="7"/>
  <c r="H97" i="7" s="1"/>
  <c r="I97" i="7" s="1"/>
  <c r="E97" i="7"/>
  <c r="G97" i="7" s="1"/>
  <c r="F96" i="7"/>
  <c r="H96" i="7" s="1"/>
  <c r="I96" i="7" s="1"/>
  <c r="E96" i="7"/>
  <c r="G96" i="7" s="1"/>
  <c r="G95" i="7"/>
  <c r="F95" i="7"/>
  <c r="H95" i="7" s="1"/>
  <c r="I95" i="7" s="1"/>
  <c r="E95" i="7"/>
  <c r="F94" i="7"/>
  <c r="H94" i="7" s="1"/>
  <c r="I94" i="7" s="1"/>
  <c r="E94" i="7"/>
  <c r="G94" i="7" s="1"/>
  <c r="F93" i="7"/>
  <c r="H93" i="7" s="1"/>
  <c r="I93" i="7" s="1"/>
  <c r="E93" i="7"/>
  <c r="G93" i="7" s="1"/>
  <c r="F92" i="7"/>
  <c r="H92" i="7" s="1"/>
  <c r="I92" i="7" s="1"/>
  <c r="E92" i="7"/>
  <c r="G92" i="7" s="1"/>
  <c r="G91" i="7"/>
  <c r="F91" i="7"/>
  <c r="H91" i="7" s="1"/>
  <c r="I91" i="7" s="1"/>
  <c r="E91" i="7"/>
  <c r="F90" i="7"/>
  <c r="H90" i="7" s="1"/>
  <c r="I90" i="7" s="1"/>
  <c r="E90" i="7"/>
  <c r="G90" i="7" s="1"/>
  <c r="F89" i="7"/>
  <c r="H89" i="7" s="1"/>
  <c r="I89" i="7" s="1"/>
  <c r="E89" i="7"/>
  <c r="G89" i="7" s="1"/>
  <c r="F88" i="7"/>
  <c r="H88" i="7" s="1"/>
  <c r="I88" i="7" s="1"/>
  <c r="E88" i="7"/>
  <c r="G88" i="7" s="1"/>
  <c r="G87" i="7"/>
  <c r="F87" i="7"/>
  <c r="H87" i="7" s="1"/>
  <c r="I87" i="7" s="1"/>
  <c r="E87" i="7"/>
  <c r="F86" i="7"/>
  <c r="H86" i="7" s="1"/>
  <c r="I86" i="7" s="1"/>
  <c r="E86" i="7"/>
  <c r="G86" i="7" s="1"/>
  <c r="F85" i="7"/>
  <c r="H85" i="7" s="1"/>
  <c r="I85" i="7" s="1"/>
  <c r="E85" i="7"/>
  <c r="G85" i="7" s="1"/>
  <c r="F84" i="7"/>
  <c r="H84" i="7" s="1"/>
  <c r="I84" i="7" s="1"/>
  <c r="E84" i="7"/>
  <c r="G84" i="7" s="1"/>
  <c r="F83" i="7"/>
  <c r="H83" i="7" s="1"/>
  <c r="I83" i="7" s="1"/>
  <c r="E83" i="7"/>
  <c r="G83" i="7" s="1"/>
  <c r="G82" i="7"/>
  <c r="F82" i="7"/>
  <c r="H82" i="7" s="1"/>
  <c r="I82" i="7" s="1"/>
  <c r="E82" i="7"/>
  <c r="F81" i="7"/>
  <c r="H81" i="7" s="1"/>
  <c r="I81" i="7" s="1"/>
  <c r="E81" i="7"/>
  <c r="G81" i="7" s="1"/>
  <c r="F80" i="7"/>
  <c r="H80" i="7" s="1"/>
  <c r="I80" i="7" s="1"/>
  <c r="E80" i="7"/>
  <c r="G80" i="7" s="1"/>
  <c r="F79" i="7"/>
  <c r="H79" i="7" s="1"/>
  <c r="I79" i="7" s="1"/>
  <c r="E79" i="7"/>
  <c r="G79" i="7" s="1"/>
  <c r="F78" i="7"/>
  <c r="H78" i="7" s="1"/>
  <c r="I78" i="7" s="1"/>
  <c r="E78" i="7"/>
  <c r="G78" i="7" s="1"/>
  <c r="F77" i="7"/>
  <c r="H77" i="7" s="1"/>
  <c r="I77" i="7" s="1"/>
  <c r="E77" i="7"/>
  <c r="G77" i="7" s="1"/>
  <c r="G76" i="7"/>
  <c r="F76" i="7"/>
  <c r="H76" i="7" s="1"/>
  <c r="I76" i="7" s="1"/>
  <c r="E76" i="7"/>
  <c r="G75" i="7"/>
  <c r="F75" i="7"/>
  <c r="H75" i="7" s="1"/>
  <c r="I75" i="7" s="1"/>
  <c r="E75" i="7"/>
  <c r="F74" i="7"/>
  <c r="H74" i="7" s="1"/>
  <c r="I74" i="7" s="1"/>
  <c r="E74" i="7"/>
  <c r="G74" i="7" s="1"/>
  <c r="F73" i="7"/>
  <c r="H73" i="7" s="1"/>
  <c r="I73" i="7" s="1"/>
  <c r="E73" i="7"/>
  <c r="G73" i="7" s="1"/>
  <c r="F72" i="7"/>
  <c r="H72" i="7" s="1"/>
  <c r="I72" i="7" s="1"/>
  <c r="E72" i="7"/>
  <c r="G72" i="7" s="1"/>
  <c r="F71" i="7"/>
  <c r="H71" i="7" s="1"/>
  <c r="I71" i="7" s="1"/>
  <c r="E71" i="7"/>
  <c r="F70" i="7"/>
  <c r="H70" i="7" s="1"/>
  <c r="I70" i="7" s="1"/>
  <c r="E70" i="7"/>
  <c r="F69" i="7"/>
  <c r="H69" i="7" s="1"/>
  <c r="I69" i="7" s="1"/>
  <c r="E69" i="7"/>
  <c r="G69" i="7" s="1"/>
  <c r="F68" i="7"/>
  <c r="H68" i="7" s="1"/>
  <c r="I68" i="7" s="1"/>
  <c r="E68" i="7"/>
  <c r="G68" i="7" s="1"/>
  <c r="F67" i="7"/>
  <c r="H67" i="7" s="1"/>
  <c r="I67" i="7" s="1"/>
  <c r="E67" i="7"/>
  <c r="F66" i="7"/>
  <c r="H66" i="7" s="1"/>
  <c r="I66" i="7" s="1"/>
  <c r="E66" i="7"/>
  <c r="G66" i="7" s="1"/>
  <c r="F65" i="7"/>
  <c r="H65" i="7" s="1"/>
  <c r="I65" i="7" s="1"/>
  <c r="E65" i="7"/>
  <c r="F64" i="7"/>
  <c r="H64" i="7" s="1"/>
  <c r="I64" i="7" s="1"/>
  <c r="E64" i="7"/>
  <c r="G64" i="7" s="1"/>
  <c r="F63" i="7"/>
  <c r="H63" i="7" s="1"/>
  <c r="I63" i="7" s="1"/>
  <c r="E63" i="7"/>
  <c r="G63" i="7" s="1"/>
  <c r="F62" i="7"/>
  <c r="H62" i="7" s="1"/>
  <c r="I62" i="7" s="1"/>
  <c r="E62" i="7"/>
  <c r="F61" i="7"/>
  <c r="H61" i="7" s="1"/>
  <c r="I61" i="7" s="1"/>
  <c r="E61" i="7"/>
  <c r="F60" i="7"/>
  <c r="H60" i="7" s="1"/>
  <c r="I60" i="7" s="1"/>
  <c r="E60" i="7"/>
  <c r="F59" i="7"/>
  <c r="H59" i="7" s="1"/>
  <c r="I59" i="7" s="1"/>
  <c r="E59" i="7"/>
  <c r="F58" i="7"/>
  <c r="H58" i="7" s="1"/>
  <c r="I58" i="7" s="1"/>
  <c r="E58" i="7"/>
  <c r="F57" i="7"/>
  <c r="H57" i="7" s="1"/>
  <c r="I57" i="7" s="1"/>
  <c r="E57" i="7"/>
  <c r="F56" i="7"/>
  <c r="H56" i="7" s="1"/>
  <c r="I56" i="7" s="1"/>
  <c r="E56" i="7"/>
  <c r="F55" i="7"/>
  <c r="H55" i="7" s="1"/>
  <c r="I55" i="7" s="1"/>
  <c r="E55" i="7"/>
  <c r="F54" i="7"/>
  <c r="H54" i="7" s="1"/>
  <c r="I54" i="7" s="1"/>
  <c r="E54" i="7"/>
  <c r="F53" i="7"/>
  <c r="H53" i="7" s="1"/>
  <c r="I53" i="7" s="1"/>
  <c r="E53" i="7"/>
  <c r="F52" i="7"/>
  <c r="H52" i="7" s="1"/>
  <c r="I52" i="7" s="1"/>
  <c r="E52" i="7"/>
  <c r="F51" i="7"/>
  <c r="H51" i="7" s="1"/>
  <c r="I51" i="7" s="1"/>
  <c r="E51" i="7"/>
  <c r="F50" i="7"/>
  <c r="H50" i="7" s="1"/>
  <c r="I50" i="7" s="1"/>
  <c r="E50" i="7"/>
  <c r="F49" i="7"/>
  <c r="H49" i="7" s="1"/>
  <c r="I49" i="7" s="1"/>
  <c r="E49" i="7"/>
  <c r="F48" i="7"/>
  <c r="H48" i="7" s="1"/>
  <c r="I48" i="7" s="1"/>
  <c r="E48" i="7"/>
  <c r="F47" i="7"/>
  <c r="H47" i="7" s="1"/>
  <c r="I47" i="7" s="1"/>
  <c r="E47" i="7"/>
  <c r="F46" i="7"/>
  <c r="H46" i="7" s="1"/>
  <c r="I46" i="7" s="1"/>
  <c r="E46" i="7"/>
  <c r="F45" i="7"/>
  <c r="H45" i="7" s="1"/>
  <c r="I45" i="7" s="1"/>
  <c r="E45" i="7"/>
  <c r="F44" i="7"/>
  <c r="H44" i="7" s="1"/>
  <c r="I44" i="7" s="1"/>
  <c r="E44" i="7"/>
  <c r="F43" i="7"/>
  <c r="H43" i="7" s="1"/>
  <c r="I43" i="7" s="1"/>
  <c r="E43" i="7"/>
  <c r="F42" i="7"/>
  <c r="H42" i="7" s="1"/>
  <c r="I42" i="7" s="1"/>
  <c r="E42" i="7"/>
  <c r="F41" i="7"/>
  <c r="H41" i="7" s="1"/>
  <c r="I41" i="7" s="1"/>
  <c r="E41" i="7"/>
  <c r="F40" i="7"/>
  <c r="H40" i="7" s="1"/>
  <c r="I40" i="7" s="1"/>
  <c r="E40" i="7"/>
  <c r="F39" i="7"/>
  <c r="H39" i="7" s="1"/>
  <c r="I39" i="7" s="1"/>
  <c r="E39" i="7"/>
  <c r="F38" i="7"/>
  <c r="H38" i="7" s="1"/>
  <c r="I38" i="7" s="1"/>
  <c r="E38" i="7"/>
  <c r="F37" i="7"/>
  <c r="H37" i="7" s="1"/>
  <c r="I37" i="7" s="1"/>
  <c r="E37" i="7"/>
  <c r="F36" i="7"/>
  <c r="H36" i="7" s="1"/>
  <c r="I36" i="7" s="1"/>
  <c r="E36" i="7"/>
  <c r="F35" i="7"/>
  <c r="H35" i="7" s="1"/>
  <c r="I35" i="7" s="1"/>
  <c r="E35" i="7"/>
  <c r="F34" i="7"/>
  <c r="H34" i="7" s="1"/>
  <c r="I34" i="7" s="1"/>
  <c r="E34" i="7"/>
  <c r="F33" i="7"/>
  <c r="H33" i="7" s="1"/>
  <c r="I33" i="7" s="1"/>
  <c r="E33" i="7"/>
  <c r="F32" i="7"/>
  <c r="H32" i="7" s="1"/>
  <c r="I32" i="7" s="1"/>
  <c r="E32" i="7"/>
  <c r="F31" i="7"/>
  <c r="H31" i="7" s="1"/>
  <c r="I31" i="7" s="1"/>
  <c r="E31" i="7"/>
  <c r="F30" i="7"/>
  <c r="H30" i="7" s="1"/>
  <c r="I30" i="7" s="1"/>
  <c r="E30" i="7"/>
  <c r="F29" i="7"/>
  <c r="H29" i="7" s="1"/>
  <c r="I29" i="7" s="1"/>
  <c r="E29" i="7"/>
  <c r="F28" i="7"/>
  <c r="H28" i="7" s="1"/>
  <c r="I28" i="7" s="1"/>
  <c r="E28" i="7"/>
  <c r="F27" i="7"/>
  <c r="H27" i="7" s="1"/>
  <c r="I27" i="7" s="1"/>
  <c r="E27" i="7"/>
  <c r="F26" i="7"/>
  <c r="H26" i="7" s="1"/>
  <c r="I26" i="7" s="1"/>
  <c r="E26" i="7"/>
  <c r="F25" i="7"/>
  <c r="H25" i="7" s="1"/>
  <c r="I25" i="7" s="1"/>
  <c r="E25" i="7"/>
  <c r="F24" i="7"/>
  <c r="H24" i="7" s="1"/>
  <c r="I24" i="7" s="1"/>
  <c r="E24" i="7"/>
  <c r="F23" i="7"/>
  <c r="H23" i="7" s="1"/>
  <c r="I23" i="7" s="1"/>
  <c r="E23" i="7"/>
  <c r="F22" i="7"/>
  <c r="H22" i="7" s="1"/>
  <c r="I22" i="7" s="1"/>
  <c r="E22" i="7"/>
  <c r="F21" i="7"/>
  <c r="H21" i="7" s="1"/>
  <c r="I21" i="7" s="1"/>
  <c r="E21" i="7"/>
  <c r="F20" i="7"/>
  <c r="H20" i="7" s="1"/>
  <c r="I20" i="7" s="1"/>
  <c r="E20" i="7"/>
  <c r="F19" i="7"/>
  <c r="H19" i="7" s="1"/>
  <c r="I19" i="7" s="1"/>
  <c r="E19" i="7"/>
  <c r="F18" i="7"/>
  <c r="H18" i="7" s="1"/>
  <c r="I18" i="7" s="1"/>
  <c r="E18" i="7"/>
  <c r="F17" i="7"/>
  <c r="H17" i="7" s="1"/>
  <c r="I17" i="7" s="1"/>
  <c r="E17" i="7"/>
  <c r="F16" i="7"/>
  <c r="H16" i="7" s="1"/>
  <c r="I16" i="7" s="1"/>
  <c r="E16" i="7"/>
  <c r="F15" i="7"/>
  <c r="H15" i="7" s="1"/>
  <c r="I15" i="7" s="1"/>
  <c r="E15" i="7"/>
  <c r="G15" i="7" s="1"/>
  <c r="I14" i="31" l="1"/>
  <c r="I14" i="29"/>
  <c r="G62" i="7"/>
  <c r="G51" i="7"/>
  <c r="G52" i="7"/>
  <c r="G58" i="7"/>
  <c r="G59" i="7"/>
  <c r="G60" i="7"/>
  <c r="G55" i="7"/>
  <c r="G56" i="7"/>
  <c r="G53" i="7"/>
  <c r="G50" i="7"/>
  <c r="G48" i="7"/>
  <c r="G49" i="7"/>
  <c r="G23" i="7"/>
  <c r="G45" i="7"/>
  <c r="G26" i="7"/>
  <c r="G30" i="7"/>
  <c r="G42" i="7"/>
  <c r="G25" i="7"/>
  <c r="G22" i="7"/>
  <c r="G29" i="7"/>
  <c r="G35" i="7"/>
  <c r="G41" i="7"/>
  <c r="G47" i="7"/>
  <c r="G17" i="7"/>
  <c r="G27" i="7"/>
  <c r="G31" i="7"/>
  <c r="G37" i="7"/>
  <c r="G43" i="7"/>
  <c r="G33" i="7"/>
  <c r="G24" i="7"/>
  <c r="G46" i="7"/>
  <c r="G21" i="7"/>
  <c r="G38" i="7"/>
  <c r="G34" i="7"/>
  <c r="G18" i="7"/>
  <c r="G39" i="7"/>
  <c r="G19" i="7"/>
  <c r="G36" i="7"/>
  <c r="G67" i="7"/>
  <c r="G71" i="7"/>
  <c r="G57" i="7"/>
  <c r="G61" i="7"/>
  <c r="G65" i="7"/>
  <c r="G54" i="7"/>
  <c r="G70" i="7"/>
  <c r="I14" i="7"/>
  <c r="G16" i="7"/>
  <c r="G28" i="7"/>
  <c r="G40" i="7"/>
  <c r="G20" i="7"/>
  <c r="G32" i="7"/>
  <c r="G44" i="7"/>
</calcChain>
</file>

<file path=xl/sharedStrings.xml><?xml version="1.0" encoding="utf-8"?>
<sst xmlns="http://schemas.openxmlformats.org/spreadsheetml/2006/main" count="110" uniqueCount="25">
  <si>
    <t>Well:</t>
  </si>
  <si>
    <t>OBEA-01</t>
  </si>
  <si>
    <t>Checkshot:</t>
  </si>
  <si>
    <t>TZ</t>
  </si>
  <si>
    <t>Original TZ from QI list</t>
  </si>
  <si>
    <t>Top Interval</t>
  </si>
  <si>
    <t>Reference Depth (Z0):</t>
  </si>
  <si>
    <t>use 0 if from surface</t>
  </si>
  <si>
    <t>Reference Time (T0):</t>
  </si>
  <si>
    <t>V0 (estimated):</t>
  </si>
  <si>
    <t>K0 (estimated:</t>
  </si>
  <si>
    <t xml:space="preserve">Depth </t>
  </si>
  <si>
    <t>2-way Time ms</t>
  </si>
  <si>
    <t>Depth (calc)</t>
  </si>
  <si>
    <t>V=V0+ KZ</t>
  </si>
  <si>
    <t>Error</t>
  </si>
  <si>
    <t>Error^2</t>
  </si>
  <si>
    <t>HB01</t>
  </si>
  <si>
    <t>Depth (ft)</t>
  </si>
  <si>
    <t>Vint</t>
  </si>
  <si>
    <t>Time</t>
  </si>
  <si>
    <t>Depth</t>
  </si>
  <si>
    <t>VSP</t>
  </si>
  <si>
    <t>NunR-005</t>
  </si>
  <si>
    <t>NunR-012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</si>
</sst>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b/>
      <sz val="9"/>
      <color indexed="12"/>
      <name val="Arial"/>
      <family val="2"/>
    </font>
    <font>
      <b/>
      <sz val="16"/>
      <color indexed="10"/>
      <name val="Arial"/>
      <family val="2"/>
    </font>
    <font>
      <b/>
      <sz val="10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">
    <xf numFmtId="0" fontId="0" fillId="0" borderId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2" borderId="1" applyNumberFormat="0" applyFont="0" applyAlignment="0" applyProtection="0"/>
    <xf numFmtId="0" fontId="12" fillId="2" borderId="1" applyNumberFormat="0" applyFont="0" applyAlignment="0" applyProtection="0"/>
    <xf numFmtId="0" fontId="12" fillId="2" borderId="1" applyNumberFormat="0" applyFont="0" applyAlignment="0" applyProtection="0"/>
  </cellStyleXfs>
  <cellXfs count="56">
    <xf numFmtId="0" fontId="0" fillId="0" borderId="0" xfId="0"/>
    <xf numFmtId="0" fontId="0" fillId="15" borderId="0" xfId="0" applyFill="1"/>
    <xf numFmtId="164" fontId="0" fillId="15" borderId="0" xfId="0" applyNumberFormat="1" applyFill="1"/>
    <xf numFmtId="1" fontId="0" fillId="15" borderId="0" xfId="0" applyNumberFormat="1" applyFill="1"/>
    <xf numFmtId="164" fontId="1" fillId="15" borderId="0" xfId="0" applyNumberFormat="1" applyFont="1" applyFill="1" applyAlignment="1">
      <alignment horizontal="left"/>
    </xf>
    <xf numFmtId="1" fontId="1" fillId="15" borderId="0" xfId="0" applyNumberFormat="1" applyFont="1" applyFill="1" applyAlignment="1">
      <alignment horizontal="left"/>
    </xf>
    <xf numFmtId="0" fontId="3" fillId="15" borderId="0" xfId="0" applyFont="1" applyFill="1" applyAlignment="1">
      <alignment horizontal="left"/>
    </xf>
    <xf numFmtId="0" fontId="0" fillId="15" borderId="0" xfId="0" applyFill="1" applyAlignment="1">
      <alignment horizontal="left"/>
    </xf>
    <xf numFmtId="164" fontId="4" fillId="15" borderId="0" xfId="0" applyNumberFormat="1" applyFont="1" applyFill="1"/>
    <xf numFmtId="0" fontId="3" fillId="15" borderId="0" xfId="0" applyFont="1" applyFill="1"/>
    <xf numFmtId="164" fontId="4" fillId="15" borderId="5" xfId="0" applyNumberFormat="1" applyFont="1" applyFill="1" applyBorder="1"/>
    <xf numFmtId="0" fontId="0" fillId="15" borderId="6" xfId="0" applyFill="1" applyBorder="1" applyAlignment="1">
      <alignment horizontal="left"/>
    </xf>
    <xf numFmtId="164" fontId="1" fillId="15" borderId="0" xfId="0" applyNumberFormat="1" applyFont="1" applyFill="1" applyAlignment="1">
      <alignment horizontal="right"/>
    </xf>
    <xf numFmtId="1" fontId="1" fillId="15" borderId="0" xfId="0" applyNumberFormat="1" applyFont="1" applyFill="1" applyAlignment="1">
      <alignment horizontal="right"/>
    </xf>
    <xf numFmtId="0" fontId="0" fillId="17" borderId="7" xfId="0" applyFill="1" applyBorder="1" applyAlignment="1" applyProtection="1">
      <alignment horizontal="center"/>
      <protection locked="0"/>
    </xf>
    <xf numFmtId="0" fontId="1" fillId="15" borderId="0" xfId="0" applyFont="1" applyFill="1" applyAlignment="1">
      <alignment horizontal="right"/>
    </xf>
    <xf numFmtId="1" fontId="3" fillId="17" borderId="7" xfId="0" applyNumberFormat="1" applyFont="1" applyFill="1" applyBorder="1" applyAlignment="1" applyProtection="1">
      <alignment horizontal="center"/>
      <protection locked="0"/>
    </xf>
    <xf numFmtId="165" fontId="3" fillId="17" borderId="7" xfId="0" applyNumberFormat="1" applyFont="1" applyFill="1" applyBorder="1" applyAlignment="1" applyProtection="1">
      <alignment horizontal="center"/>
      <protection locked="0"/>
    </xf>
    <xf numFmtId="165" fontId="0" fillId="15" borderId="0" xfId="0" applyNumberFormat="1" applyFill="1"/>
    <xf numFmtId="165" fontId="0" fillId="15" borderId="6" xfId="0" applyNumberFormat="1" applyFill="1" applyBorder="1" applyAlignment="1">
      <alignment horizontal="left"/>
    </xf>
    <xf numFmtId="0" fontId="6" fillId="15" borderId="0" xfId="0" applyFont="1" applyFill="1"/>
    <xf numFmtId="164" fontId="6" fillId="15" borderId="5" xfId="0" applyNumberFormat="1" applyFont="1" applyFill="1" applyBorder="1"/>
    <xf numFmtId="164" fontId="6" fillId="15" borderId="0" xfId="0" applyNumberFormat="1" applyFont="1" applyFill="1"/>
    <xf numFmtId="1" fontId="6" fillId="15" borderId="0" xfId="0" applyNumberFormat="1" applyFont="1" applyFill="1"/>
    <xf numFmtId="164" fontId="7" fillId="15" borderId="0" xfId="0" applyNumberFormat="1" applyFont="1" applyFill="1" applyAlignment="1">
      <alignment horizontal="center"/>
    </xf>
    <xf numFmtId="1" fontId="7" fillId="15" borderId="0" xfId="0" applyNumberFormat="1" applyFont="1" applyFill="1" applyAlignment="1">
      <alignment horizontal="center"/>
    </xf>
    <xf numFmtId="0" fontId="4" fillId="15" borderId="0" xfId="0" applyFont="1" applyFill="1"/>
    <xf numFmtId="164" fontId="1" fillId="15" borderId="11" xfId="0" applyNumberFormat="1" applyFont="1" applyFill="1" applyBorder="1" applyAlignment="1">
      <alignment horizontal="center"/>
    </xf>
    <xf numFmtId="1" fontId="1" fillId="15" borderId="12" xfId="0" applyNumberFormat="1" applyFont="1" applyFill="1" applyBorder="1" applyAlignment="1">
      <alignment horizontal="center"/>
    </xf>
    <xf numFmtId="1" fontId="4" fillId="18" borderId="11" xfId="0" applyNumberFormat="1" applyFont="1" applyFill="1" applyBorder="1" applyAlignment="1">
      <alignment horizontal="left"/>
    </xf>
    <xf numFmtId="164" fontId="8" fillId="15" borderId="13" xfId="0" applyNumberFormat="1" applyFont="1" applyFill="1" applyBorder="1" applyAlignment="1">
      <alignment horizontal="center"/>
    </xf>
    <xf numFmtId="0" fontId="4" fillId="0" borderId="0" xfId="0" applyFont="1"/>
    <xf numFmtId="0" fontId="9" fillId="15" borderId="0" xfId="0" applyFont="1" applyFill="1"/>
    <xf numFmtId="2" fontId="0" fillId="17" borderId="7" xfId="0" applyNumberFormat="1" applyFill="1" applyBorder="1" applyAlignment="1" applyProtection="1">
      <alignment horizontal="center"/>
      <protection locked="0"/>
    </xf>
    <xf numFmtId="1" fontId="0" fillId="15" borderId="14" xfId="0" applyNumberFormat="1" applyFill="1" applyBorder="1" applyAlignment="1">
      <alignment horizontal="center"/>
    </xf>
    <xf numFmtId="164" fontId="0" fillId="15" borderId="7" xfId="0" applyNumberFormat="1" applyFill="1" applyBorder="1" applyAlignment="1">
      <alignment horizontal="center"/>
    </xf>
    <xf numFmtId="1" fontId="0" fillId="15" borderId="7" xfId="0" applyNumberFormat="1" applyFill="1" applyBorder="1" applyAlignment="1">
      <alignment horizontal="center"/>
    </xf>
    <xf numFmtId="164" fontId="0" fillId="17" borderId="7" xfId="0" applyNumberFormat="1" applyFill="1" applyBorder="1" applyAlignment="1" applyProtection="1">
      <alignment horizontal="center"/>
      <protection locked="0"/>
    </xf>
    <xf numFmtId="0" fontId="10" fillId="0" borderId="0" xfId="0" applyFont="1"/>
    <xf numFmtId="0" fontId="11" fillId="0" borderId="0" xfId="0" applyFont="1"/>
    <xf numFmtId="164" fontId="0" fillId="17" borderId="7" xfId="0" applyNumberFormat="1" applyFill="1" applyBorder="1" applyProtection="1">
      <protection locked="0"/>
    </xf>
    <xf numFmtId="164" fontId="0" fillId="0" borderId="0" xfId="0" applyNumberFormat="1"/>
    <xf numFmtId="1" fontId="0" fillId="0" borderId="0" xfId="0" applyNumberFormat="1"/>
    <xf numFmtId="0" fontId="1" fillId="15" borderId="7" xfId="0" applyFont="1" applyFill="1" applyBorder="1" applyAlignment="1">
      <alignment horizontal="center"/>
    </xf>
    <xf numFmtId="0" fontId="1" fillId="15" borderId="8" xfId="0" applyFont="1" applyFill="1" applyBorder="1" applyAlignment="1">
      <alignment horizontal="center"/>
    </xf>
    <xf numFmtId="0" fontId="2" fillId="15" borderId="0" xfId="0" applyFont="1" applyFill="1" applyAlignment="1">
      <alignment horizontal="left"/>
    </xf>
    <xf numFmtId="164" fontId="1" fillId="16" borderId="2" xfId="0" applyNumberFormat="1" applyFont="1" applyFill="1" applyBorder="1" applyAlignment="1">
      <alignment horizontal="center"/>
    </xf>
    <xf numFmtId="164" fontId="1" fillId="16" borderId="3" xfId="0" applyNumberFormat="1" applyFont="1" applyFill="1" applyBorder="1" applyAlignment="1">
      <alignment horizontal="center"/>
    </xf>
    <xf numFmtId="164" fontId="1" fillId="16" borderId="4" xfId="0" applyNumberFormat="1" applyFont="1" applyFill="1" applyBorder="1" applyAlignment="1">
      <alignment horizontal="center"/>
    </xf>
    <xf numFmtId="0" fontId="5" fillId="15" borderId="0" xfId="0" applyFont="1" applyFill="1" applyAlignment="1">
      <alignment horizontal="left" wrapText="1"/>
    </xf>
    <xf numFmtId="0" fontId="5" fillId="15" borderId="6" xfId="0" applyFont="1" applyFill="1" applyBorder="1" applyAlignment="1">
      <alignment horizontal="left" wrapText="1"/>
    </xf>
    <xf numFmtId="0" fontId="1" fillId="15" borderId="7" xfId="0" applyFont="1" applyFill="1" applyBorder="1" applyAlignment="1">
      <alignment horizontal="center"/>
    </xf>
    <xf numFmtId="0" fontId="1" fillId="15" borderId="8" xfId="0" applyFont="1" applyFill="1" applyBorder="1" applyAlignment="1">
      <alignment horizontal="center"/>
    </xf>
    <xf numFmtId="164" fontId="1" fillId="15" borderId="9" xfId="0" applyNumberFormat="1" applyFont="1" applyFill="1" applyBorder="1" applyAlignment="1">
      <alignment horizontal="center" wrapText="1"/>
    </xf>
    <xf numFmtId="164" fontId="1" fillId="15" borderId="10" xfId="0" applyNumberFormat="1" applyFont="1" applyFill="1" applyBorder="1" applyAlignment="1">
      <alignment horizontal="center" wrapText="1"/>
    </xf>
    <xf numFmtId="0" fontId="1" fillId="15" borderId="7" xfId="0" applyFont="1" applyFill="1" applyBorder="1" applyAlignment="1">
      <alignment horizontal="center" wrapText="1"/>
    </xf>
  </cellXfs>
  <cellStyles count="34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40% - Accent1 2" xfId="13" xr:uid="{00000000-0005-0000-0000-00000C000000}"/>
    <cellStyle name="40% - Accent1 2 2" xfId="14" xr:uid="{00000000-0005-0000-0000-00000D000000}"/>
    <cellStyle name="40% - Accent2 2" xfId="15" xr:uid="{00000000-0005-0000-0000-00000E000000}"/>
    <cellStyle name="40% - Accent2 2 2" xfId="16" xr:uid="{00000000-0005-0000-0000-00000F000000}"/>
    <cellStyle name="40% - Accent3 2" xfId="17" xr:uid="{00000000-0005-0000-0000-000010000000}"/>
    <cellStyle name="40% - Accent3 2 2" xfId="18" xr:uid="{00000000-0005-0000-0000-000011000000}"/>
    <cellStyle name="40% - Accent4 2" xfId="19" xr:uid="{00000000-0005-0000-0000-000012000000}"/>
    <cellStyle name="40% - Accent4 2 2" xfId="20" xr:uid="{00000000-0005-0000-0000-000013000000}"/>
    <cellStyle name="40% - Accent5 2" xfId="21" xr:uid="{00000000-0005-0000-0000-000014000000}"/>
    <cellStyle name="40% - Accent5 2 2" xfId="22" xr:uid="{00000000-0005-0000-0000-000015000000}"/>
    <cellStyle name="40% - Accent6 2" xfId="23" xr:uid="{00000000-0005-0000-0000-000016000000}"/>
    <cellStyle name="40% - Accent6 2 2" xfId="24" xr:uid="{00000000-0005-0000-0000-000017000000}"/>
    <cellStyle name="Normal" xfId="0" builtinId="0"/>
    <cellStyle name="Normal 2" xfId="25" xr:uid="{00000000-0005-0000-0000-000019000000}"/>
    <cellStyle name="Normal 2 2" xfId="26" xr:uid="{00000000-0005-0000-0000-00001A000000}"/>
    <cellStyle name="Normal 2 3" xfId="27" xr:uid="{00000000-0005-0000-0000-00001B000000}"/>
    <cellStyle name="Normal 3" xfId="28" xr:uid="{00000000-0005-0000-0000-00001C000000}"/>
    <cellStyle name="Normal 4" xfId="29" xr:uid="{00000000-0005-0000-0000-00001D000000}"/>
    <cellStyle name="Normal 5" xfId="30" xr:uid="{00000000-0005-0000-0000-00001E000000}"/>
    <cellStyle name="Note 2" xfId="31" xr:uid="{00000000-0005-0000-0000-00001F000000}"/>
    <cellStyle name="Note 2 2" xfId="32" xr:uid="{00000000-0005-0000-0000-000020000000}"/>
    <cellStyle name="Note 3" xfId="33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20721922155519"/>
          <c:y val="0.17290582683305972"/>
          <c:w val="0.83970457461405634"/>
          <c:h val="0.75935961062766488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'NunR-005'!$C$15:$C$926</c:f>
              <c:numCache>
                <c:formatCode>0.00</c:formatCode>
                <c:ptCount val="912"/>
                <c:pt idx="0">
                  <c:v>0</c:v>
                </c:pt>
                <c:pt idx="1">
                  <c:v>9.49</c:v>
                </c:pt>
                <c:pt idx="2">
                  <c:v>19.38</c:v>
                </c:pt>
                <c:pt idx="3">
                  <c:v>29.27</c:v>
                </c:pt>
                <c:pt idx="4">
                  <c:v>39.159999999999997</c:v>
                </c:pt>
                <c:pt idx="5">
                  <c:v>44.59</c:v>
                </c:pt>
                <c:pt idx="6">
                  <c:v>49.55</c:v>
                </c:pt>
                <c:pt idx="7">
                  <c:v>54.5</c:v>
                </c:pt>
                <c:pt idx="8">
                  <c:v>59.46</c:v>
                </c:pt>
                <c:pt idx="9">
                  <c:v>64.42</c:v>
                </c:pt>
                <c:pt idx="10">
                  <c:v>69.38</c:v>
                </c:pt>
                <c:pt idx="11">
                  <c:v>74.33</c:v>
                </c:pt>
                <c:pt idx="12">
                  <c:v>79.290000000000006</c:v>
                </c:pt>
                <c:pt idx="13">
                  <c:v>84.25</c:v>
                </c:pt>
                <c:pt idx="14">
                  <c:v>89.21</c:v>
                </c:pt>
                <c:pt idx="15">
                  <c:v>94.17</c:v>
                </c:pt>
                <c:pt idx="16">
                  <c:v>99.12</c:v>
                </c:pt>
                <c:pt idx="17">
                  <c:v>104.08</c:v>
                </c:pt>
                <c:pt idx="18">
                  <c:v>109.04</c:v>
                </c:pt>
                <c:pt idx="19">
                  <c:v>114</c:v>
                </c:pt>
                <c:pt idx="20">
                  <c:v>118.95</c:v>
                </c:pt>
                <c:pt idx="21">
                  <c:v>123.91</c:v>
                </c:pt>
                <c:pt idx="22">
                  <c:v>128.87</c:v>
                </c:pt>
                <c:pt idx="23">
                  <c:v>133.83000000000001</c:v>
                </c:pt>
                <c:pt idx="24">
                  <c:v>138.78</c:v>
                </c:pt>
                <c:pt idx="25">
                  <c:v>143.74</c:v>
                </c:pt>
                <c:pt idx="26">
                  <c:v>148.69999999999999</c:v>
                </c:pt>
                <c:pt idx="27">
                  <c:v>153.66</c:v>
                </c:pt>
                <c:pt idx="28">
                  <c:v>158.61000000000001</c:v>
                </c:pt>
                <c:pt idx="29">
                  <c:v>163.57</c:v>
                </c:pt>
                <c:pt idx="30">
                  <c:v>168.53</c:v>
                </c:pt>
                <c:pt idx="31">
                  <c:v>173.49</c:v>
                </c:pt>
                <c:pt idx="32">
                  <c:v>178.45</c:v>
                </c:pt>
                <c:pt idx="33">
                  <c:v>183.4</c:v>
                </c:pt>
                <c:pt idx="34">
                  <c:v>188.36</c:v>
                </c:pt>
                <c:pt idx="35">
                  <c:v>193.32</c:v>
                </c:pt>
                <c:pt idx="36">
                  <c:v>198.28</c:v>
                </c:pt>
                <c:pt idx="37">
                  <c:v>203.23</c:v>
                </c:pt>
                <c:pt idx="38">
                  <c:v>208.19</c:v>
                </c:pt>
                <c:pt idx="39">
                  <c:v>213.15</c:v>
                </c:pt>
                <c:pt idx="40">
                  <c:v>218.11</c:v>
                </c:pt>
                <c:pt idx="41">
                  <c:v>223.06</c:v>
                </c:pt>
                <c:pt idx="42">
                  <c:v>228.02</c:v>
                </c:pt>
                <c:pt idx="43">
                  <c:v>232.98</c:v>
                </c:pt>
                <c:pt idx="44">
                  <c:v>237.94</c:v>
                </c:pt>
                <c:pt idx="45">
                  <c:v>242.9</c:v>
                </c:pt>
                <c:pt idx="46">
                  <c:v>247.85</c:v>
                </c:pt>
                <c:pt idx="47">
                  <c:v>252.81</c:v>
                </c:pt>
                <c:pt idx="48">
                  <c:v>257.77</c:v>
                </c:pt>
                <c:pt idx="49">
                  <c:v>262.73</c:v>
                </c:pt>
                <c:pt idx="50">
                  <c:v>267.68</c:v>
                </c:pt>
                <c:pt idx="51">
                  <c:v>272.64</c:v>
                </c:pt>
                <c:pt idx="52">
                  <c:v>277.60000000000002</c:v>
                </c:pt>
                <c:pt idx="53">
                  <c:v>282.56</c:v>
                </c:pt>
                <c:pt idx="54">
                  <c:v>287.51</c:v>
                </c:pt>
                <c:pt idx="55">
                  <c:v>292.47000000000003</c:v>
                </c:pt>
                <c:pt idx="56">
                  <c:v>297.43</c:v>
                </c:pt>
                <c:pt idx="57">
                  <c:v>302.39</c:v>
                </c:pt>
                <c:pt idx="58">
                  <c:v>307.35000000000002</c:v>
                </c:pt>
                <c:pt idx="59">
                  <c:v>312.3</c:v>
                </c:pt>
                <c:pt idx="60">
                  <c:v>317.26</c:v>
                </c:pt>
                <c:pt idx="61">
                  <c:v>322.22000000000003</c:v>
                </c:pt>
                <c:pt idx="62">
                  <c:v>327.18</c:v>
                </c:pt>
                <c:pt idx="63" formatCode="0.0">
                  <c:v>332.13</c:v>
                </c:pt>
                <c:pt idx="64" formatCode="0.0">
                  <c:v>337.09</c:v>
                </c:pt>
                <c:pt idx="65" formatCode="0.0">
                  <c:v>342.05</c:v>
                </c:pt>
                <c:pt idx="66" formatCode="0.0">
                  <c:v>347.01</c:v>
                </c:pt>
                <c:pt idx="67" formatCode="0.0">
                  <c:v>351.96</c:v>
                </c:pt>
                <c:pt idx="68" formatCode="0.0">
                  <c:v>356.92</c:v>
                </c:pt>
                <c:pt idx="69" formatCode="0.0">
                  <c:v>361.88</c:v>
                </c:pt>
                <c:pt idx="70" formatCode="0.0">
                  <c:v>366.84</c:v>
                </c:pt>
                <c:pt idx="71" formatCode="0.0">
                  <c:v>371.8</c:v>
                </c:pt>
                <c:pt idx="72" formatCode="0.0">
                  <c:v>376.75</c:v>
                </c:pt>
                <c:pt idx="73" formatCode="0.0">
                  <c:v>381.71</c:v>
                </c:pt>
                <c:pt idx="74" formatCode="0.0">
                  <c:v>386.67</c:v>
                </c:pt>
                <c:pt idx="75" formatCode="0.0">
                  <c:v>391.63</c:v>
                </c:pt>
                <c:pt idx="76" formatCode="0.0">
                  <c:v>396.58</c:v>
                </c:pt>
                <c:pt idx="77" formatCode="0.0">
                  <c:v>401.54</c:v>
                </c:pt>
                <c:pt idx="78" formatCode="0.0">
                  <c:v>406.5</c:v>
                </c:pt>
                <c:pt idx="79" formatCode="0.0">
                  <c:v>411.46</c:v>
                </c:pt>
                <c:pt idx="80" formatCode="0.0">
                  <c:v>416.41</c:v>
                </c:pt>
                <c:pt idx="81" formatCode="0.0">
                  <c:v>421.37</c:v>
                </c:pt>
                <c:pt idx="82" formatCode="0.0">
                  <c:v>426.33</c:v>
                </c:pt>
                <c:pt idx="83" formatCode="0.0">
                  <c:v>431.29</c:v>
                </c:pt>
                <c:pt idx="84" formatCode="0.0">
                  <c:v>436.24</c:v>
                </c:pt>
                <c:pt idx="85" formatCode="0.0">
                  <c:v>441.2</c:v>
                </c:pt>
                <c:pt idx="86" formatCode="0.0">
                  <c:v>446.16</c:v>
                </c:pt>
                <c:pt idx="87" formatCode="0.0">
                  <c:v>451.12</c:v>
                </c:pt>
                <c:pt idx="88" formatCode="0.0">
                  <c:v>456.08</c:v>
                </c:pt>
                <c:pt idx="89" formatCode="0.0">
                  <c:v>461.03</c:v>
                </c:pt>
                <c:pt idx="90" formatCode="0.0">
                  <c:v>465.99</c:v>
                </c:pt>
                <c:pt idx="91" formatCode="0.0">
                  <c:v>470.95</c:v>
                </c:pt>
                <c:pt idx="92" formatCode="0.0">
                  <c:v>475.91</c:v>
                </c:pt>
                <c:pt idx="93" formatCode="0.0">
                  <c:v>480.86</c:v>
                </c:pt>
                <c:pt idx="94" formatCode="0.0">
                  <c:v>485.82</c:v>
                </c:pt>
                <c:pt idx="95" formatCode="0.0">
                  <c:v>490.78</c:v>
                </c:pt>
                <c:pt idx="96" formatCode="0.0">
                  <c:v>495.74</c:v>
                </c:pt>
                <c:pt idx="97" formatCode="0.0">
                  <c:v>500.69</c:v>
                </c:pt>
                <c:pt idx="98" formatCode="0.0">
                  <c:v>505.65</c:v>
                </c:pt>
                <c:pt idx="99" formatCode="0.0">
                  <c:v>510.61</c:v>
                </c:pt>
                <c:pt idx="100" formatCode="0.0">
                  <c:v>515.57000000000005</c:v>
                </c:pt>
                <c:pt idx="101" formatCode="0.0">
                  <c:v>520.52</c:v>
                </c:pt>
                <c:pt idx="102" formatCode="0.0">
                  <c:v>525.48</c:v>
                </c:pt>
                <c:pt idx="103" formatCode="0.0">
                  <c:v>530.44000000000005</c:v>
                </c:pt>
                <c:pt idx="104" formatCode="0.0">
                  <c:v>535.4</c:v>
                </c:pt>
                <c:pt idx="105" formatCode="0.0">
                  <c:v>540.36</c:v>
                </c:pt>
                <c:pt idx="106" formatCode="0.0">
                  <c:v>545.30999999999995</c:v>
                </c:pt>
                <c:pt idx="107" formatCode="0.0">
                  <c:v>550.27</c:v>
                </c:pt>
                <c:pt idx="108" formatCode="0.0">
                  <c:v>555.23</c:v>
                </c:pt>
                <c:pt idx="109" formatCode="0.0">
                  <c:v>560.19000000000005</c:v>
                </c:pt>
                <c:pt idx="110" formatCode="0.0">
                  <c:v>565.14</c:v>
                </c:pt>
                <c:pt idx="111" formatCode="0.0">
                  <c:v>570.1</c:v>
                </c:pt>
                <c:pt idx="112" formatCode="0.0">
                  <c:v>575.05999999999995</c:v>
                </c:pt>
                <c:pt idx="113" formatCode="0.0">
                  <c:v>580.02</c:v>
                </c:pt>
                <c:pt idx="114" formatCode="0.0">
                  <c:v>584.97</c:v>
                </c:pt>
                <c:pt idx="115" formatCode="0.0">
                  <c:v>589.92999999999995</c:v>
                </c:pt>
                <c:pt idx="116" formatCode="0.0">
                  <c:v>594.89</c:v>
                </c:pt>
                <c:pt idx="117" formatCode="0.0">
                  <c:v>599.85</c:v>
                </c:pt>
                <c:pt idx="118" formatCode="0.0">
                  <c:v>604.80999999999995</c:v>
                </c:pt>
                <c:pt idx="119" formatCode="0.0">
                  <c:v>609.76</c:v>
                </c:pt>
                <c:pt idx="120" formatCode="0.0">
                  <c:v>614.72</c:v>
                </c:pt>
                <c:pt idx="121" formatCode="0.0">
                  <c:v>619.67999999999995</c:v>
                </c:pt>
                <c:pt idx="122" formatCode="0.0">
                  <c:v>624.64</c:v>
                </c:pt>
                <c:pt idx="123" formatCode="0.0">
                  <c:v>629.59</c:v>
                </c:pt>
                <c:pt idx="124" formatCode="0.0">
                  <c:v>634.54999999999995</c:v>
                </c:pt>
                <c:pt idx="125" formatCode="0.0">
                  <c:v>639.51</c:v>
                </c:pt>
                <c:pt idx="126" formatCode="0.0">
                  <c:v>644.47</c:v>
                </c:pt>
                <c:pt idx="127" formatCode="0.0">
                  <c:v>649.41999999999996</c:v>
                </c:pt>
                <c:pt idx="128" formatCode="0.0">
                  <c:v>654.38</c:v>
                </c:pt>
                <c:pt idx="129" formatCode="0.0">
                  <c:v>659.34</c:v>
                </c:pt>
                <c:pt idx="130" formatCode="0.0">
                  <c:v>664.3</c:v>
                </c:pt>
                <c:pt idx="131" formatCode="0.0">
                  <c:v>669.25</c:v>
                </c:pt>
                <c:pt idx="132" formatCode="0.0">
                  <c:v>674.21</c:v>
                </c:pt>
                <c:pt idx="133" formatCode="0.0">
                  <c:v>679.17</c:v>
                </c:pt>
                <c:pt idx="134" formatCode="0.0">
                  <c:v>684.13</c:v>
                </c:pt>
                <c:pt idx="135" formatCode="0.0">
                  <c:v>689.09</c:v>
                </c:pt>
                <c:pt idx="136" formatCode="0.0">
                  <c:v>694.04</c:v>
                </c:pt>
                <c:pt idx="137" formatCode="0.0">
                  <c:v>699</c:v>
                </c:pt>
                <c:pt idx="138" formatCode="0.0">
                  <c:v>703.96</c:v>
                </c:pt>
                <c:pt idx="139" formatCode="0.0">
                  <c:v>708.92</c:v>
                </c:pt>
                <c:pt idx="140" formatCode="0.0">
                  <c:v>713.87</c:v>
                </c:pt>
                <c:pt idx="141" formatCode="0.0">
                  <c:v>718.83</c:v>
                </c:pt>
                <c:pt idx="142" formatCode="0.0">
                  <c:v>723.79</c:v>
                </c:pt>
                <c:pt idx="143" formatCode="0.0">
                  <c:v>728.75</c:v>
                </c:pt>
                <c:pt idx="144" formatCode="0.0">
                  <c:v>733.7</c:v>
                </c:pt>
                <c:pt idx="145" formatCode="0.0">
                  <c:v>738.66</c:v>
                </c:pt>
                <c:pt idx="146" formatCode="0.0">
                  <c:v>743.62</c:v>
                </c:pt>
                <c:pt idx="147" formatCode="0.0">
                  <c:v>748.58</c:v>
                </c:pt>
                <c:pt idx="148" formatCode="0.0">
                  <c:v>753.53</c:v>
                </c:pt>
                <c:pt idx="149" formatCode="0.0">
                  <c:v>758.49</c:v>
                </c:pt>
                <c:pt idx="150" formatCode="0.0">
                  <c:v>763.45</c:v>
                </c:pt>
                <c:pt idx="151" formatCode="0.0">
                  <c:v>768.41</c:v>
                </c:pt>
                <c:pt idx="152" formatCode="0.0">
                  <c:v>773.37</c:v>
                </c:pt>
                <c:pt idx="153" formatCode="0.0">
                  <c:v>778.32</c:v>
                </c:pt>
                <c:pt idx="154" formatCode="0.0">
                  <c:v>783.28</c:v>
                </c:pt>
                <c:pt idx="155" formatCode="0.0">
                  <c:v>788.24</c:v>
                </c:pt>
                <c:pt idx="156" formatCode="0.0">
                  <c:v>793.2</c:v>
                </c:pt>
                <c:pt idx="157" formatCode="0.0">
                  <c:v>798.15</c:v>
                </c:pt>
                <c:pt idx="158" formatCode="0.0">
                  <c:v>803.11</c:v>
                </c:pt>
                <c:pt idx="159" formatCode="0.0">
                  <c:v>808.07</c:v>
                </c:pt>
                <c:pt idx="160" formatCode="0.0">
                  <c:v>813.03</c:v>
                </c:pt>
                <c:pt idx="161" formatCode="0.0">
                  <c:v>817.98</c:v>
                </c:pt>
                <c:pt idx="162" formatCode="0.0">
                  <c:v>822.94</c:v>
                </c:pt>
                <c:pt idx="163" formatCode="0.0">
                  <c:v>827.9</c:v>
                </c:pt>
                <c:pt idx="164" formatCode="0.0">
                  <c:v>832.86</c:v>
                </c:pt>
                <c:pt idx="165" formatCode="0.0">
                  <c:v>837.81</c:v>
                </c:pt>
                <c:pt idx="166" formatCode="0.0">
                  <c:v>842.77</c:v>
                </c:pt>
                <c:pt idx="167" formatCode="0.0">
                  <c:v>847.73</c:v>
                </c:pt>
                <c:pt idx="168" formatCode="0.0">
                  <c:v>852.69</c:v>
                </c:pt>
                <c:pt idx="169" formatCode="0.0">
                  <c:v>857.64</c:v>
                </c:pt>
                <c:pt idx="170" formatCode="0.0">
                  <c:v>862.6</c:v>
                </c:pt>
                <c:pt idx="171" formatCode="0.0">
                  <c:v>867.56</c:v>
                </c:pt>
                <c:pt idx="172" formatCode="0.0">
                  <c:v>872.51</c:v>
                </c:pt>
                <c:pt idx="173" formatCode="0.0">
                  <c:v>877.47</c:v>
                </c:pt>
                <c:pt idx="174" formatCode="0.0">
                  <c:v>882.43</c:v>
                </c:pt>
                <c:pt idx="175" formatCode="0.0">
                  <c:v>887.39</c:v>
                </c:pt>
                <c:pt idx="176" formatCode="0.0">
                  <c:v>892.34</c:v>
                </c:pt>
                <c:pt idx="177" formatCode="0.0">
                  <c:v>897.3</c:v>
                </c:pt>
                <c:pt idx="178" formatCode="0.0">
                  <c:v>902.26</c:v>
                </c:pt>
                <c:pt idx="179" formatCode="0.0">
                  <c:v>907.22</c:v>
                </c:pt>
                <c:pt idx="180" formatCode="0.0">
                  <c:v>912.17</c:v>
                </c:pt>
                <c:pt idx="181" formatCode="0.0">
                  <c:v>917.13</c:v>
                </c:pt>
                <c:pt idx="182" formatCode="0.0">
                  <c:v>922.09</c:v>
                </c:pt>
                <c:pt idx="183" formatCode="0.0">
                  <c:v>927.05</c:v>
                </c:pt>
                <c:pt idx="184" formatCode="0.0">
                  <c:v>932</c:v>
                </c:pt>
                <c:pt idx="185" formatCode="0.0">
                  <c:v>936.96</c:v>
                </c:pt>
                <c:pt idx="186" formatCode="0.0">
                  <c:v>941.92</c:v>
                </c:pt>
                <c:pt idx="187" formatCode="0.0">
                  <c:v>946.88</c:v>
                </c:pt>
                <c:pt idx="188" formatCode="0.0">
                  <c:v>951.83</c:v>
                </c:pt>
                <c:pt idx="189" formatCode="0.0">
                  <c:v>956.79</c:v>
                </c:pt>
                <c:pt idx="190" formatCode="0.0">
                  <c:v>961.75</c:v>
                </c:pt>
                <c:pt idx="191" formatCode="0.0">
                  <c:v>966.71</c:v>
                </c:pt>
                <c:pt idx="192" formatCode="0.0">
                  <c:v>971.66</c:v>
                </c:pt>
                <c:pt idx="193" formatCode="0.0">
                  <c:v>976.62</c:v>
                </c:pt>
                <c:pt idx="194" formatCode="0.0">
                  <c:v>981.58</c:v>
                </c:pt>
                <c:pt idx="195" formatCode="0.0">
                  <c:v>986.54</c:v>
                </c:pt>
                <c:pt idx="196" formatCode="0.0">
                  <c:v>991.5</c:v>
                </c:pt>
                <c:pt idx="197" formatCode="0.0">
                  <c:v>996.45</c:v>
                </c:pt>
                <c:pt idx="198" formatCode="0.0">
                  <c:v>1001.41</c:v>
                </c:pt>
                <c:pt idx="199" formatCode="0.0">
                  <c:v>1006.37</c:v>
                </c:pt>
                <c:pt idx="200" formatCode="0.0">
                  <c:v>1011.32</c:v>
                </c:pt>
                <c:pt idx="201" formatCode="0.0">
                  <c:v>1016.28</c:v>
                </c:pt>
                <c:pt idx="202" formatCode="0.0">
                  <c:v>1021.24</c:v>
                </c:pt>
                <c:pt idx="203" formatCode="0.0">
                  <c:v>1026.2</c:v>
                </c:pt>
                <c:pt idx="204" formatCode="0.0">
                  <c:v>1031.1500000000001</c:v>
                </c:pt>
                <c:pt idx="205" formatCode="0.0">
                  <c:v>1036.1099999999999</c:v>
                </c:pt>
                <c:pt idx="206" formatCode="0.0">
                  <c:v>1041.07</c:v>
                </c:pt>
                <c:pt idx="207" formatCode="0.0">
                  <c:v>1046.03</c:v>
                </c:pt>
                <c:pt idx="208" formatCode="0.0">
                  <c:v>1050.98</c:v>
                </c:pt>
                <c:pt idx="209" formatCode="0.0">
                  <c:v>1055.94</c:v>
                </c:pt>
                <c:pt idx="210" formatCode="0.0">
                  <c:v>1060.9000000000001</c:v>
                </c:pt>
                <c:pt idx="211" formatCode="0.0">
                  <c:v>1065.8499999999999</c:v>
                </c:pt>
                <c:pt idx="212" formatCode="0.0">
                  <c:v>1070.81</c:v>
                </c:pt>
                <c:pt idx="213" formatCode="0.0">
                  <c:v>1075.77</c:v>
                </c:pt>
                <c:pt idx="214" formatCode="0.0">
                  <c:v>1080.73</c:v>
                </c:pt>
                <c:pt idx="215" formatCode="0.0">
                  <c:v>1085.68</c:v>
                </c:pt>
                <c:pt idx="216" formatCode="0.0">
                  <c:v>1090.6400000000001</c:v>
                </c:pt>
                <c:pt idx="217" formatCode="0.0">
                  <c:v>1095.5999999999999</c:v>
                </c:pt>
                <c:pt idx="218" formatCode="0.0">
                  <c:v>1100.56</c:v>
                </c:pt>
                <c:pt idx="219" formatCode="0.0">
                  <c:v>1105.51</c:v>
                </c:pt>
                <c:pt idx="220" formatCode="0.0">
                  <c:v>1110.28</c:v>
                </c:pt>
                <c:pt idx="221" formatCode="0.0">
                  <c:v>1114.8599999999999</c:v>
                </c:pt>
                <c:pt idx="222" formatCode="0.0">
                  <c:v>1119.44</c:v>
                </c:pt>
                <c:pt idx="223" formatCode="0.0">
                  <c:v>1124.03</c:v>
                </c:pt>
                <c:pt idx="224" formatCode="0.0">
                  <c:v>1128.6199999999999</c:v>
                </c:pt>
                <c:pt idx="225" formatCode="0.0">
                  <c:v>1133.22</c:v>
                </c:pt>
                <c:pt idx="226" formatCode="0.0">
                  <c:v>1137.81</c:v>
                </c:pt>
                <c:pt idx="227" formatCode="0.0">
                  <c:v>1142.4100000000001</c:v>
                </c:pt>
                <c:pt idx="228" formatCode="0.0">
                  <c:v>1147</c:v>
                </c:pt>
                <c:pt idx="229" formatCode="0.0">
                  <c:v>1151.5999999999999</c:v>
                </c:pt>
                <c:pt idx="230" formatCode="0.0">
                  <c:v>1156.19</c:v>
                </c:pt>
                <c:pt idx="231" formatCode="0.0">
                  <c:v>1160.78</c:v>
                </c:pt>
                <c:pt idx="232" formatCode="0.0">
                  <c:v>1165.3800000000001</c:v>
                </c:pt>
                <c:pt idx="233" formatCode="0.0">
                  <c:v>1169.97</c:v>
                </c:pt>
                <c:pt idx="234" formatCode="0.0">
                  <c:v>1174.57</c:v>
                </c:pt>
                <c:pt idx="235" formatCode="0.0">
                  <c:v>1179.1600000000001</c:v>
                </c:pt>
                <c:pt idx="236" formatCode="0.0">
                  <c:v>1183.76</c:v>
                </c:pt>
                <c:pt idx="237" formatCode="0.0">
                  <c:v>1188.3499999999999</c:v>
                </c:pt>
                <c:pt idx="238" formatCode="0.0">
                  <c:v>1192.94</c:v>
                </c:pt>
                <c:pt idx="239" formatCode="0.0">
                  <c:v>1197.54</c:v>
                </c:pt>
                <c:pt idx="240" formatCode="0.0">
                  <c:v>1202.1300000000001</c:v>
                </c:pt>
                <c:pt idx="241" formatCode="0.0">
                  <c:v>1206.73</c:v>
                </c:pt>
                <c:pt idx="242" formatCode="0.0">
                  <c:v>1211.32</c:v>
                </c:pt>
                <c:pt idx="243" formatCode="0.0">
                  <c:v>1215.92</c:v>
                </c:pt>
                <c:pt idx="244" formatCode="0.0">
                  <c:v>1220.47</c:v>
                </c:pt>
                <c:pt idx="245" formatCode="0.0">
                  <c:v>1224.6500000000001</c:v>
                </c:pt>
                <c:pt idx="246" formatCode="0.0">
                  <c:v>1228.83</c:v>
                </c:pt>
                <c:pt idx="247" formatCode="0.0">
                  <c:v>1233.02</c:v>
                </c:pt>
                <c:pt idx="248" formatCode="0.0">
                  <c:v>1237.2</c:v>
                </c:pt>
                <c:pt idx="249" formatCode="0.0">
                  <c:v>1241.3900000000001</c:v>
                </c:pt>
                <c:pt idx="250" formatCode="0.0">
                  <c:v>1245.57</c:v>
                </c:pt>
                <c:pt idx="251" formatCode="0.0">
                  <c:v>1249.76</c:v>
                </c:pt>
                <c:pt idx="252" formatCode="0.0">
                  <c:v>1253.94</c:v>
                </c:pt>
                <c:pt idx="253" formatCode="0.0">
                  <c:v>1258.1199999999999</c:v>
                </c:pt>
                <c:pt idx="254" formatCode="0.0">
                  <c:v>1262.31</c:v>
                </c:pt>
                <c:pt idx="255" formatCode="0.0">
                  <c:v>1266.49</c:v>
                </c:pt>
                <c:pt idx="256" formatCode="0.0">
                  <c:v>1270.68</c:v>
                </c:pt>
                <c:pt idx="257" formatCode="0.0">
                  <c:v>1274.8599999999999</c:v>
                </c:pt>
                <c:pt idx="258" formatCode="0.0">
                  <c:v>1279.05</c:v>
                </c:pt>
                <c:pt idx="259" formatCode="0.0">
                  <c:v>1283.23</c:v>
                </c:pt>
                <c:pt idx="260" formatCode="0.0">
                  <c:v>1287.4100000000001</c:v>
                </c:pt>
                <c:pt idx="261" formatCode="0.0">
                  <c:v>1291.5999999999999</c:v>
                </c:pt>
                <c:pt idx="262" formatCode="0.0">
                  <c:v>1295.78</c:v>
                </c:pt>
                <c:pt idx="263" formatCode="0.0">
                  <c:v>1299.97</c:v>
                </c:pt>
                <c:pt idx="264" formatCode="0.0">
                  <c:v>1304.1500000000001</c:v>
                </c:pt>
                <c:pt idx="265" formatCode="0.0">
                  <c:v>1308.33</c:v>
                </c:pt>
                <c:pt idx="266" formatCode="0.0">
                  <c:v>1312.52</c:v>
                </c:pt>
                <c:pt idx="267" formatCode="0.0">
                  <c:v>1316.7</c:v>
                </c:pt>
                <c:pt idx="268" formatCode="0.0">
                  <c:v>1320.88</c:v>
                </c:pt>
                <c:pt idx="269" formatCode="0.0">
                  <c:v>1325.06</c:v>
                </c:pt>
                <c:pt idx="270" formatCode="0.0">
                  <c:v>1329.23</c:v>
                </c:pt>
                <c:pt idx="271" formatCode="0.0">
                  <c:v>1333.4</c:v>
                </c:pt>
                <c:pt idx="272" formatCode="0.0">
                  <c:v>1337.58</c:v>
                </c:pt>
                <c:pt idx="273" formatCode="0.0">
                  <c:v>1341.75</c:v>
                </c:pt>
                <c:pt idx="274" formatCode="0.0">
                  <c:v>1345.91</c:v>
                </c:pt>
                <c:pt idx="275" formatCode="0.0">
                  <c:v>1350.08</c:v>
                </c:pt>
                <c:pt idx="276" formatCode="0.0">
                  <c:v>1354.25</c:v>
                </c:pt>
                <c:pt idx="277" formatCode="0.0">
                  <c:v>1358.41</c:v>
                </c:pt>
                <c:pt idx="278" formatCode="0.0">
                  <c:v>1362.58</c:v>
                </c:pt>
                <c:pt idx="279" formatCode="0.0">
                  <c:v>1366.74</c:v>
                </c:pt>
                <c:pt idx="280" formatCode="0.0">
                  <c:v>1370.89</c:v>
                </c:pt>
                <c:pt idx="281" formatCode="0.0">
                  <c:v>1375.04</c:v>
                </c:pt>
                <c:pt idx="282" formatCode="0.0">
                  <c:v>1379.19</c:v>
                </c:pt>
                <c:pt idx="283" formatCode="0.0">
                  <c:v>1383.35</c:v>
                </c:pt>
                <c:pt idx="284" formatCode="0.0">
                  <c:v>1387.5</c:v>
                </c:pt>
                <c:pt idx="285" formatCode="0.0">
                  <c:v>1391.64</c:v>
                </c:pt>
                <c:pt idx="286" formatCode="0.0">
                  <c:v>1395.78</c:v>
                </c:pt>
                <c:pt idx="287" formatCode="0.0">
                  <c:v>1399.91</c:v>
                </c:pt>
                <c:pt idx="288" formatCode="0.0">
                  <c:v>1404.05</c:v>
                </c:pt>
                <c:pt idx="289" formatCode="0.0">
                  <c:v>1408.19</c:v>
                </c:pt>
                <c:pt idx="290" formatCode="0.0">
                  <c:v>1412.32</c:v>
                </c:pt>
                <c:pt idx="291" formatCode="0.0">
                  <c:v>1416.45</c:v>
                </c:pt>
                <c:pt idx="292" formatCode="0.0">
                  <c:v>1420.56</c:v>
                </c:pt>
                <c:pt idx="293" formatCode="0.0">
                  <c:v>1424.63</c:v>
                </c:pt>
                <c:pt idx="294" formatCode="0.0">
                  <c:v>1428.7</c:v>
                </c:pt>
                <c:pt idx="295" formatCode="0.0">
                  <c:v>1432.77</c:v>
                </c:pt>
                <c:pt idx="296" formatCode="0.0">
                  <c:v>1436.84</c:v>
                </c:pt>
                <c:pt idx="297" formatCode="0.0">
                  <c:v>1440.89</c:v>
                </c:pt>
                <c:pt idx="298" formatCode="0.0">
                  <c:v>1444.93</c:v>
                </c:pt>
                <c:pt idx="299" formatCode="0.0">
                  <c:v>1448.97</c:v>
                </c:pt>
                <c:pt idx="300" formatCode="0.0">
                  <c:v>1453.01</c:v>
                </c:pt>
                <c:pt idx="301" formatCode="0.0">
                  <c:v>1457.05</c:v>
                </c:pt>
                <c:pt idx="302" formatCode="0.0">
                  <c:v>1461.09</c:v>
                </c:pt>
                <c:pt idx="303" formatCode="0.0">
                  <c:v>1465.12</c:v>
                </c:pt>
                <c:pt idx="304" formatCode="0.0">
                  <c:v>1469.12</c:v>
                </c:pt>
                <c:pt idx="305" formatCode="0.0">
                  <c:v>1473.13</c:v>
                </c:pt>
                <c:pt idx="306" formatCode="0.0">
                  <c:v>1477.13</c:v>
                </c:pt>
                <c:pt idx="307" formatCode="0.0">
                  <c:v>1481.13</c:v>
                </c:pt>
                <c:pt idx="308" formatCode="0.0">
                  <c:v>1485.14</c:v>
                </c:pt>
                <c:pt idx="309" formatCode="0.0">
                  <c:v>1489.14</c:v>
                </c:pt>
                <c:pt idx="310" formatCode="0.0">
                  <c:v>1493.11</c:v>
                </c:pt>
                <c:pt idx="311" formatCode="0.0">
                  <c:v>1497.07</c:v>
                </c:pt>
                <c:pt idx="312" formatCode="0.0">
                  <c:v>1501.04</c:v>
                </c:pt>
                <c:pt idx="313" formatCode="0.0">
                  <c:v>1505.01</c:v>
                </c:pt>
                <c:pt idx="314" formatCode="0.0">
                  <c:v>1508.98</c:v>
                </c:pt>
                <c:pt idx="315" formatCode="0.0">
                  <c:v>1512.95</c:v>
                </c:pt>
                <c:pt idx="316" formatCode="0.0">
                  <c:v>1516.89</c:v>
                </c:pt>
                <c:pt idx="317" formatCode="0.0">
                  <c:v>1520.8</c:v>
                </c:pt>
                <c:pt idx="318" formatCode="0.0">
                  <c:v>1524.57</c:v>
                </c:pt>
                <c:pt idx="319" formatCode="0.0">
                  <c:v>1528.33</c:v>
                </c:pt>
                <c:pt idx="320" formatCode="0.0">
                  <c:v>1532.09</c:v>
                </c:pt>
                <c:pt idx="321" formatCode="0.0">
                  <c:v>1535.86</c:v>
                </c:pt>
                <c:pt idx="322" formatCode="0.0">
                  <c:v>1539.62</c:v>
                </c:pt>
                <c:pt idx="323" formatCode="0.0">
                  <c:v>1543.37</c:v>
                </c:pt>
                <c:pt idx="324" formatCode="0.0">
                  <c:v>1547.13</c:v>
                </c:pt>
                <c:pt idx="325" formatCode="0.0">
                  <c:v>1550.89</c:v>
                </c:pt>
                <c:pt idx="326" formatCode="0.0">
                  <c:v>1554.64</c:v>
                </c:pt>
                <c:pt idx="327" formatCode="0.0">
                  <c:v>1558.4</c:v>
                </c:pt>
                <c:pt idx="328" formatCode="0.0">
                  <c:v>1562.14</c:v>
                </c:pt>
                <c:pt idx="329" formatCode="0.0">
                  <c:v>1565.88</c:v>
                </c:pt>
                <c:pt idx="330" formatCode="0.0">
                  <c:v>1569.61</c:v>
                </c:pt>
                <c:pt idx="331" formatCode="0.0">
                  <c:v>1573.35</c:v>
                </c:pt>
                <c:pt idx="332" formatCode="0.0">
                  <c:v>1577.08</c:v>
                </c:pt>
                <c:pt idx="333" formatCode="0.0">
                  <c:v>1580.82</c:v>
                </c:pt>
                <c:pt idx="334" formatCode="0.0">
                  <c:v>1584.52</c:v>
                </c:pt>
                <c:pt idx="335" formatCode="0.0">
                  <c:v>1588.21</c:v>
                </c:pt>
                <c:pt idx="336" formatCode="0.0">
                  <c:v>1591.9</c:v>
                </c:pt>
                <c:pt idx="337" formatCode="0.0">
                  <c:v>1595.59</c:v>
                </c:pt>
                <c:pt idx="338" formatCode="0.0">
                  <c:v>1599.29</c:v>
                </c:pt>
                <c:pt idx="339" formatCode="0.0">
                  <c:v>1602.98</c:v>
                </c:pt>
                <c:pt idx="340" formatCode="0.0">
                  <c:v>1606.64</c:v>
                </c:pt>
                <c:pt idx="341" formatCode="0.0">
                  <c:v>1610.28</c:v>
                </c:pt>
                <c:pt idx="342" formatCode="0.0">
                  <c:v>1613.93</c:v>
                </c:pt>
                <c:pt idx="343" formatCode="0.0">
                  <c:v>1617.57</c:v>
                </c:pt>
                <c:pt idx="344" formatCode="0.0">
                  <c:v>1621.14</c:v>
                </c:pt>
                <c:pt idx="345" formatCode="0.0">
                  <c:v>1624.56</c:v>
                </c:pt>
                <c:pt idx="346" formatCode="0.0">
                  <c:v>1627.97</c:v>
                </c:pt>
                <c:pt idx="347" formatCode="0.0">
                  <c:v>1631.38</c:v>
                </c:pt>
                <c:pt idx="348" formatCode="0.0">
                  <c:v>1634.78</c:v>
                </c:pt>
                <c:pt idx="349" formatCode="0.0">
                  <c:v>1638.19</c:v>
                </c:pt>
                <c:pt idx="350" formatCode="0.0">
                  <c:v>1641.59</c:v>
                </c:pt>
                <c:pt idx="351" formatCode="0.0">
                  <c:v>1645</c:v>
                </c:pt>
                <c:pt idx="352" formatCode="0.0">
                  <c:v>1648.41</c:v>
                </c:pt>
                <c:pt idx="353" formatCode="0.0">
                  <c:v>1651.83</c:v>
                </c:pt>
                <c:pt idx="354" formatCode="0.0">
                  <c:v>1655.26</c:v>
                </c:pt>
                <c:pt idx="355" formatCode="0.0">
                  <c:v>1658.69</c:v>
                </c:pt>
                <c:pt idx="356" formatCode="0.0">
                  <c:v>1662.11</c:v>
                </c:pt>
                <c:pt idx="357" formatCode="0.0">
                  <c:v>1665.54</c:v>
                </c:pt>
                <c:pt idx="358" formatCode="0.0">
                  <c:v>1668.97</c:v>
                </c:pt>
                <c:pt idx="359" formatCode="0.0">
                  <c:v>1672.41</c:v>
                </c:pt>
                <c:pt idx="360" formatCode="0.0">
                  <c:v>1675.86</c:v>
                </c:pt>
                <c:pt idx="361" formatCode="0.0">
                  <c:v>1679.3</c:v>
                </c:pt>
                <c:pt idx="362" formatCode="0.0">
                  <c:v>1682.74</c:v>
                </c:pt>
                <c:pt idx="363" formatCode="0.0">
                  <c:v>1686.19</c:v>
                </c:pt>
                <c:pt idx="364" formatCode="0.0">
                  <c:v>1689.63</c:v>
                </c:pt>
                <c:pt idx="365" formatCode="0.0">
                  <c:v>1693.07</c:v>
                </c:pt>
                <c:pt idx="366" formatCode="0.0">
                  <c:v>1696.52</c:v>
                </c:pt>
                <c:pt idx="367" formatCode="0.0">
                  <c:v>1699.96</c:v>
                </c:pt>
                <c:pt idx="368" formatCode="0.0">
                  <c:v>1703.4</c:v>
                </c:pt>
                <c:pt idx="369" formatCode="0.0">
                  <c:v>1706.85</c:v>
                </c:pt>
                <c:pt idx="370" formatCode="0.0">
                  <c:v>1710.29</c:v>
                </c:pt>
                <c:pt idx="371" formatCode="0.0">
                  <c:v>1713.72</c:v>
                </c:pt>
                <c:pt idx="372" formatCode="0.0">
                  <c:v>1717.15</c:v>
                </c:pt>
                <c:pt idx="373" formatCode="0.0">
                  <c:v>1720.48</c:v>
                </c:pt>
                <c:pt idx="374" formatCode="0.0">
                  <c:v>1723.31</c:v>
                </c:pt>
                <c:pt idx="375" formatCode="0.0">
                  <c:v>1726.14</c:v>
                </c:pt>
                <c:pt idx="376" formatCode="0.0">
                  <c:v>1728.98</c:v>
                </c:pt>
                <c:pt idx="377" formatCode="0.0">
                  <c:v>1731.79</c:v>
                </c:pt>
                <c:pt idx="378" formatCode="0.0">
                  <c:v>1734.61</c:v>
                </c:pt>
                <c:pt idx="379" formatCode="0.0">
                  <c:v>1737.43</c:v>
                </c:pt>
                <c:pt idx="380" formatCode="0.0">
                  <c:v>1740.24</c:v>
                </c:pt>
                <c:pt idx="381" formatCode="0.0">
                  <c:v>1743.06</c:v>
                </c:pt>
                <c:pt idx="382" formatCode="0.0">
                  <c:v>1745.88</c:v>
                </c:pt>
                <c:pt idx="383" formatCode="0.0">
                  <c:v>1748.69</c:v>
                </c:pt>
                <c:pt idx="384" formatCode="0.0">
                  <c:v>1751.49</c:v>
                </c:pt>
                <c:pt idx="385" formatCode="0.0">
                  <c:v>1754.3</c:v>
                </c:pt>
                <c:pt idx="386" formatCode="0.0">
                  <c:v>1757.11</c:v>
                </c:pt>
                <c:pt idx="387" formatCode="0.0">
                  <c:v>1759.91</c:v>
                </c:pt>
                <c:pt idx="388" formatCode="0.0">
                  <c:v>1762.72</c:v>
                </c:pt>
                <c:pt idx="389" formatCode="0.0">
                  <c:v>1765.53</c:v>
                </c:pt>
                <c:pt idx="390" formatCode="0.0">
                  <c:v>1768.33</c:v>
                </c:pt>
                <c:pt idx="391" formatCode="0.0">
                  <c:v>1771.14</c:v>
                </c:pt>
                <c:pt idx="392" formatCode="0.0">
                  <c:v>1773.95</c:v>
                </c:pt>
                <c:pt idx="393" formatCode="0.0">
                  <c:v>1776.75</c:v>
                </c:pt>
                <c:pt idx="394" formatCode="0.0">
                  <c:v>1779.56</c:v>
                </c:pt>
                <c:pt idx="395" formatCode="0.0">
                  <c:v>1782.37</c:v>
                </c:pt>
                <c:pt idx="396" formatCode="0.0">
                  <c:v>1785.18</c:v>
                </c:pt>
                <c:pt idx="397" formatCode="0.0">
                  <c:v>1787.99</c:v>
                </c:pt>
                <c:pt idx="398" formatCode="0.0">
                  <c:v>1790.8</c:v>
                </c:pt>
                <c:pt idx="399" formatCode="0.0">
                  <c:v>1793.61</c:v>
                </c:pt>
                <c:pt idx="400" formatCode="0.0">
                  <c:v>1796.42</c:v>
                </c:pt>
                <c:pt idx="401" formatCode="0.0">
                  <c:v>1799.23</c:v>
                </c:pt>
                <c:pt idx="402" formatCode="0.0">
                  <c:v>1802.04</c:v>
                </c:pt>
                <c:pt idx="403" formatCode="0.0">
                  <c:v>1804.85</c:v>
                </c:pt>
                <c:pt idx="404" formatCode="0.0">
                  <c:v>1807.66</c:v>
                </c:pt>
                <c:pt idx="405" formatCode="0.0">
                  <c:v>1810.48</c:v>
                </c:pt>
                <c:pt idx="406" formatCode="0.0">
                  <c:v>1813.29</c:v>
                </c:pt>
                <c:pt idx="407" formatCode="0.0">
                  <c:v>1816.1</c:v>
                </c:pt>
                <c:pt idx="408" formatCode="0.0">
                  <c:v>1818.92</c:v>
                </c:pt>
                <c:pt idx="409" formatCode="0.0">
                  <c:v>1821.94</c:v>
                </c:pt>
                <c:pt idx="410" formatCode="0.0">
                  <c:v>1825.08</c:v>
                </c:pt>
                <c:pt idx="411" formatCode="0.0">
                  <c:v>1828.23</c:v>
                </c:pt>
                <c:pt idx="412" formatCode="0.0">
                  <c:v>1831.37</c:v>
                </c:pt>
                <c:pt idx="413" formatCode="0.0">
                  <c:v>1834.51</c:v>
                </c:pt>
                <c:pt idx="414" formatCode="0.0">
                  <c:v>1837.66</c:v>
                </c:pt>
                <c:pt idx="415" formatCode="0.0">
                  <c:v>1840.8</c:v>
                </c:pt>
                <c:pt idx="416" formatCode="0.0">
                  <c:v>1843.94</c:v>
                </c:pt>
                <c:pt idx="417" formatCode="0.0">
                  <c:v>1847.08</c:v>
                </c:pt>
                <c:pt idx="418" formatCode="0.0">
                  <c:v>1850.22</c:v>
                </c:pt>
                <c:pt idx="419" formatCode="0.0">
                  <c:v>1853.36</c:v>
                </c:pt>
                <c:pt idx="420" formatCode="0.0">
                  <c:v>1856.49</c:v>
                </c:pt>
                <c:pt idx="421" formatCode="0.0">
                  <c:v>1859.63</c:v>
                </c:pt>
                <c:pt idx="422" formatCode="0.0">
                  <c:v>1862.76</c:v>
                </c:pt>
                <c:pt idx="423" formatCode="0.0">
                  <c:v>1865.89</c:v>
                </c:pt>
                <c:pt idx="424" formatCode="0.0">
                  <c:v>1869.02</c:v>
                </c:pt>
                <c:pt idx="425" formatCode="0.0">
                  <c:v>1872.16</c:v>
                </c:pt>
                <c:pt idx="426" formatCode="0.0">
                  <c:v>1875.3</c:v>
                </c:pt>
                <c:pt idx="427" formatCode="0.0">
                  <c:v>1878.45</c:v>
                </c:pt>
                <c:pt idx="428" formatCode="0.0">
                  <c:v>1881.59</c:v>
                </c:pt>
                <c:pt idx="429" formatCode="0.0">
                  <c:v>1884.74</c:v>
                </c:pt>
                <c:pt idx="430" formatCode="0.0">
                  <c:v>1887.88</c:v>
                </c:pt>
                <c:pt idx="431" formatCode="0.0">
                  <c:v>1891.03</c:v>
                </c:pt>
                <c:pt idx="432" formatCode="0.0">
                  <c:v>1894.2</c:v>
                </c:pt>
                <c:pt idx="433" formatCode="0.0">
                  <c:v>1897.36</c:v>
                </c:pt>
                <c:pt idx="434" formatCode="0.0">
                  <c:v>1900.53</c:v>
                </c:pt>
                <c:pt idx="435" formatCode="0.0">
                  <c:v>1903.7</c:v>
                </c:pt>
                <c:pt idx="436" formatCode="0.0">
                  <c:v>1906.86</c:v>
                </c:pt>
                <c:pt idx="437" formatCode="0.0">
                  <c:v>1910.03</c:v>
                </c:pt>
                <c:pt idx="438" formatCode="0.0">
                  <c:v>1913.2</c:v>
                </c:pt>
                <c:pt idx="439" formatCode="0.0">
                  <c:v>1916.37</c:v>
                </c:pt>
                <c:pt idx="440" formatCode="0.0">
                  <c:v>1919.54</c:v>
                </c:pt>
                <c:pt idx="441" formatCode="0.0">
                  <c:v>1922.88</c:v>
                </c:pt>
                <c:pt idx="442" formatCode="0.0">
                  <c:v>1926.25</c:v>
                </c:pt>
                <c:pt idx="443" formatCode="0.0">
                  <c:v>1929.62</c:v>
                </c:pt>
                <c:pt idx="444" formatCode="0.0">
                  <c:v>1932.99</c:v>
                </c:pt>
                <c:pt idx="445" formatCode="0.0">
                  <c:v>1936.37</c:v>
                </c:pt>
                <c:pt idx="446" formatCode="0.0">
                  <c:v>1939.74</c:v>
                </c:pt>
                <c:pt idx="447" formatCode="0.0">
                  <c:v>1943.11</c:v>
                </c:pt>
                <c:pt idx="448" formatCode="0.0">
                  <c:v>1946.49</c:v>
                </c:pt>
                <c:pt idx="449" formatCode="0.0">
                  <c:v>1949.86</c:v>
                </c:pt>
                <c:pt idx="450" formatCode="0.0">
                  <c:v>1953.24</c:v>
                </c:pt>
                <c:pt idx="451" formatCode="0.0">
                  <c:v>1956.61</c:v>
                </c:pt>
                <c:pt idx="452" formatCode="0.0">
                  <c:v>1959.99</c:v>
                </c:pt>
                <c:pt idx="453" formatCode="0.0">
                  <c:v>1963.36</c:v>
                </c:pt>
                <c:pt idx="454" formatCode="0.0">
                  <c:v>1966.74</c:v>
                </c:pt>
                <c:pt idx="455" formatCode="0.0">
                  <c:v>1970.12</c:v>
                </c:pt>
                <c:pt idx="456" formatCode="0.0">
                  <c:v>1973.48</c:v>
                </c:pt>
                <c:pt idx="457" formatCode="0.0">
                  <c:v>1976.85</c:v>
                </c:pt>
                <c:pt idx="458" formatCode="0.0">
                  <c:v>1980.21</c:v>
                </c:pt>
                <c:pt idx="459" formatCode="0.0">
                  <c:v>1983.58</c:v>
                </c:pt>
                <c:pt idx="460" formatCode="0.0">
                  <c:v>1986.94</c:v>
                </c:pt>
                <c:pt idx="461" formatCode="0.0">
                  <c:v>1990.31</c:v>
                </c:pt>
                <c:pt idx="462" formatCode="0.0">
                  <c:v>1993.67</c:v>
                </c:pt>
                <c:pt idx="463" formatCode="0.0">
                  <c:v>1997.02</c:v>
                </c:pt>
                <c:pt idx="464" formatCode="0.0">
                  <c:v>2000.38</c:v>
                </c:pt>
                <c:pt idx="465" formatCode="0.0">
                  <c:v>2003.73</c:v>
                </c:pt>
                <c:pt idx="466" formatCode="0.0">
                  <c:v>2007.09</c:v>
                </c:pt>
                <c:pt idx="467" formatCode="0.0">
                  <c:v>2010.45</c:v>
                </c:pt>
                <c:pt idx="468" formatCode="0.0">
                  <c:v>2013.8</c:v>
                </c:pt>
                <c:pt idx="469" formatCode="0.0">
                  <c:v>2017.16</c:v>
                </c:pt>
                <c:pt idx="470" formatCode="0.0">
                  <c:v>2020.48</c:v>
                </c:pt>
                <c:pt idx="471" formatCode="0.0">
                  <c:v>2023.65</c:v>
                </c:pt>
                <c:pt idx="472" formatCode="0.0">
                  <c:v>2026.81</c:v>
                </c:pt>
                <c:pt idx="473" formatCode="0.0">
                  <c:v>2029.97</c:v>
                </c:pt>
                <c:pt idx="474" formatCode="0.0">
                  <c:v>2033.13</c:v>
                </c:pt>
                <c:pt idx="475" formatCode="0.0">
                  <c:v>2036.29</c:v>
                </c:pt>
                <c:pt idx="476" formatCode="0.0">
                  <c:v>2039.45</c:v>
                </c:pt>
                <c:pt idx="477" formatCode="0.0">
                  <c:v>2042.61</c:v>
                </c:pt>
                <c:pt idx="478" formatCode="0.0">
                  <c:v>2045.77</c:v>
                </c:pt>
                <c:pt idx="479" formatCode="0.0">
                  <c:v>2048.9299999999998</c:v>
                </c:pt>
                <c:pt idx="480" formatCode="0.0">
                  <c:v>2052.09</c:v>
                </c:pt>
                <c:pt idx="481" formatCode="0.0">
                  <c:v>2055.25</c:v>
                </c:pt>
                <c:pt idx="482" formatCode="0.0">
                  <c:v>2058.41</c:v>
                </c:pt>
                <c:pt idx="483" formatCode="0.0">
                  <c:v>2061.5700000000002</c:v>
                </c:pt>
                <c:pt idx="484" formatCode="0.0">
                  <c:v>2064.73</c:v>
                </c:pt>
                <c:pt idx="485" formatCode="0.0">
                  <c:v>2067.88</c:v>
                </c:pt>
                <c:pt idx="486" formatCode="0.0">
                  <c:v>2071.04</c:v>
                </c:pt>
                <c:pt idx="487" formatCode="0.0">
                  <c:v>2074.1999999999998</c:v>
                </c:pt>
                <c:pt idx="488" formatCode="0.0">
                  <c:v>2077.36</c:v>
                </c:pt>
                <c:pt idx="489" formatCode="0.0">
                  <c:v>2080.52</c:v>
                </c:pt>
                <c:pt idx="490" formatCode="0.0">
                  <c:v>2083.6799999999998</c:v>
                </c:pt>
                <c:pt idx="491" formatCode="0.0">
                  <c:v>2086.83</c:v>
                </c:pt>
                <c:pt idx="492" formatCode="0.0">
                  <c:v>2089.9899999999998</c:v>
                </c:pt>
                <c:pt idx="493" formatCode="0.0">
                  <c:v>2093.14</c:v>
                </c:pt>
                <c:pt idx="494" formatCode="0.0">
                  <c:v>2096.3000000000002</c:v>
                </c:pt>
                <c:pt idx="495" formatCode="0.0">
                  <c:v>2099.4499999999998</c:v>
                </c:pt>
                <c:pt idx="496" formatCode="0.0">
                  <c:v>2102.6</c:v>
                </c:pt>
                <c:pt idx="497" formatCode="0.0">
                  <c:v>2105.7600000000002</c:v>
                </c:pt>
                <c:pt idx="498" formatCode="0.0">
                  <c:v>2108.91</c:v>
                </c:pt>
                <c:pt idx="499" formatCode="0.0">
                  <c:v>2112.0500000000002</c:v>
                </c:pt>
                <c:pt idx="500" formatCode="0.0">
                  <c:v>2115.19</c:v>
                </c:pt>
                <c:pt idx="501" formatCode="0.0">
                  <c:v>2118.33</c:v>
                </c:pt>
                <c:pt idx="502" formatCode="0.0">
                  <c:v>2121.5</c:v>
                </c:pt>
                <c:pt idx="503" formatCode="0.0">
                  <c:v>2124.6999999999998</c:v>
                </c:pt>
                <c:pt idx="504" formatCode="0.0">
                  <c:v>2127.9</c:v>
                </c:pt>
                <c:pt idx="505" formatCode="0.0">
                  <c:v>2131.1</c:v>
                </c:pt>
                <c:pt idx="506" formatCode="0.0">
                  <c:v>2134.3000000000002</c:v>
                </c:pt>
                <c:pt idx="507" formatCode="0.0">
                  <c:v>2137.5</c:v>
                </c:pt>
                <c:pt idx="508" formatCode="0.0">
                  <c:v>2140.6999999999998</c:v>
                </c:pt>
                <c:pt idx="509" formatCode="0.0">
                  <c:v>2143.89</c:v>
                </c:pt>
                <c:pt idx="510" formatCode="0.0">
                  <c:v>2147.09</c:v>
                </c:pt>
                <c:pt idx="511" formatCode="0.0">
                  <c:v>2150.29</c:v>
                </c:pt>
                <c:pt idx="512" formatCode="0.0">
                  <c:v>2153.48</c:v>
                </c:pt>
                <c:pt idx="513" formatCode="0.0">
                  <c:v>2156.67</c:v>
                </c:pt>
                <c:pt idx="514" formatCode="0.0">
                  <c:v>2159.86</c:v>
                </c:pt>
                <c:pt idx="515" formatCode="0.0">
                  <c:v>2163.0500000000002</c:v>
                </c:pt>
                <c:pt idx="516" formatCode="0.0">
                  <c:v>2166.25</c:v>
                </c:pt>
                <c:pt idx="517" formatCode="0.0">
                  <c:v>2169.4299999999998</c:v>
                </c:pt>
                <c:pt idx="518" formatCode="0.0">
                  <c:v>2172.62</c:v>
                </c:pt>
                <c:pt idx="519" formatCode="0.0">
                  <c:v>2175.8000000000002</c:v>
                </c:pt>
                <c:pt idx="520" formatCode="0.0">
                  <c:v>2178.98</c:v>
                </c:pt>
                <c:pt idx="521" formatCode="0.0">
                  <c:v>2182.17</c:v>
                </c:pt>
                <c:pt idx="522" formatCode="0.0">
                  <c:v>2185.35</c:v>
                </c:pt>
                <c:pt idx="523" formatCode="0.0">
                  <c:v>2188.5300000000002</c:v>
                </c:pt>
                <c:pt idx="524" formatCode="0.0">
                  <c:v>2191.71</c:v>
                </c:pt>
                <c:pt idx="525" formatCode="0.0">
                  <c:v>2194.88</c:v>
                </c:pt>
                <c:pt idx="526" formatCode="0.0">
                  <c:v>2198.06</c:v>
                </c:pt>
                <c:pt idx="527" formatCode="0.0">
                  <c:v>2201.2399999999998</c:v>
                </c:pt>
                <c:pt idx="528" formatCode="0.0">
                  <c:v>2204.42</c:v>
                </c:pt>
                <c:pt idx="529" formatCode="0.0">
                  <c:v>2207.59</c:v>
                </c:pt>
                <c:pt idx="530" formatCode="0.0">
                  <c:v>2210.77</c:v>
                </c:pt>
                <c:pt idx="531" formatCode="0.0">
                  <c:v>2213.94</c:v>
                </c:pt>
                <c:pt idx="532" formatCode="0.0">
                  <c:v>2217.12</c:v>
                </c:pt>
                <c:pt idx="533" formatCode="0.0">
                  <c:v>2220.2800000000002</c:v>
                </c:pt>
                <c:pt idx="534" formatCode="0.0">
                  <c:v>2223.39</c:v>
                </c:pt>
                <c:pt idx="535" formatCode="0.0">
                  <c:v>2226.5</c:v>
                </c:pt>
                <c:pt idx="536" formatCode="0.0">
                  <c:v>2229.62</c:v>
                </c:pt>
                <c:pt idx="537" formatCode="0.0">
                  <c:v>2232.73</c:v>
                </c:pt>
                <c:pt idx="538" formatCode="0.0">
                  <c:v>2235.85</c:v>
                </c:pt>
                <c:pt idx="539" formatCode="0.0">
                  <c:v>2238.96</c:v>
                </c:pt>
                <c:pt idx="540" formatCode="0.0">
                  <c:v>2242.08</c:v>
                </c:pt>
                <c:pt idx="541" formatCode="0.0">
                  <c:v>2245.19</c:v>
                </c:pt>
                <c:pt idx="542" formatCode="0.0">
                  <c:v>2248.31</c:v>
                </c:pt>
                <c:pt idx="543" formatCode="0.0">
                  <c:v>2251.42</c:v>
                </c:pt>
                <c:pt idx="544" formatCode="0.0">
                  <c:v>2254.54</c:v>
                </c:pt>
                <c:pt idx="545" formatCode="0.0">
                  <c:v>2257.65</c:v>
                </c:pt>
                <c:pt idx="546" formatCode="0.0">
                  <c:v>2260.77</c:v>
                </c:pt>
                <c:pt idx="547" formatCode="0.0">
                  <c:v>2263.88</c:v>
                </c:pt>
                <c:pt idx="548" formatCode="0.0">
                  <c:v>2266.9899999999998</c:v>
                </c:pt>
                <c:pt idx="549" formatCode="0.0">
                  <c:v>2270.09</c:v>
                </c:pt>
                <c:pt idx="550" formatCode="0.0">
                  <c:v>2273.1999999999998</c:v>
                </c:pt>
                <c:pt idx="551" formatCode="0.0">
                  <c:v>2276.31</c:v>
                </c:pt>
                <c:pt idx="552" formatCode="0.0">
                  <c:v>2279.42</c:v>
                </c:pt>
                <c:pt idx="553" formatCode="0.0">
                  <c:v>2282.5300000000002</c:v>
                </c:pt>
                <c:pt idx="554" formatCode="0.0">
                  <c:v>2285.63</c:v>
                </c:pt>
                <c:pt idx="555" formatCode="0.0">
                  <c:v>2289.62</c:v>
                </c:pt>
                <c:pt idx="556" formatCode="0.0">
                  <c:v>2293.63</c:v>
                </c:pt>
                <c:pt idx="557" formatCode="0.0">
                  <c:v>2297.64</c:v>
                </c:pt>
                <c:pt idx="558" formatCode="0.0">
                  <c:v>2301.65</c:v>
                </c:pt>
                <c:pt idx="559" formatCode="0.0">
                  <c:v>2305.66</c:v>
                </c:pt>
                <c:pt idx="560" formatCode="0.0">
                  <c:v>2309.66</c:v>
                </c:pt>
                <c:pt idx="561" formatCode="0.0">
                  <c:v>2313.66</c:v>
                </c:pt>
                <c:pt idx="562" formatCode="0.0">
                  <c:v>2317.66</c:v>
                </c:pt>
                <c:pt idx="563" formatCode="0.0">
                  <c:v>2321.66</c:v>
                </c:pt>
                <c:pt idx="564" formatCode="0.0">
                  <c:v>2325.66</c:v>
                </c:pt>
                <c:pt idx="565" formatCode="0.0">
                  <c:v>2329.66</c:v>
                </c:pt>
                <c:pt idx="566" formatCode="0.0">
                  <c:v>2333.5100000000002</c:v>
                </c:pt>
                <c:pt idx="567" formatCode="0.0">
                  <c:v>2337.35</c:v>
                </c:pt>
                <c:pt idx="568" formatCode="0.0">
                  <c:v>2341.1799999999998</c:v>
                </c:pt>
                <c:pt idx="569" formatCode="0.0">
                  <c:v>2345.02</c:v>
                </c:pt>
                <c:pt idx="570" formatCode="0.0">
                  <c:v>2348.85</c:v>
                </c:pt>
                <c:pt idx="571" formatCode="0.0">
                  <c:v>2352.36</c:v>
                </c:pt>
                <c:pt idx="572" formatCode="0.0">
                  <c:v>2355.33</c:v>
                </c:pt>
                <c:pt idx="573" formatCode="0.0">
                  <c:v>2358.31</c:v>
                </c:pt>
                <c:pt idx="574" formatCode="0.0">
                  <c:v>2361.2800000000002</c:v>
                </c:pt>
                <c:pt idx="575" formatCode="0.0">
                  <c:v>2364.2600000000002</c:v>
                </c:pt>
                <c:pt idx="576" formatCode="0.0">
                  <c:v>2367.23</c:v>
                </c:pt>
                <c:pt idx="577" formatCode="0.0">
                  <c:v>2370.1999999999998</c:v>
                </c:pt>
                <c:pt idx="578" formatCode="0.0">
                  <c:v>2373.1799999999998</c:v>
                </c:pt>
                <c:pt idx="579" formatCode="0.0">
                  <c:v>2376.17</c:v>
                </c:pt>
                <c:pt idx="580" formatCode="0.0">
                  <c:v>2379.15</c:v>
                </c:pt>
                <c:pt idx="581" formatCode="0.0">
                  <c:v>2382.13</c:v>
                </c:pt>
                <c:pt idx="582" formatCode="0.0">
                  <c:v>2385.11</c:v>
                </c:pt>
                <c:pt idx="583" formatCode="0.0">
                  <c:v>2388.09</c:v>
                </c:pt>
                <c:pt idx="584" formatCode="0.0">
                  <c:v>2391.08</c:v>
                </c:pt>
                <c:pt idx="585" formatCode="0.0">
                  <c:v>2394.0700000000002</c:v>
                </c:pt>
                <c:pt idx="586" formatCode="0.0">
                  <c:v>2397.06</c:v>
                </c:pt>
                <c:pt idx="587" formatCode="0.0">
                  <c:v>2400.04</c:v>
                </c:pt>
                <c:pt idx="588" formatCode="0.0">
                  <c:v>2403.0300000000002</c:v>
                </c:pt>
                <c:pt idx="589" formatCode="0.0">
                  <c:v>2406.02</c:v>
                </c:pt>
                <c:pt idx="590" formatCode="0.0">
                  <c:v>2409.0100000000002</c:v>
                </c:pt>
                <c:pt idx="591" formatCode="0.0">
                  <c:v>2412</c:v>
                </c:pt>
                <c:pt idx="592" formatCode="0.0">
                  <c:v>2415</c:v>
                </c:pt>
                <c:pt idx="593" formatCode="0.0">
                  <c:v>2417.9899999999998</c:v>
                </c:pt>
                <c:pt idx="594" formatCode="0.0">
                  <c:v>2420.98</c:v>
                </c:pt>
                <c:pt idx="595" formatCode="0.0">
                  <c:v>2423.98</c:v>
                </c:pt>
                <c:pt idx="596" formatCode="0.0">
                  <c:v>2426.9699999999998</c:v>
                </c:pt>
                <c:pt idx="597" formatCode="0.0">
                  <c:v>2429.9699999999998</c:v>
                </c:pt>
                <c:pt idx="598" formatCode="0.0">
                  <c:v>2432.9699999999998</c:v>
                </c:pt>
                <c:pt idx="599" formatCode="0.0">
                  <c:v>2435.94</c:v>
                </c:pt>
                <c:pt idx="600" formatCode="0.0">
                  <c:v>2438.86</c:v>
                </c:pt>
                <c:pt idx="601" formatCode="0.0">
                  <c:v>2441.77</c:v>
                </c:pt>
                <c:pt idx="602" formatCode="0.0">
                  <c:v>2444.6999999999998</c:v>
                </c:pt>
                <c:pt idx="603" formatCode="0.0">
                  <c:v>2447.62</c:v>
                </c:pt>
                <c:pt idx="604" formatCode="0.0">
                  <c:v>2450.54</c:v>
                </c:pt>
                <c:pt idx="605" formatCode="0.0">
                  <c:v>2453.46</c:v>
                </c:pt>
                <c:pt idx="606" formatCode="0.0">
                  <c:v>2456.39</c:v>
                </c:pt>
                <c:pt idx="607" formatCode="0.0">
                  <c:v>2459.31</c:v>
                </c:pt>
                <c:pt idx="608" formatCode="0.0">
                  <c:v>2462.25</c:v>
                </c:pt>
                <c:pt idx="609" formatCode="0.0">
                  <c:v>2465.23</c:v>
                </c:pt>
                <c:pt idx="610" formatCode="0.0">
                  <c:v>2468.1999999999998</c:v>
                </c:pt>
                <c:pt idx="611" formatCode="0.0">
                  <c:v>2471.1799999999998</c:v>
                </c:pt>
                <c:pt idx="612" formatCode="0.0">
                  <c:v>2474.15</c:v>
                </c:pt>
                <c:pt idx="613" formatCode="0.0">
                  <c:v>2477.13</c:v>
                </c:pt>
                <c:pt idx="614" formatCode="0.0">
                  <c:v>2480.1</c:v>
                </c:pt>
                <c:pt idx="615" formatCode="0.0">
                  <c:v>2483.08</c:v>
                </c:pt>
                <c:pt idx="616" formatCode="0.0">
                  <c:v>2486.0500000000002</c:v>
                </c:pt>
                <c:pt idx="617" formatCode="0.0">
                  <c:v>2489.0300000000002</c:v>
                </c:pt>
                <c:pt idx="618" formatCode="0.0">
                  <c:v>2492</c:v>
                </c:pt>
                <c:pt idx="619" formatCode="0.0">
                  <c:v>2494.98</c:v>
                </c:pt>
                <c:pt idx="620" formatCode="0.0">
                  <c:v>2497.94</c:v>
                </c:pt>
                <c:pt idx="621" formatCode="0.0">
                  <c:v>2500.87</c:v>
                </c:pt>
                <c:pt idx="622" formatCode="0.0">
                  <c:v>2503.8000000000002</c:v>
                </c:pt>
                <c:pt idx="623" formatCode="0.0">
                  <c:v>2506.73</c:v>
                </c:pt>
                <c:pt idx="624" formatCode="0.0">
                  <c:v>2509.66</c:v>
                </c:pt>
                <c:pt idx="625" formatCode="0.0">
                  <c:v>2512.59</c:v>
                </c:pt>
                <c:pt idx="626" formatCode="0.0">
                  <c:v>2515.52</c:v>
                </c:pt>
                <c:pt idx="627" formatCode="0.0">
                  <c:v>2518.4499999999998</c:v>
                </c:pt>
                <c:pt idx="628" formatCode="0.0">
                  <c:v>2521.39</c:v>
                </c:pt>
                <c:pt idx="629" formatCode="0.0">
                  <c:v>2524.33</c:v>
                </c:pt>
                <c:pt idx="630" formatCode="0.0">
                  <c:v>2527.2600000000002</c:v>
                </c:pt>
                <c:pt idx="631" formatCode="0.0">
                  <c:v>2530.1999999999998</c:v>
                </c:pt>
                <c:pt idx="632" formatCode="0.0">
                  <c:v>2533.13</c:v>
                </c:pt>
                <c:pt idx="633" formatCode="0.0">
                  <c:v>2536.08</c:v>
                </c:pt>
                <c:pt idx="634" formatCode="0.0">
                  <c:v>2539.02</c:v>
                </c:pt>
                <c:pt idx="635" formatCode="0.0">
                  <c:v>2541.9499999999998</c:v>
                </c:pt>
                <c:pt idx="636" formatCode="0.0">
                  <c:v>2544.88</c:v>
                </c:pt>
                <c:pt idx="637" formatCode="0.0">
                  <c:v>2547.8200000000002</c:v>
                </c:pt>
                <c:pt idx="638" formatCode="0.0">
                  <c:v>2550.75</c:v>
                </c:pt>
                <c:pt idx="639" formatCode="0.0">
                  <c:v>2553.6999999999998</c:v>
                </c:pt>
                <c:pt idx="640" formatCode="0.0">
                  <c:v>2556.65</c:v>
                </c:pt>
                <c:pt idx="641" formatCode="0.0">
                  <c:v>2559.59</c:v>
                </c:pt>
                <c:pt idx="642" formatCode="0.0">
                  <c:v>2562.54</c:v>
                </c:pt>
                <c:pt idx="643" formatCode="0.0">
                  <c:v>2565.4899999999998</c:v>
                </c:pt>
                <c:pt idx="644" formatCode="0.0">
                  <c:v>2568.44</c:v>
                </c:pt>
                <c:pt idx="645" formatCode="0.0">
                  <c:v>2571.39</c:v>
                </c:pt>
                <c:pt idx="646" formatCode="0.0">
                  <c:v>2574.34</c:v>
                </c:pt>
                <c:pt idx="647" formatCode="0.0">
                  <c:v>2577.3000000000002</c:v>
                </c:pt>
                <c:pt idx="648" formatCode="0.0">
                  <c:v>2580.25</c:v>
                </c:pt>
                <c:pt idx="649" formatCode="0.0">
                  <c:v>2583.1999999999998</c:v>
                </c:pt>
                <c:pt idx="650" formatCode="0.0">
                  <c:v>2586.16</c:v>
                </c:pt>
                <c:pt idx="651" formatCode="0.0">
                  <c:v>2589.12</c:v>
                </c:pt>
                <c:pt idx="652" formatCode="0.0">
                  <c:v>2592.09</c:v>
                </c:pt>
                <c:pt idx="653" formatCode="0.0">
                  <c:v>2595.0500000000002</c:v>
                </c:pt>
                <c:pt idx="654" formatCode="0.0">
                  <c:v>2598.02</c:v>
                </c:pt>
                <c:pt idx="655" formatCode="0.0">
                  <c:v>2600.9899999999998</c:v>
                </c:pt>
                <c:pt idx="656" formatCode="0.0">
                  <c:v>2603.9499999999998</c:v>
                </c:pt>
                <c:pt idx="657" formatCode="0.0">
                  <c:v>2606.9299999999998</c:v>
                </c:pt>
                <c:pt idx="658" formatCode="0.0">
                  <c:v>2609.91</c:v>
                </c:pt>
                <c:pt idx="659" formatCode="0.0">
                  <c:v>2612.89</c:v>
                </c:pt>
                <c:pt idx="660" formatCode="0.0">
                  <c:v>2615.87</c:v>
                </c:pt>
                <c:pt idx="661" formatCode="0.0">
                  <c:v>2618.85</c:v>
                </c:pt>
                <c:pt idx="662" formatCode="0.0">
                  <c:v>2621.83</c:v>
                </c:pt>
                <c:pt idx="663" formatCode="0.0">
                  <c:v>2624.82</c:v>
                </c:pt>
                <c:pt idx="664" formatCode="0.0">
                  <c:v>2627.82</c:v>
                </c:pt>
                <c:pt idx="665" formatCode="0.0">
                  <c:v>2630.81</c:v>
                </c:pt>
                <c:pt idx="666" formatCode="0.0">
                  <c:v>2633.81</c:v>
                </c:pt>
                <c:pt idx="667" formatCode="0.0">
                  <c:v>2636.81</c:v>
                </c:pt>
                <c:pt idx="668" formatCode="0.0">
                  <c:v>2639.82</c:v>
                </c:pt>
                <c:pt idx="669" formatCode="0.0">
                  <c:v>2642.83</c:v>
                </c:pt>
                <c:pt idx="670" formatCode="0.0">
                  <c:v>2645.84</c:v>
                </c:pt>
                <c:pt idx="671" formatCode="0.0">
                  <c:v>2648.85</c:v>
                </c:pt>
                <c:pt idx="672" formatCode="0.0">
                  <c:v>2651.86</c:v>
                </c:pt>
                <c:pt idx="673" formatCode="0.0">
                  <c:v>2654.87</c:v>
                </c:pt>
                <c:pt idx="674" formatCode="0.0">
                  <c:v>2657.87</c:v>
                </c:pt>
                <c:pt idx="675" formatCode="0.0">
                  <c:v>2660.89</c:v>
                </c:pt>
                <c:pt idx="676" formatCode="0.0">
                  <c:v>2663.92</c:v>
                </c:pt>
                <c:pt idx="677" formatCode="0.0">
                  <c:v>2666.95</c:v>
                </c:pt>
                <c:pt idx="678" formatCode="0.0">
                  <c:v>2669.98</c:v>
                </c:pt>
                <c:pt idx="679" formatCode="0.0">
                  <c:v>2673.01</c:v>
                </c:pt>
                <c:pt idx="680" formatCode="0.0">
                  <c:v>2676.04</c:v>
                </c:pt>
                <c:pt idx="681" formatCode="0.0">
                  <c:v>2679.08</c:v>
                </c:pt>
                <c:pt idx="682" formatCode="0.0">
                  <c:v>2682.12</c:v>
                </c:pt>
                <c:pt idx="683" formatCode="0.0">
                  <c:v>2685.17</c:v>
                </c:pt>
                <c:pt idx="684" formatCode="0.0">
                  <c:v>2688.21</c:v>
                </c:pt>
                <c:pt idx="685" formatCode="0.0">
                  <c:v>2691.26</c:v>
                </c:pt>
                <c:pt idx="686" formatCode="0.0">
                  <c:v>2694.31</c:v>
                </c:pt>
                <c:pt idx="687" formatCode="0.0">
                  <c:v>2697.35</c:v>
                </c:pt>
                <c:pt idx="688" formatCode="0.0">
                  <c:v>2700.4</c:v>
                </c:pt>
                <c:pt idx="689" formatCode="0.0">
                  <c:v>2703.44</c:v>
                </c:pt>
                <c:pt idx="690" formatCode="0.0">
                  <c:v>2706.49</c:v>
                </c:pt>
                <c:pt idx="691" formatCode="0.0">
                  <c:v>2709.53</c:v>
                </c:pt>
                <c:pt idx="692" formatCode="0.0">
                  <c:v>2712.58</c:v>
                </c:pt>
                <c:pt idx="693" formatCode="0.0">
                  <c:v>2715.63</c:v>
                </c:pt>
                <c:pt idx="694" formatCode="0.0">
                  <c:v>2718.68</c:v>
                </c:pt>
                <c:pt idx="695" formatCode="0.0">
                  <c:v>2721.73</c:v>
                </c:pt>
                <c:pt idx="696" formatCode="0.0">
                  <c:v>2724.79</c:v>
                </c:pt>
                <c:pt idx="697" formatCode="0.0">
                  <c:v>2727.84</c:v>
                </c:pt>
                <c:pt idx="698" formatCode="0.0">
                  <c:v>2730.9</c:v>
                </c:pt>
                <c:pt idx="699" formatCode="0.0">
                  <c:v>2733.95</c:v>
                </c:pt>
                <c:pt idx="700" formatCode="0.0">
                  <c:v>2736.9</c:v>
                </c:pt>
                <c:pt idx="701" formatCode="0.0">
                  <c:v>2739.8</c:v>
                </c:pt>
                <c:pt idx="702" formatCode="0.0">
                  <c:v>2742.71</c:v>
                </c:pt>
                <c:pt idx="703" formatCode="0.0">
                  <c:v>2745.61</c:v>
                </c:pt>
                <c:pt idx="704" formatCode="0.0">
                  <c:v>2748.51</c:v>
                </c:pt>
                <c:pt idx="705" formatCode="0.0">
                  <c:v>2751.42</c:v>
                </c:pt>
                <c:pt idx="706" formatCode="0.0">
                  <c:v>2754.33</c:v>
                </c:pt>
                <c:pt idx="707" formatCode="0.0">
                  <c:v>2757.24</c:v>
                </c:pt>
                <c:pt idx="708" formatCode="0.0">
                  <c:v>2760.16</c:v>
                </c:pt>
                <c:pt idx="709" formatCode="0.0">
                  <c:v>2763.07</c:v>
                </c:pt>
                <c:pt idx="710" formatCode="0.0">
                  <c:v>2765.99</c:v>
                </c:pt>
                <c:pt idx="711" formatCode="0.0">
                  <c:v>2768.9</c:v>
                </c:pt>
                <c:pt idx="712" formatCode="0.0">
                  <c:v>2771.82</c:v>
                </c:pt>
                <c:pt idx="713" formatCode="0.0">
                  <c:v>2774.73</c:v>
                </c:pt>
                <c:pt idx="714" formatCode="0.0">
                  <c:v>2777.65</c:v>
                </c:pt>
                <c:pt idx="715" formatCode="0.0">
                  <c:v>2780.56</c:v>
                </c:pt>
                <c:pt idx="716" formatCode="0.0">
                  <c:v>2783.47</c:v>
                </c:pt>
                <c:pt idx="717" formatCode="0.0">
                  <c:v>2786.39</c:v>
                </c:pt>
                <c:pt idx="718" formatCode="0.0">
                  <c:v>2789.31</c:v>
                </c:pt>
                <c:pt idx="719" formatCode="0.0">
                  <c:v>2792.24</c:v>
                </c:pt>
                <c:pt idx="720" formatCode="0.0">
                  <c:v>2795.16</c:v>
                </c:pt>
                <c:pt idx="721" formatCode="0.0">
                  <c:v>2798.09</c:v>
                </c:pt>
                <c:pt idx="722" formatCode="0.0">
                  <c:v>2801.02</c:v>
                </c:pt>
                <c:pt idx="723" formatCode="0.0">
                  <c:v>2803.94</c:v>
                </c:pt>
                <c:pt idx="724" formatCode="0.0">
                  <c:v>2806.87</c:v>
                </c:pt>
                <c:pt idx="725" formatCode="0.0">
                  <c:v>2809.8</c:v>
                </c:pt>
                <c:pt idx="726" formatCode="0.0">
                  <c:v>2812.72</c:v>
                </c:pt>
                <c:pt idx="727" formatCode="0.0">
                  <c:v>2815.65</c:v>
                </c:pt>
                <c:pt idx="728" formatCode="0.0">
                  <c:v>2818.58</c:v>
                </c:pt>
                <c:pt idx="729" formatCode="0.0">
                  <c:v>2821.5</c:v>
                </c:pt>
                <c:pt idx="730" formatCode="0.0">
                  <c:v>2824.43</c:v>
                </c:pt>
                <c:pt idx="731" formatCode="0.0">
                  <c:v>2827.36</c:v>
                </c:pt>
                <c:pt idx="732" formatCode="0.0">
                  <c:v>2830.29</c:v>
                </c:pt>
                <c:pt idx="733" formatCode="0.0">
                  <c:v>2833.22</c:v>
                </c:pt>
                <c:pt idx="734" formatCode="0.0">
                  <c:v>2836.15</c:v>
                </c:pt>
                <c:pt idx="735" formatCode="0.0">
                  <c:v>2839.08</c:v>
                </c:pt>
                <c:pt idx="736" formatCode="0.0">
                  <c:v>2842.02</c:v>
                </c:pt>
                <c:pt idx="737" formatCode="0.0">
                  <c:v>2844.95</c:v>
                </c:pt>
                <c:pt idx="738" formatCode="0.0">
                  <c:v>2847.89</c:v>
                </c:pt>
                <c:pt idx="739" formatCode="0.0">
                  <c:v>2850.82</c:v>
                </c:pt>
                <c:pt idx="740" formatCode="0.0">
                  <c:v>2853.76</c:v>
                </c:pt>
                <c:pt idx="741" formatCode="0.0">
                  <c:v>2856.69</c:v>
                </c:pt>
                <c:pt idx="742" formatCode="0.0">
                  <c:v>2859.63</c:v>
                </c:pt>
                <c:pt idx="743" formatCode="0.0">
                  <c:v>2862.56</c:v>
                </c:pt>
                <c:pt idx="744" formatCode="0.0">
                  <c:v>2865.5</c:v>
                </c:pt>
                <c:pt idx="745" formatCode="0.0">
                  <c:v>2868.43</c:v>
                </c:pt>
                <c:pt idx="746" formatCode="0.0">
                  <c:v>2871.37</c:v>
                </c:pt>
                <c:pt idx="747" formatCode="0.0">
                  <c:v>2874.3</c:v>
                </c:pt>
                <c:pt idx="748" formatCode="0.0">
                  <c:v>2877.23</c:v>
                </c:pt>
                <c:pt idx="749" formatCode="0.0">
                  <c:v>2880.17</c:v>
                </c:pt>
                <c:pt idx="750" formatCode="0.0">
                  <c:v>2883.1</c:v>
                </c:pt>
                <c:pt idx="751" formatCode="0.0">
                  <c:v>2886.04</c:v>
                </c:pt>
                <c:pt idx="752" formatCode="0.0">
                  <c:v>2888.97</c:v>
                </c:pt>
                <c:pt idx="753" formatCode="0.0">
                  <c:v>2891.91</c:v>
                </c:pt>
                <c:pt idx="754" formatCode="0.0">
                  <c:v>2894.84</c:v>
                </c:pt>
                <c:pt idx="755" formatCode="0.0">
                  <c:v>2897.78</c:v>
                </c:pt>
                <c:pt idx="756" formatCode="0.0">
                  <c:v>2900.71</c:v>
                </c:pt>
                <c:pt idx="757" formatCode="0.0">
                  <c:v>2903.65</c:v>
                </c:pt>
                <c:pt idx="758" formatCode="0.0">
                  <c:v>2906.58</c:v>
                </c:pt>
                <c:pt idx="759" formatCode="0.0">
                  <c:v>2909.52</c:v>
                </c:pt>
                <c:pt idx="760" formatCode="0.0">
                  <c:v>2912.45</c:v>
                </c:pt>
                <c:pt idx="761" formatCode="0.0">
                  <c:v>2915.38</c:v>
                </c:pt>
                <c:pt idx="762" formatCode="0.0">
                  <c:v>2918.32</c:v>
                </c:pt>
                <c:pt idx="763" formatCode="0.0">
                  <c:v>2921.25</c:v>
                </c:pt>
                <c:pt idx="764" formatCode="0.0">
                  <c:v>2924.19</c:v>
                </c:pt>
                <c:pt idx="765" formatCode="0.0">
                  <c:v>2927.12</c:v>
                </c:pt>
                <c:pt idx="766" formatCode="0.0">
                  <c:v>2930.06</c:v>
                </c:pt>
                <c:pt idx="767" formatCode="0.0">
                  <c:v>2932.99</c:v>
                </c:pt>
                <c:pt idx="768" formatCode="0.0">
                  <c:v>2935.81</c:v>
                </c:pt>
                <c:pt idx="769" formatCode="0.0">
                  <c:v>2938.43</c:v>
                </c:pt>
                <c:pt idx="770" formatCode="0.0">
                  <c:v>2941.05</c:v>
                </c:pt>
                <c:pt idx="771" formatCode="0.0">
                  <c:v>2943.67</c:v>
                </c:pt>
                <c:pt idx="772" formatCode="0.0">
                  <c:v>2946.28</c:v>
                </c:pt>
                <c:pt idx="773" formatCode="0.0">
                  <c:v>2948.9</c:v>
                </c:pt>
                <c:pt idx="774" formatCode="0.0">
                  <c:v>2951.52</c:v>
                </c:pt>
                <c:pt idx="775" formatCode="0.0">
                  <c:v>2954.14</c:v>
                </c:pt>
                <c:pt idx="776" formatCode="0.0">
                  <c:v>2956.76</c:v>
                </c:pt>
                <c:pt idx="777" formatCode="0.0">
                  <c:v>2959.38</c:v>
                </c:pt>
                <c:pt idx="778" formatCode="0.0">
                  <c:v>2961.99</c:v>
                </c:pt>
                <c:pt idx="779" formatCode="0.0">
                  <c:v>2964.61</c:v>
                </c:pt>
                <c:pt idx="780" formatCode="0.0">
                  <c:v>2967.23</c:v>
                </c:pt>
                <c:pt idx="781" formatCode="0.0">
                  <c:v>2969.85</c:v>
                </c:pt>
                <c:pt idx="782" formatCode="0.0">
                  <c:v>2972.47</c:v>
                </c:pt>
                <c:pt idx="783" formatCode="0.0">
                  <c:v>2975.08</c:v>
                </c:pt>
                <c:pt idx="784" formatCode="0.0">
                  <c:v>2977.7</c:v>
                </c:pt>
                <c:pt idx="785" formatCode="0.0">
                  <c:v>2980.32</c:v>
                </c:pt>
                <c:pt idx="786" formatCode="0.0">
                  <c:v>2982.94</c:v>
                </c:pt>
                <c:pt idx="787" formatCode="0.0">
                  <c:v>2985.56</c:v>
                </c:pt>
                <c:pt idx="788" formatCode="0.0">
                  <c:v>2988.17</c:v>
                </c:pt>
                <c:pt idx="789" formatCode="0.0">
                  <c:v>2990.79</c:v>
                </c:pt>
                <c:pt idx="790" formatCode="0.0">
                  <c:v>2993.41</c:v>
                </c:pt>
                <c:pt idx="791" formatCode="0.0">
                  <c:v>2996.03</c:v>
                </c:pt>
                <c:pt idx="792" formatCode="0.0">
                  <c:v>2998.65</c:v>
                </c:pt>
                <c:pt idx="793" formatCode="0.0">
                  <c:v>3001.27</c:v>
                </c:pt>
                <c:pt idx="794" formatCode="0.0">
                  <c:v>3003.88</c:v>
                </c:pt>
                <c:pt idx="795" formatCode="0.0">
                  <c:v>3006.5</c:v>
                </c:pt>
                <c:pt idx="796" formatCode="0.0">
                  <c:v>3009.12</c:v>
                </c:pt>
                <c:pt idx="797" formatCode="0.0">
                  <c:v>3011.74</c:v>
                </c:pt>
                <c:pt idx="798" formatCode="0.0">
                  <c:v>3014.36</c:v>
                </c:pt>
                <c:pt idx="799" formatCode="0.0">
                  <c:v>3016.97</c:v>
                </c:pt>
                <c:pt idx="800" formatCode="0.0">
                  <c:v>3019.59</c:v>
                </c:pt>
                <c:pt idx="801" formatCode="0.0">
                  <c:v>3022.21</c:v>
                </c:pt>
                <c:pt idx="802" formatCode="0.0">
                  <c:v>3024.83</c:v>
                </c:pt>
                <c:pt idx="803" formatCode="0.0">
                  <c:v>3027.45</c:v>
                </c:pt>
                <c:pt idx="804" formatCode="0.0">
                  <c:v>3030.07</c:v>
                </c:pt>
                <c:pt idx="805" formatCode="0.0">
                  <c:v>3032.68</c:v>
                </c:pt>
                <c:pt idx="806" formatCode="0.0">
                  <c:v>3035.33</c:v>
                </c:pt>
                <c:pt idx="807" formatCode="0.0">
                  <c:v>3038.12</c:v>
                </c:pt>
                <c:pt idx="808" formatCode="0.0">
                  <c:v>3040.9</c:v>
                </c:pt>
                <c:pt idx="809" formatCode="0.0">
                  <c:v>3043.69</c:v>
                </c:pt>
                <c:pt idx="810" formatCode="0.0">
                  <c:v>3046.48</c:v>
                </c:pt>
                <c:pt idx="811" formatCode="0.0">
                  <c:v>3049.26</c:v>
                </c:pt>
                <c:pt idx="812" formatCode="0.0">
                  <c:v>3052.05</c:v>
                </c:pt>
                <c:pt idx="813" formatCode="0.0">
                  <c:v>3054.84</c:v>
                </c:pt>
                <c:pt idx="814" formatCode="0.0">
                  <c:v>3057.62</c:v>
                </c:pt>
                <c:pt idx="815" formatCode="0.0">
                  <c:v>3060.41</c:v>
                </c:pt>
                <c:pt idx="816" formatCode="0.0">
                  <c:v>3063.2</c:v>
                </c:pt>
                <c:pt idx="817" formatCode="0.0">
                  <c:v>3065.98</c:v>
                </c:pt>
                <c:pt idx="818" formatCode="0.0">
                  <c:v>3068.77</c:v>
                </c:pt>
                <c:pt idx="819" formatCode="0.0">
                  <c:v>3071.56</c:v>
                </c:pt>
                <c:pt idx="820" formatCode="0.0">
                  <c:v>3074.34</c:v>
                </c:pt>
                <c:pt idx="821" formatCode="0.0">
                  <c:v>3077.13</c:v>
                </c:pt>
                <c:pt idx="822" formatCode="0.0">
                  <c:v>3079.92</c:v>
                </c:pt>
                <c:pt idx="823" formatCode="0.0">
                  <c:v>3082.7</c:v>
                </c:pt>
                <c:pt idx="824" formatCode="0.0">
                  <c:v>3085.49</c:v>
                </c:pt>
                <c:pt idx="825" formatCode="0.0">
                  <c:v>3088.28</c:v>
                </c:pt>
                <c:pt idx="826" formatCode="0.0">
                  <c:v>3091.06</c:v>
                </c:pt>
                <c:pt idx="827" formatCode="0.0">
                  <c:v>3093.85</c:v>
                </c:pt>
                <c:pt idx="828" formatCode="0.0">
                  <c:v>3096.64</c:v>
                </c:pt>
                <c:pt idx="829" formatCode="0.0">
                  <c:v>3099.42</c:v>
                </c:pt>
                <c:pt idx="830" formatCode="0.0">
                  <c:v>3102.21</c:v>
                </c:pt>
                <c:pt idx="831" formatCode="0.0">
                  <c:v>3105</c:v>
                </c:pt>
                <c:pt idx="832" formatCode="0.0">
                  <c:v>3107.78</c:v>
                </c:pt>
                <c:pt idx="833" formatCode="0.0">
                  <c:v>3110.57</c:v>
                </c:pt>
                <c:pt idx="834" formatCode="0.0">
                  <c:v>3113.36</c:v>
                </c:pt>
                <c:pt idx="835" formatCode="0.0">
                  <c:v>3116.14</c:v>
                </c:pt>
                <c:pt idx="836" formatCode="0.0">
                  <c:v>3118.93</c:v>
                </c:pt>
                <c:pt idx="837" formatCode="0.0">
                  <c:v>3121.72</c:v>
                </c:pt>
                <c:pt idx="838" formatCode="0.0">
                  <c:v>3124.5</c:v>
                </c:pt>
                <c:pt idx="839" formatCode="0.0">
                  <c:v>3127.29</c:v>
                </c:pt>
                <c:pt idx="840" formatCode="0.0">
                  <c:v>3130.08</c:v>
                </c:pt>
                <c:pt idx="841" formatCode="0.0">
                  <c:v>3132.86</c:v>
                </c:pt>
                <c:pt idx="842" formatCode="0.0">
                  <c:v>3135.69</c:v>
                </c:pt>
                <c:pt idx="843" formatCode="0.0">
                  <c:v>3138.6</c:v>
                </c:pt>
                <c:pt idx="844" formatCode="0.0">
                  <c:v>3141.51</c:v>
                </c:pt>
                <c:pt idx="845" formatCode="0.0">
                  <c:v>3144.43</c:v>
                </c:pt>
                <c:pt idx="846" formatCode="0.0">
                  <c:v>3147.34</c:v>
                </c:pt>
                <c:pt idx="847" formatCode="0.0">
                  <c:v>3150.25</c:v>
                </c:pt>
                <c:pt idx="848" formatCode="0.0">
                  <c:v>3153.17</c:v>
                </c:pt>
                <c:pt idx="849" formatCode="0.0">
                  <c:v>3156.08</c:v>
                </c:pt>
                <c:pt idx="850" formatCode="0.0">
                  <c:v>3158.99</c:v>
                </c:pt>
                <c:pt idx="851" formatCode="0.0">
                  <c:v>3161.91</c:v>
                </c:pt>
                <c:pt idx="852" formatCode="0.0">
                  <c:v>3164.82</c:v>
                </c:pt>
                <c:pt idx="853" formatCode="0.0">
                  <c:v>3167.73</c:v>
                </c:pt>
                <c:pt idx="854" formatCode="0.0">
                  <c:v>3170.65</c:v>
                </c:pt>
                <c:pt idx="855" formatCode="0.0">
                  <c:v>3173.56</c:v>
                </c:pt>
                <c:pt idx="856" formatCode="0.0">
                  <c:v>3176.47</c:v>
                </c:pt>
                <c:pt idx="857" formatCode="0.0">
                  <c:v>3179.38</c:v>
                </c:pt>
                <c:pt idx="858" formatCode="0.0">
                  <c:v>3182.3</c:v>
                </c:pt>
                <c:pt idx="859" formatCode="0.0">
                  <c:v>3185.21</c:v>
                </c:pt>
                <c:pt idx="860" formatCode="0.0">
                  <c:v>3188.12</c:v>
                </c:pt>
                <c:pt idx="861" formatCode="0.0">
                  <c:v>3191.04</c:v>
                </c:pt>
                <c:pt idx="862" formatCode="0.0">
                  <c:v>3193.95</c:v>
                </c:pt>
                <c:pt idx="863" formatCode="0.0">
                  <c:v>3196.86</c:v>
                </c:pt>
                <c:pt idx="864" formatCode="0.0">
                  <c:v>3199.78</c:v>
                </c:pt>
                <c:pt idx="865" formatCode="0.0">
                  <c:v>3202.69</c:v>
                </c:pt>
                <c:pt idx="866" formatCode="0.0">
                  <c:v>3205.6</c:v>
                </c:pt>
                <c:pt idx="867" formatCode="0.0">
                  <c:v>3208.52</c:v>
                </c:pt>
                <c:pt idx="868" formatCode="0.0">
                  <c:v>3211.43</c:v>
                </c:pt>
                <c:pt idx="869" formatCode="0.0">
                  <c:v>3214.34</c:v>
                </c:pt>
                <c:pt idx="870" formatCode="0.0">
                  <c:v>3217.26</c:v>
                </c:pt>
                <c:pt idx="871" formatCode="0.0">
                  <c:v>3220.17</c:v>
                </c:pt>
                <c:pt idx="872" formatCode="0.0">
                  <c:v>3223.08</c:v>
                </c:pt>
                <c:pt idx="873" formatCode="0.0">
                  <c:v>3226</c:v>
                </c:pt>
                <c:pt idx="874" formatCode="0.0">
                  <c:v>3228.91</c:v>
                </c:pt>
                <c:pt idx="875" formatCode="0.0">
                  <c:v>3231.82</c:v>
                </c:pt>
                <c:pt idx="876" formatCode="0.0">
                  <c:v>3234.74</c:v>
                </c:pt>
                <c:pt idx="877" formatCode="0.0">
                  <c:v>3237.51</c:v>
                </c:pt>
                <c:pt idx="878" formatCode="0.0">
                  <c:v>3240.28</c:v>
                </c:pt>
                <c:pt idx="879" formatCode="0.0">
                  <c:v>3243.05</c:v>
                </c:pt>
                <c:pt idx="880" formatCode="0.0">
                  <c:v>3245.82</c:v>
                </c:pt>
                <c:pt idx="881" formatCode="0.0">
                  <c:v>3248.59</c:v>
                </c:pt>
                <c:pt idx="882" formatCode="0.0">
                  <c:v>3251.36</c:v>
                </c:pt>
                <c:pt idx="883" formatCode="0.0">
                  <c:v>3254.12</c:v>
                </c:pt>
                <c:pt idx="884" formatCode="0.0">
                  <c:v>3256.89</c:v>
                </c:pt>
                <c:pt idx="885" formatCode="0.0">
                  <c:v>3259.66</c:v>
                </c:pt>
                <c:pt idx="886" formatCode="0.0">
                  <c:v>3262.43</c:v>
                </c:pt>
                <c:pt idx="887" formatCode="0.0">
                  <c:v>3265.2</c:v>
                </c:pt>
                <c:pt idx="888" formatCode="0.0">
                  <c:v>3267.97</c:v>
                </c:pt>
                <c:pt idx="889" formatCode="0.0">
                  <c:v>3270.74</c:v>
                </c:pt>
                <c:pt idx="890" formatCode="0.0">
                  <c:v>3273.5</c:v>
                </c:pt>
                <c:pt idx="891" formatCode="0.0">
                  <c:v>3276.27</c:v>
                </c:pt>
                <c:pt idx="892" formatCode="0.0">
                  <c:v>3279.04</c:v>
                </c:pt>
                <c:pt idx="893" formatCode="0.0">
                  <c:v>3281.81</c:v>
                </c:pt>
                <c:pt idx="894" formatCode="0.0">
                  <c:v>3284.58</c:v>
                </c:pt>
                <c:pt idx="895" formatCode="0.0">
                  <c:v>3287.35</c:v>
                </c:pt>
                <c:pt idx="896" formatCode="0.0">
                  <c:v>3290.12</c:v>
                </c:pt>
                <c:pt idx="897" formatCode="0.0">
                  <c:v>3292.88</c:v>
                </c:pt>
                <c:pt idx="898" formatCode="0.0">
                  <c:v>3295.65</c:v>
                </c:pt>
                <c:pt idx="899" formatCode="0.0">
                  <c:v>3298.42</c:v>
                </c:pt>
                <c:pt idx="900" formatCode="0.0">
                  <c:v>3301.19</c:v>
                </c:pt>
                <c:pt idx="901" formatCode="0.0">
                  <c:v>3303.96</c:v>
                </c:pt>
                <c:pt idx="902" formatCode="0.0">
                  <c:v>3306.73</c:v>
                </c:pt>
                <c:pt idx="903" formatCode="0.0">
                  <c:v>3309.5</c:v>
                </c:pt>
                <c:pt idx="904" formatCode="0.0">
                  <c:v>3312.26</c:v>
                </c:pt>
                <c:pt idx="905" formatCode="0.0">
                  <c:v>3315.02</c:v>
                </c:pt>
                <c:pt idx="906" formatCode="0.0">
                  <c:v>3317.6</c:v>
                </c:pt>
                <c:pt idx="907" formatCode="0.0">
                  <c:v>3320.18</c:v>
                </c:pt>
                <c:pt idx="908" formatCode="0.0">
                  <c:v>3322.76</c:v>
                </c:pt>
                <c:pt idx="909" formatCode="0.0">
                  <c:v>3325.33</c:v>
                </c:pt>
                <c:pt idx="910" formatCode="0.0">
                  <c:v>3327.91</c:v>
                </c:pt>
                <c:pt idx="911" formatCode="0.0">
                  <c:v>3330.49</c:v>
                </c:pt>
              </c:numCache>
            </c:numRef>
          </c:xVal>
          <c:yVal>
            <c:numRef>
              <c:f>'NunR-005'!$F$15:$F$926</c:f>
              <c:numCache>
                <c:formatCode>0.0</c:formatCode>
                <c:ptCount val="912"/>
                <c:pt idx="0">
                  <c:v>0</c:v>
                </c:pt>
                <c:pt idx="1">
                  <c:v>27.610945361903998</c:v>
                </c:pt>
                <c:pt idx="2">
                  <c:v>56.449169609001615</c:v>
                </c:pt>
                <c:pt idx="3">
                  <c:v>85.352335906852858</c:v>
                </c:pt>
                <c:pt idx="4">
                  <c:v>114.32059050128261</c:v>
                </c:pt>
                <c:pt idx="5">
                  <c:v>130.25303581691901</c:v>
                </c:pt>
                <c:pt idx="6">
                  <c:v>144.82363550988575</c:v>
                </c:pt>
                <c:pt idx="7">
                  <c:v>159.38125590016176</c:v>
                </c:pt>
                <c:pt idx="8">
                  <c:v>173.98473418898274</c:v>
                </c:pt>
                <c:pt idx="9">
                  <c:v>188.60469621280046</c:v>
                </c:pt>
                <c:pt idx="10">
                  <c:v>203.2411605776974</c:v>
                </c:pt>
                <c:pt idx="11">
                  <c:v>217.86458696850167</c:v>
                </c:pt>
                <c:pt idx="12">
                  <c:v>232.53407855305744</c:v>
                </c:pt>
                <c:pt idx="13">
                  <c:v>247.22012838538291</c:v>
                </c:pt>
                <c:pt idx="14">
                  <c:v>261.92275515566541</c:v>
                </c:pt>
                <c:pt idx="15">
                  <c:v>276.64197757519372</c:v>
                </c:pt>
                <c:pt idx="16">
                  <c:v>291.34808830081806</c:v>
                </c:pt>
                <c:pt idx="17">
                  <c:v>306.10052468376978</c:v>
                </c:pt>
                <c:pt idx="18">
                  <c:v>320.86961293876482</c:v>
                </c:pt>
                <c:pt idx="19">
                  <c:v>335.65537186167359</c:v>
                </c:pt>
                <c:pt idx="20">
                  <c:v>350.42795982082129</c:v>
                </c:pt>
                <c:pt idx="21">
                  <c:v>365.24708284694333</c:v>
                </c:pt>
                <c:pt idx="22">
                  <c:v>380.08293301792986</c:v>
                </c:pt>
                <c:pt idx="23">
                  <c:v>394.93552921461031</c:v>
                </c:pt>
                <c:pt idx="24">
                  <c:v>409.77489490974392</c:v>
                </c:pt>
                <c:pt idx="25">
                  <c:v>424.66100602812025</c:v>
                </c:pt>
                <c:pt idx="26">
                  <c:v>439.56391990443808</c:v>
                </c:pt>
                <c:pt idx="27">
                  <c:v>454.48365550488012</c:v>
                </c:pt>
                <c:pt idx="28">
                  <c:v>469.39010079685784</c:v>
                </c:pt>
                <c:pt idx="29">
                  <c:v>484.34350281922985</c:v>
                </c:pt>
                <c:pt idx="30">
                  <c:v>499.31378355442524</c:v>
                </c:pt>
                <c:pt idx="31">
                  <c:v>514.30096205435757</c:v>
                </c:pt>
                <c:pt idx="32">
                  <c:v>529.30505739244711</c:v>
                </c:pt>
                <c:pt idx="33">
                  <c:v>544.29578727550222</c:v>
                </c:pt>
                <c:pt idx="34">
                  <c:v>559.33373939348803</c:v>
                </c:pt>
                <c:pt idx="35">
                  <c:v>574.38866566055765</c:v>
                </c:pt>
                <c:pt idx="36">
                  <c:v>589.46058523635031</c:v>
                </c:pt>
                <c:pt idx="37">
                  <c:v>604.51907894015096</c:v>
                </c:pt>
                <c:pt idx="38">
                  <c:v>619.6250083414086</c:v>
                </c:pt>
                <c:pt idx="39">
                  <c:v>634.74798862138073</c:v>
                </c:pt>
                <c:pt idx="40">
                  <c:v>649.88803902631685</c:v>
                </c:pt>
                <c:pt idx="41">
                  <c:v>665.01460286919917</c:v>
                </c:pt>
                <c:pt idx="42">
                  <c:v>680.18881683699317</c:v>
                </c:pt>
                <c:pt idx="43">
                  <c:v>695.38015875998474</c:v>
                </c:pt>
                <c:pt idx="44">
                  <c:v>710.58864797141678</c:v>
                </c:pt>
                <c:pt idx="45">
                  <c:v>725.81430382636574</c:v>
                </c:pt>
                <c:pt idx="46">
                  <c:v>741.02639686302325</c:v>
                </c:pt>
                <c:pt idx="47">
                  <c:v>756.28640944974813</c:v>
                </c:pt>
                <c:pt idx="48">
                  <c:v>771.56364683720585</c:v>
                </c:pt>
                <c:pt idx="49">
                  <c:v>786.85812846795727</c:v>
                </c:pt>
                <c:pt idx="50">
                  <c:v>802.13898597130424</c:v>
                </c:pt>
                <c:pt idx="51">
                  <c:v>817.4679796393774</c:v>
                </c:pt>
                <c:pt idx="52">
                  <c:v>832.81427597085553</c:v>
                </c:pt>
                <c:pt idx="53">
                  <c:v>848.17789449618635</c:v>
                </c:pt>
                <c:pt idx="54">
                  <c:v>863.52782730786078</c:v>
                </c:pt>
                <c:pt idx="55">
                  <c:v>878.92611387809484</c:v>
                </c:pt>
                <c:pt idx="56">
                  <c:v>894.34178132637714</c:v>
                </c:pt>
                <c:pt idx="57">
                  <c:v>909.77484927144246</c:v>
                </c:pt>
                <c:pt idx="58">
                  <c:v>925.22533735417414</c:v>
                </c:pt>
                <c:pt idx="59">
                  <c:v>940.66206234096171</c:v>
                </c:pt>
                <c:pt idx="60">
                  <c:v>956.14741448997404</c:v>
                </c:pt>
                <c:pt idx="61">
                  <c:v>971.65024579265992</c:v>
                </c:pt>
                <c:pt idx="62">
                  <c:v>987.17057597867802</c:v>
                </c:pt>
                <c:pt idx="63">
                  <c:v>1002.6770808543065</c:v>
                </c:pt>
                <c:pt idx="64">
                  <c:v>1018.2324327054952</c:v>
                </c:pt>
                <c:pt idx="65">
                  <c:v>1033.8053427227999</c:v>
                </c:pt>
                <c:pt idx="66">
                  <c:v>1049.3958307250746</c:v>
                </c:pt>
                <c:pt idx="67">
                  <c:v>1064.9724309212781</c:v>
                </c:pt>
                <c:pt idx="68">
                  <c:v>1080.5980989000111</c:v>
                </c:pt>
                <c:pt idx="69">
                  <c:v>1096.2414044144775</c:v>
                </c:pt>
                <c:pt idx="70">
                  <c:v>1111.9023673731092</c:v>
                </c:pt>
                <c:pt idx="71">
                  <c:v>1127.5810077068243</c:v>
                </c:pt>
                <c:pt idx="72">
                  <c:v>1143.2456817095033</c:v>
                </c:pt>
                <c:pt idx="73">
                  <c:v>1158.9597009356426</c:v>
                </c:pt>
                <c:pt idx="74">
                  <c:v>1174.6914574243406</c:v>
                </c:pt>
                <c:pt idx="75">
                  <c:v>1190.4409711965984</c:v>
                </c:pt>
                <c:pt idx="76">
                  <c:v>1206.1764555046761</c:v>
                </c:pt>
                <c:pt idx="77">
                  <c:v>1221.9615080954593</c:v>
                </c:pt>
                <c:pt idx="78">
                  <c:v>1237.764378127993</c:v>
                </c:pt>
                <c:pt idx="79">
                  <c:v>1253.5850857137871</c:v>
                </c:pt>
                <c:pt idx="80">
                  <c:v>1269.3917004168725</c:v>
                </c:pt>
                <c:pt idx="81">
                  <c:v>1285.2481074702141</c:v>
                </c:pt>
                <c:pt idx="82">
                  <c:v>1301.1224125069477</c:v>
                </c:pt>
                <c:pt idx="83">
                  <c:v>1317.0146357294921</c:v>
                </c:pt>
                <c:pt idx="84">
                  <c:v>1332.8927023641152</c:v>
                </c:pt>
                <c:pt idx="85">
                  <c:v>1348.8207864294254</c:v>
                </c:pt>
                <c:pt idx="86">
                  <c:v>1364.7668493838439</c:v>
                </c:pt>
                <c:pt idx="87">
                  <c:v>1380.7309115211103</c:v>
                </c:pt>
                <c:pt idx="88">
                  <c:v>1396.7129931578777</c:v>
                </c:pt>
                <c:pt idx="89">
                  <c:v>1412.6808381620058</c:v>
                </c:pt>
                <c:pt idx="90">
                  <c:v>1428.6989834072835</c:v>
                </c:pt>
                <c:pt idx="91">
                  <c:v>1444.735209198587</c:v>
                </c:pt>
                <c:pt idx="92">
                  <c:v>1460.7895359444062</c:v>
                </c:pt>
                <c:pt idx="93">
                  <c:v>1476.8295617025713</c:v>
                </c:pt>
                <c:pt idx="94">
                  <c:v>1492.9201150781771</c:v>
                </c:pt>
                <c:pt idx="95">
                  <c:v>1509.0288307307762</c:v>
                </c:pt>
                <c:pt idx="96">
                  <c:v>1525.155729161115</c:v>
                </c:pt>
                <c:pt idx="97">
                  <c:v>1541.2682619578786</c:v>
                </c:pt>
                <c:pt idx="98">
                  <c:v>1557.431550776196</c:v>
                </c:pt>
                <c:pt idx="99">
                  <c:v>1573.613083971934</c:v>
                </c:pt>
                <c:pt idx="100">
                  <c:v>1589.8128821385053</c:v>
                </c:pt>
                <c:pt idx="101">
                  <c:v>1605.9982497333531</c:v>
                </c:pt>
                <c:pt idx="102">
                  <c:v>1622.2346027863464</c:v>
                </c:pt>
                <c:pt idx="103">
                  <c:v>1638.4892826883122</c:v>
                </c:pt>
                <c:pt idx="104">
                  <c:v>1654.7623101257477</c:v>
                </c:pt>
                <c:pt idx="105">
                  <c:v>1671.0537058085126</c:v>
                </c:pt>
                <c:pt idx="106">
                  <c:v>1687.3305893256679</c:v>
                </c:pt>
                <c:pt idx="107">
                  <c:v>1703.6587465848847</c:v>
                </c:pt>
                <c:pt idx="108">
                  <c:v>1720.0053343174422</c:v>
                </c:pt>
                <c:pt idx="109">
                  <c:v>1736.3703733268073</c:v>
                </c:pt>
                <c:pt idx="110">
                  <c:v>1752.7208345700335</c:v>
                </c:pt>
                <c:pt idx="111">
                  <c:v>1769.1228013322072</c:v>
                </c:pt>
                <c:pt idx="112">
                  <c:v>1785.543281880495</c:v>
                </c:pt>
                <c:pt idx="113">
                  <c:v>1801.9822971124026</c:v>
                </c:pt>
                <c:pt idx="114">
                  <c:v>1818.4066686811043</c:v>
                </c:pt>
                <c:pt idx="115">
                  <c:v>1834.8827785933618</c:v>
                </c:pt>
                <c:pt idx="116">
                  <c:v>1851.3774859811094</c:v>
                </c:pt>
                <c:pt idx="117">
                  <c:v>1867.8908118363224</c:v>
                </c:pt>
                <c:pt idx="118">
                  <c:v>1884.4227771746714</c:v>
                </c:pt>
                <c:pt idx="119">
                  <c:v>1900.9400160510561</c:v>
                </c:pt>
                <c:pt idx="120">
                  <c:v>1917.5092858119087</c:v>
                </c:pt>
                <c:pt idx="121">
                  <c:v>1934.0972582028085</c:v>
                </c:pt>
                <c:pt idx="122">
                  <c:v>1950.7039543344204</c:v>
                </c:pt>
                <c:pt idx="123">
                  <c:v>1967.2958574348397</c:v>
                </c:pt>
                <c:pt idx="124">
                  <c:v>1983.9400266191856</c:v>
                </c:pt>
                <c:pt idx="125">
                  <c:v>2000.6029829766014</c:v>
                </c:pt>
                <c:pt idx="126">
                  <c:v>2017.2847477131866</c:v>
                </c:pt>
                <c:pt idx="127">
                  <c:v>2033.9516525484298</c:v>
                </c:pt>
                <c:pt idx="128">
                  <c:v>2050.671059730249</c:v>
                </c:pt>
                <c:pt idx="129">
                  <c:v>2067.4093390103303</c:v>
                </c:pt>
                <c:pt idx="130">
                  <c:v>2084.1665116906333</c:v>
                </c:pt>
                <c:pt idx="131">
                  <c:v>2100.9087572971721</c:v>
                </c:pt>
                <c:pt idx="132">
                  <c:v>2117.7037425809294</c:v>
                </c:pt>
                <c:pt idx="133">
                  <c:v>2134.5176852720351</c:v>
                </c:pt>
                <c:pt idx="134">
                  <c:v>2151.3506067687485</c:v>
                </c:pt>
                <c:pt idx="135">
                  <c:v>2168.2025284934639</c:v>
                </c:pt>
                <c:pt idx="136">
                  <c:v>2185.0394387431807</c:v>
                </c:pt>
                <c:pt idx="137">
                  <c:v>2201.9293868728128</c:v>
                </c:pt>
                <c:pt idx="138">
                  <c:v>2218.8383995994927</c:v>
                </c:pt>
                <c:pt idx="139">
                  <c:v>2235.7664984424587</c:v>
                </c:pt>
                <c:pt idx="140">
                  <c:v>2252.6795179528312</c:v>
                </c:pt>
                <c:pt idx="141">
                  <c:v>2269.6458150945796</c:v>
                </c:pt>
                <c:pt idx="142">
                  <c:v>2286.6312630126276</c:v>
                </c:pt>
                <c:pt idx="143">
                  <c:v>2303.6358833234935</c:v>
                </c:pt>
                <c:pt idx="144">
                  <c:v>2320.6253561374297</c:v>
                </c:pt>
                <c:pt idx="145">
                  <c:v>2337.6683474179663</c:v>
                </c:pt>
                <c:pt idx="146">
                  <c:v>2354.7305760436248</c:v>
                </c:pt>
                <c:pt idx="147">
                  <c:v>2371.8120637286352</c:v>
                </c:pt>
                <c:pt idx="148">
                  <c:v>2388.8783354442453</c:v>
                </c:pt>
                <c:pt idx="149">
                  <c:v>2405.9983675503531</c:v>
                </c:pt>
                <c:pt idx="150">
                  <c:v>2423.1377239617259</c:v>
                </c:pt>
                <c:pt idx="151">
                  <c:v>2440.2964264907473</c:v>
                </c:pt>
                <c:pt idx="152">
                  <c:v>2457.4744969744279</c:v>
                </c:pt>
                <c:pt idx="153">
                  <c:v>2474.6372654539941</c:v>
                </c:pt>
                <c:pt idx="154">
                  <c:v>2491.8540982981076</c:v>
                </c:pt>
                <c:pt idx="155">
                  <c:v>2509.0903647117102</c:v>
                </c:pt>
                <c:pt idx="156">
                  <c:v>2526.346086630519</c:v>
                </c:pt>
                <c:pt idx="157">
                  <c:v>2543.5864373743111</c:v>
                </c:pt>
                <c:pt idx="158">
                  <c:v>2560.881096874215</c:v>
                </c:pt>
                <c:pt idx="159">
                  <c:v>2578.1952777907577</c:v>
                </c:pt>
                <c:pt idx="160">
                  <c:v>2595.5290021588157</c:v>
                </c:pt>
                <c:pt idx="161">
                  <c:v>2612.8472858682844</c:v>
                </c:pt>
                <c:pt idx="162">
                  <c:v>2630.2201238301682</c:v>
                </c:pt>
                <c:pt idx="163">
                  <c:v>2647.6125714529426</c:v>
                </c:pt>
                <c:pt idx="164">
                  <c:v>2665.0246508710957</c:v>
                </c:pt>
                <c:pt idx="165">
                  <c:v>2682.4212198329847</c:v>
                </c:pt>
                <c:pt idx="166">
                  <c:v>2699.872589653336</c:v>
                </c:pt>
                <c:pt idx="167">
                  <c:v>2717.3436577777288</c:v>
                </c:pt>
                <c:pt idx="168">
                  <c:v>2734.8344464407091</c:v>
                </c:pt>
                <c:pt idx="169">
                  <c:v>2752.3096545342432</c:v>
                </c:pt>
                <c:pt idx="170">
                  <c:v>2769.8399112070333</c:v>
                </c:pt>
                <c:pt idx="171">
                  <c:v>2787.3899552277226</c:v>
                </c:pt>
                <c:pt idx="172">
                  <c:v>2804.924365895055</c:v>
                </c:pt>
                <c:pt idx="173">
                  <c:v>2822.514011635426</c:v>
                </c:pt>
                <c:pt idx="174">
                  <c:v>2840.1235117593401</c:v>
                </c:pt>
                <c:pt idx="175">
                  <c:v>2857.7528886775167</c:v>
                </c:pt>
                <c:pt idx="176">
                  <c:v>2875.3665615736136</c:v>
                </c:pt>
                <c:pt idx="177">
                  <c:v>2893.03571922636</c:v>
                </c:pt>
                <c:pt idx="178">
                  <c:v>2910.7248210120429</c:v>
                </c:pt>
                <c:pt idx="179">
                  <c:v>2928.433889442686</c:v>
                </c:pt>
                <c:pt idx="180">
                  <c:v>2946.1271828630738</c:v>
                </c:pt>
                <c:pt idx="181">
                  <c:v>2963.8762118523891</c:v>
                </c:pt>
                <c:pt idx="182">
                  <c:v>2981.6452751297329</c:v>
                </c:pt>
                <c:pt idx="183">
                  <c:v>2999.4343953088933</c:v>
                </c:pt>
                <c:pt idx="184">
                  <c:v>3017.207669168733</c:v>
                </c:pt>
                <c:pt idx="185">
                  <c:v>3035.0369305435429</c:v>
                </c:pt>
                <c:pt idx="186">
                  <c:v>3052.8863167690138</c:v>
                </c:pt>
                <c:pt idx="187">
                  <c:v>3070.7558505611478</c:v>
                </c:pt>
                <c:pt idx="188">
                  <c:v>3088.6094664025541</c:v>
                </c:pt>
                <c:pt idx="189">
                  <c:v>3106.519322843862</c:v>
                </c:pt>
                <c:pt idx="190">
                  <c:v>3124.4493951078412</c:v>
                </c:pt>
                <c:pt idx="191">
                  <c:v>3142.3997060131737</c:v>
                </c:pt>
                <c:pt idx="192">
                  <c:v>3160.3340270125645</c:v>
                </c:pt>
                <c:pt idx="193">
                  <c:v>3178.3248428408397</c:v>
                </c:pt>
                <c:pt idx="194">
                  <c:v>3196.3359658750128</c:v>
                </c:pt>
                <c:pt idx="195">
                  <c:v>3214.3674190369275</c:v>
                </c:pt>
                <c:pt idx="196">
                  <c:v>3232.4192252742978</c:v>
                </c:pt>
                <c:pt idx="197">
                  <c:v>3250.454951194989</c:v>
                </c:pt>
                <c:pt idx="198">
                  <c:v>3268.5474913797766</c:v>
                </c:pt>
                <c:pt idx="199">
                  <c:v>3286.6604535922443</c:v>
                </c:pt>
                <c:pt idx="200">
                  <c:v>3304.7572810110769</c:v>
                </c:pt>
                <c:pt idx="201">
                  <c:v>3322.911115169577</c:v>
                </c:pt>
                <c:pt idx="202">
                  <c:v>3341.085440541578</c:v>
                </c:pt>
                <c:pt idx="203">
                  <c:v>3359.2802802566148</c:v>
                </c:pt>
                <c:pt idx="204">
                  <c:v>3377.4589122425923</c:v>
                </c:pt>
                <c:pt idx="205">
                  <c:v>3395.6948086604598</c:v>
                </c:pt>
                <c:pt idx="206">
                  <c:v>3413.9512889199314</c:v>
                </c:pt>
                <c:pt idx="207">
                  <c:v>3432.2283762551015</c:v>
                </c:pt>
                <c:pt idx="208">
                  <c:v>3450.4891825960904</c:v>
                </c:pt>
                <c:pt idx="209">
                  <c:v>3468.8075122260593</c:v>
                </c:pt>
                <c:pt idx="210">
                  <c:v>3487.1465187444533</c:v>
                </c:pt>
                <c:pt idx="211">
                  <c:v>3505.4691891118518</c:v>
                </c:pt>
                <c:pt idx="212">
                  <c:v>3523.8495776458408</c:v>
                </c:pt>
                <c:pt idx="213">
                  <c:v>3542.2507131174916</c:v>
                </c:pt>
                <c:pt idx="214">
                  <c:v>3560.6726189449955</c:v>
                </c:pt>
                <c:pt idx="215">
                  <c:v>3579.0781147758671</c:v>
                </c:pt>
                <c:pt idx="216">
                  <c:v>3597.5415896814707</c:v>
                </c:pt>
                <c:pt idx="217">
                  <c:v>3616.0259053088125</c:v>
                </c:pt>
                <c:pt idx="218">
                  <c:v>3634.5310851819449</c:v>
                </c:pt>
                <c:pt idx="219">
                  <c:v>3653.0197808789967</c:v>
                </c:pt>
                <c:pt idx="220">
                  <c:v>3670.855864937872</c:v>
                </c:pt>
                <c:pt idx="221">
                  <c:v>3687.9997162496115</c:v>
                </c:pt>
                <c:pt idx="222">
                  <c:v>3705.1614354293934</c:v>
                </c:pt>
                <c:pt idx="223">
                  <c:v>3722.3785707387019</c:v>
                </c:pt>
                <c:pt idx="224">
                  <c:v>3739.6136894950032</c:v>
                </c:pt>
                <c:pt idx="225">
                  <c:v>3756.9044186477404</c:v>
                </c:pt>
                <c:pt idx="226">
                  <c:v>3774.1755999512952</c:v>
                </c:pt>
                <c:pt idx="227">
                  <c:v>3791.5025080097862</c:v>
                </c:pt>
                <c:pt idx="228">
                  <c:v>3808.8098273174191</c:v>
                </c:pt>
                <c:pt idx="229">
                  <c:v>3826.1729899819552</c:v>
                </c:pt>
                <c:pt idx="230">
                  <c:v>3843.5165229083777</c:v>
                </c:pt>
                <c:pt idx="231">
                  <c:v>3860.8781713051958</c:v>
                </c:pt>
                <c:pt idx="232">
                  <c:v>3878.2958383557739</c:v>
                </c:pt>
                <c:pt idx="233">
                  <c:v>3895.6938140488883</c:v>
                </c:pt>
                <c:pt idx="234">
                  <c:v>3913.1479256084908</c:v>
                </c:pt>
                <c:pt idx="235">
                  <c:v>3930.5823046086821</c:v>
                </c:pt>
                <c:pt idx="236">
                  <c:v>3948.0729369333449</c:v>
                </c:pt>
                <c:pt idx="237">
                  <c:v>3965.5437954104364</c:v>
                </c:pt>
                <c:pt idx="238">
                  <c:v>3983.0329023505656</c:v>
                </c:pt>
                <c:pt idx="239">
                  <c:v>4000.5784391989514</c:v>
                </c:pt>
                <c:pt idx="240">
                  <c:v>4018.104140128039</c:v>
                </c:pt>
                <c:pt idx="241">
                  <c:v>4035.6863890386194</c:v>
                </c:pt>
                <c:pt idx="242">
                  <c:v>4053.2487605254692</c:v>
                </c:pt>
                <c:pt idx="243">
                  <c:v>4070.8677983141042</c:v>
                </c:pt>
                <c:pt idx="244">
                  <c:v>4088.3134684891015</c:v>
                </c:pt>
                <c:pt idx="245">
                  <c:v>4104.3563989982795</c:v>
                </c:pt>
                <c:pt idx="246">
                  <c:v>4120.4145889649026</c:v>
                </c:pt>
                <c:pt idx="247">
                  <c:v>4136.5265244918592</c:v>
                </c:pt>
                <c:pt idx="248">
                  <c:v>4152.6153135226996</c:v>
                </c:pt>
                <c:pt idx="249">
                  <c:v>4168.7579505266576</c:v>
                </c:pt>
                <c:pt idx="250">
                  <c:v>4184.877396928583</c:v>
                </c:pt>
                <c:pt idx="251">
                  <c:v>4201.0507939115505</c:v>
                </c:pt>
                <c:pt idx="252">
                  <c:v>4217.2009561025352</c:v>
                </c:pt>
                <c:pt idx="253">
                  <c:v>4233.3664797458787</c:v>
                </c:pt>
                <c:pt idx="254">
                  <c:v>4249.5861081873354</c:v>
                </c:pt>
                <c:pt idx="255">
                  <c:v>4265.782435420444</c:v>
                </c:pt>
                <c:pt idx="256">
                  <c:v>4282.0329705489803</c:v>
                </c:pt>
                <c:pt idx="257">
                  <c:v>4298.2601600684447</c:v>
                </c:pt>
                <c:pt idx="258">
                  <c:v>4314.5416607771003</c:v>
                </c:pt>
                <c:pt idx="259">
                  <c:v>4330.7997713913619</c:v>
                </c:pt>
                <c:pt idx="260">
                  <c:v>4347.0733461346281</c:v>
                </c:pt>
                <c:pt idx="261">
                  <c:v>4363.4013873149588</c:v>
                </c:pt>
                <c:pt idx="262">
                  <c:v>4379.7059715405976</c:v>
                </c:pt>
                <c:pt idx="263">
                  <c:v>4396.0651259897186</c:v>
                </c:pt>
                <c:pt idx="264">
                  <c:v>4412.4007787866485</c:v>
                </c:pt>
                <c:pt idx="265">
                  <c:v>4428.7519694679122</c:v>
                </c:pt>
                <c:pt idx="266">
                  <c:v>4445.1578863609793</c:v>
                </c:pt>
                <c:pt idx="267">
                  <c:v>4461.5402344226704</c:v>
                </c:pt>
                <c:pt idx="268">
                  <c:v>4477.9381647835507</c:v>
                </c:pt>
                <c:pt idx="269">
                  <c:v>4494.3516922649424</c:v>
                </c:pt>
                <c:pt idx="270">
                  <c:v>4510.741508899222</c:v>
                </c:pt>
                <c:pt idx="271">
                  <c:v>4527.1468776236188</c:v>
                </c:pt>
                <c:pt idx="272">
                  <c:v>4543.6072106595793</c:v>
                </c:pt>
                <c:pt idx="273">
                  <c:v>4560.0437652335122</c:v>
                </c:pt>
                <c:pt idx="274">
                  <c:v>4576.4564439793457</c:v>
                </c:pt>
                <c:pt idx="275">
                  <c:v>4592.9241687761159</c:v>
                </c:pt>
                <c:pt idx="276">
                  <c:v>4609.4075195890755</c:v>
                </c:pt>
                <c:pt idx="277">
                  <c:v>4625.8669265974668</c:v>
                </c:pt>
                <c:pt idx="278">
                  <c:v>4642.3815363774884</c:v>
                </c:pt>
                <c:pt idx="279">
                  <c:v>4658.8721569459931</c:v>
                </c:pt>
                <c:pt idx="280">
                  <c:v>4675.3386905455809</c:v>
                </c:pt>
                <c:pt idx="281">
                  <c:v>4691.8207740561702</c:v>
                </c:pt>
                <c:pt idx="282">
                  <c:v>4708.3184221620777</c:v>
                </c:pt>
                <c:pt idx="283">
                  <c:v>4724.8714592981905</c:v>
                </c:pt>
                <c:pt idx="284">
                  <c:v>4741.4003182968418</c:v>
                </c:pt>
                <c:pt idx="285">
                  <c:v>4757.9049011028937</c:v>
                </c:pt>
                <c:pt idx="286">
                  <c:v>4774.4250321771842</c:v>
                </c:pt>
                <c:pt idx="287">
                  <c:v>4790.9207661150949</c:v>
                </c:pt>
                <c:pt idx="288">
                  <c:v>4807.4720000370826</c:v>
                </c:pt>
                <c:pt idx="289">
                  <c:v>4824.0388261753496</c:v>
                </c:pt>
                <c:pt idx="290">
                  <c:v>4840.5811862173823</c:v>
                </c:pt>
                <c:pt idx="291">
                  <c:v>4857.1390924561429</c:v>
                </c:pt>
                <c:pt idx="292">
                  <c:v>4873.6322630628574</c:v>
                </c:pt>
                <c:pt idx="293">
                  <c:v>4889.9801165718018</c:v>
                </c:pt>
                <c:pt idx="294">
                  <c:v>4906.3431101834503</c:v>
                </c:pt>
                <c:pt idx="295">
                  <c:v>4922.7212579193811</c:v>
                </c:pt>
                <c:pt idx="296">
                  <c:v>4939.1145738141622</c:v>
                </c:pt>
                <c:pt idx="297">
                  <c:v>4955.4424033327814</c:v>
                </c:pt>
                <c:pt idx="298">
                  <c:v>4971.7449087434443</c:v>
                </c:pt>
                <c:pt idx="299">
                  <c:v>4988.0624009195717</c:v>
                </c:pt>
                <c:pt idx="300">
                  <c:v>5004.3948936383813</c:v>
                </c:pt>
                <c:pt idx="301">
                  <c:v>5020.7424006897527</c:v>
                </c:pt>
                <c:pt idx="302">
                  <c:v>5037.1049358762475</c:v>
                </c:pt>
                <c:pt idx="303">
                  <c:v>5053.4419558742802</c:v>
                </c:pt>
                <c:pt idx="304">
                  <c:v>5069.6721747381307</c:v>
                </c:pt>
                <c:pt idx="305">
                  <c:v>5085.9577971234321</c:v>
                </c:pt>
                <c:pt idx="306">
                  <c:v>5102.2176114546601</c:v>
                </c:pt>
                <c:pt idx="307">
                  <c:v>5118.4922252431998</c:v>
                </c:pt>
                <c:pt idx="308">
                  <c:v>5134.8223940998314</c:v>
                </c:pt>
                <c:pt idx="309">
                  <c:v>5151.1266843089716</c:v>
                </c:pt>
                <c:pt idx="310">
                  <c:v>5167.3233657148685</c:v>
                </c:pt>
                <c:pt idx="311">
                  <c:v>5183.4938255673906</c:v>
                </c:pt>
                <c:pt idx="312">
                  <c:v>5199.7197460453071</c:v>
                </c:pt>
                <c:pt idx="313">
                  <c:v>5215.9603243162492</c:v>
                </c:pt>
                <c:pt idx="314">
                  <c:v>5232.2155736214327</c:v>
                </c:pt>
                <c:pt idx="315">
                  <c:v>5248.4855072140354</c:v>
                </c:pt>
                <c:pt idx="316">
                  <c:v>5264.6470255473869</c:v>
                </c:pt>
                <c:pt idx="317">
                  <c:v>5280.6998107766576</c:v>
                </c:pt>
                <c:pt idx="318">
                  <c:v>5296.1913400409958</c:v>
                </c:pt>
                <c:pt idx="319">
                  <c:v>5311.6550139454203</c:v>
                </c:pt>
                <c:pt idx="320">
                  <c:v>5327.1319178207668</c:v>
                </c:pt>
                <c:pt idx="321">
                  <c:v>5342.663277845556</c:v>
                </c:pt>
                <c:pt idx="322">
                  <c:v>5358.1667108906358</c:v>
                </c:pt>
                <c:pt idx="323">
                  <c:v>5373.6421225099912</c:v>
                </c:pt>
                <c:pt idx="324">
                  <c:v>5389.1720595551305</c:v>
                </c:pt>
                <c:pt idx="325">
                  <c:v>5404.7152832627262</c:v>
                </c:pt>
                <c:pt idx="326">
                  <c:v>5420.2304136256171</c:v>
                </c:pt>
                <c:pt idx="327">
                  <c:v>5435.8002093576733</c:v>
                </c:pt>
                <c:pt idx="328">
                  <c:v>5451.3004016766581</c:v>
                </c:pt>
                <c:pt idx="329">
                  <c:v>5466.8137846415739</c:v>
                </c:pt>
                <c:pt idx="330">
                  <c:v>5482.298836932584</c:v>
                </c:pt>
                <c:pt idx="331">
                  <c:v>5497.8385995304379</c:v>
                </c:pt>
                <c:pt idx="332">
                  <c:v>5513.3499832796733</c:v>
                </c:pt>
                <c:pt idx="333">
                  <c:v>5528.9161703675409</c:v>
                </c:pt>
                <c:pt idx="334">
                  <c:v>5544.3289091809165</c:v>
                </c:pt>
                <c:pt idx="335">
                  <c:v>5559.7129152597063</c:v>
                </c:pt>
                <c:pt idx="336">
                  <c:v>5575.109838012927</c:v>
                </c:pt>
                <c:pt idx="337">
                  <c:v>5590.519688285638</c:v>
                </c:pt>
                <c:pt idx="338">
                  <c:v>5605.9842906962367</c:v>
                </c:pt>
                <c:pt idx="339">
                  <c:v>5621.4200636870992</c:v>
                </c:pt>
                <c:pt idx="340">
                  <c:v>5636.7431450761451</c:v>
                </c:pt>
                <c:pt idx="341">
                  <c:v>5651.9951502337053</c:v>
                </c:pt>
                <c:pt idx="342">
                  <c:v>5667.3017408690457</c:v>
                </c:pt>
                <c:pt idx="343">
                  <c:v>5682.5790557391147</c:v>
                </c:pt>
                <c:pt idx="344">
                  <c:v>5697.5748665842248</c:v>
                </c:pt>
                <c:pt idx="345">
                  <c:v>5711.9520253661876</c:v>
                </c:pt>
                <c:pt idx="346">
                  <c:v>5726.2982843409191</c:v>
                </c:pt>
                <c:pt idx="347">
                  <c:v>5740.6556743140136</c:v>
                </c:pt>
                <c:pt idx="348">
                  <c:v>5754.9820511770558</c:v>
                </c:pt>
                <c:pt idx="349">
                  <c:v>5769.3616963570466</c:v>
                </c:pt>
                <c:pt idx="350">
                  <c:v>5783.7102803539628</c:v>
                </c:pt>
                <c:pt idx="351">
                  <c:v>5798.1122152383641</c:v>
                </c:pt>
                <c:pt idx="352">
                  <c:v>5812.5253243190427</c:v>
                </c:pt>
                <c:pt idx="353">
                  <c:v>5826.9919326960016</c:v>
                </c:pt>
                <c:pt idx="354">
                  <c:v>5841.5121478324027</c:v>
                </c:pt>
                <c:pt idx="355">
                  <c:v>5856.0436950383846</c:v>
                </c:pt>
                <c:pt idx="356">
                  <c:v>5870.5441675748489</c:v>
                </c:pt>
                <c:pt idx="357">
                  <c:v>5885.0983723561321</c:v>
                </c:pt>
                <c:pt idx="358">
                  <c:v>5899.6639357336726</c:v>
                </c:pt>
                <c:pt idx="359">
                  <c:v>5914.2833815403528</c:v>
                </c:pt>
                <c:pt idx="360">
                  <c:v>5928.9568184784239</c:v>
                </c:pt>
                <c:pt idx="361">
                  <c:v>5943.5991921234572</c:v>
                </c:pt>
                <c:pt idx="362">
                  <c:v>5958.2530265038113</c:v>
                </c:pt>
                <c:pt idx="363">
                  <c:v>5972.9609790161358</c:v>
                </c:pt>
                <c:pt idx="364">
                  <c:v>5987.6377951668219</c:v>
                </c:pt>
                <c:pt idx="365">
                  <c:v>6002.3260990113331</c:v>
                </c:pt>
                <c:pt idx="366">
                  <c:v>6017.0686482871224</c:v>
                </c:pt>
                <c:pt idx="367">
                  <c:v>6031.7799879608101</c:v>
                </c:pt>
                <c:pt idx="368">
                  <c:v>6046.5028423502335</c:v>
                </c:pt>
                <c:pt idx="369">
                  <c:v>6061.2800697696839</c:v>
                </c:pt>
                <c:pt idx="370">
                  <c:v>6076.026014174281</c:v>
                </c:pt>
                <c:pt idx="371">
                  <c:v>6090.7405839750718</c:v>
                </c:pt>
                <c:pt idx="372">
                  <c:v>6105.4666375264342</c:v>
                </c:pt>
                <c:pt idx="373">
                  <c:v>6119.7743549875213</c:v>
                </c:pt>
                <c:pt idx="374">
                  <c:v>6131.9422873933345</c:v>
                </c:pt>
                <c:pt idx="375">
                  <c:v>6144.1180543778755</c:v>
                </c:pt>
                <c:pt idx="376">
                  <c:v>6156.3447265048908</c:v>
                </c:pt>
                <c:pt idx="377">
                  <c:v>6168.4500191142752</c:v>
                </c:pt>
                <c:pt idx="378">
                  <c:v>6180.6061715700162</c:v>
                </c:pt>
                <c:pt idx="379">
                  <c:v>6192.7701233536218</c:v>
                </c:pt>
                <c:pt idx="380">
                  <c:v>6204.8987034190841</c:v>
                </c:pt>
                <c:pt idx="381">
                  <c:v>6217.0782411721111</c:v>
                </c:pt>
                <c:pt idx="382">
                  <c:v>6229.2655932568941</c:v>
                </c:pt>
                <c:pt idx="383">
                  <c:v>6241.4175055774876</c:v>
                </c:pt>
                <c:pt idx="384">
                  <c:v>6253.5339001816037</c:v>
                </c:pt>
                <c:pt idx="385">
                  <c:v>6265.701327697102</c:v>
                </c:pt>
                <c:pt idx="386">
                  <c:v>6277.8765340827949</c:v>
                </c:pt>
                <c:pt idx="387">
                  <c:v>6290.0161546679128</c:v>
                </c:pt>
                <c:pt idx="388">
                  <c:v>6302.2069059896694</c:v>
                </c:pt>
                <c:pt idx="389">
                  <c:v>6314.4054510929818</c:v>
                </c:pt>
                <c:pt idx="390">
                  <c:v>6326.5683421811063</c:v>
                </c:pt>
                <c:pt idx="391">
                  <c:v>6338.782462018652</c:v>
                </c:pt>
                <c:pt idx="392">
                  <c:v>6351.0043905776902</c:v>
                </c:pt>
                <c:pt idx="393">
                  <c:v>6363.1905967761732</c:v>
                </c:pt>
                <c:pt idx="394">
                  <c:v>6375.4281299247386</c:v>
                </c:pt>
                <c:pt idx="395">
                  <c:v>6387.673486763375</c:v>
                </c:pt>
                <c:pt idx="396">
                  <c:v>6399.9266722939228</c:v>
                </c:pt>
                <c:pt idx="397">
                  <c:v>6412.1876915214079</c:v>
                </c:pt>
                <c:pt idx="398">
                  <c:v>6424.4565494540693</c:v>
                </c:pt>
                <c:pt idx="399">
                  <c:v>6436.7332511033383</c:v>
                </c:pt>
                <c:pt idx="400">
                  <c:v>6449.0178014838575</c:v>
                </c:pt>
                <c:pt idx="401">
                  <c:v>6461.3102056134694</c:v>
                </c:pt>
                <c:pt idx="402">
                  <c:v>6473.6104685132241</c:v>
                </c:pt>
                <c:pt idx="403">
                  <c:v>6485.9185952073876</c:v>
                </c:pt>
                <c:pt idx="404">
                  <c:v>6498.2345907234348</c:v>
                </c:pt>
                <c:pt idx="405">
                  <c:v>6510.6023313446922</c:v>
                </c:pt>
                <c:pt idx="406">
                  <c:v>6522.9341076475221</c:v>
                </c:pt>
                <c:pt idx="407">
                  <c:v>6535.2737678918829</c:v>
                </c:pt>
                <c:pt idx="408">
                  <c:v>6547.6652726677576</c:v>
                </c:pt>
                <c:pt idx="409">
                  <c:v>6560.9444238064843</c:v>
                </c:pt>
                <c:pt idx="410">
                  <c:v>6574.7608987474887</c:v>
                </c:pt>
                <c:pt idx="411">
                  <c:v>6588.6312932643368</c:v>
                </c:pt>
                <c:pt idx="412">
                  <c:v>6602.4675484308291</c:v>
                </c:pt>
                <c:pt idx="413">
                  <c:v>6616.3136885807971</c:v>
                </c:pt>
                <c:pt idx="414">
                  <c:v>6630.213864076768</c:v>
                </c:pt>
                <c:pt idx="415">
                  <c:v>6644.0798269221368</c:v>
                </c:pt>
                <c:pt idx="416">
                  <c:v>6657.9556959749279</c:v>
                </c:pt>
                <c:pt idx="417">
                  <c:v>6671.8414783123926</c:v>
                </c:pt>
                <c:pt idx="418">
                  <c:v>6685.7371810168434</c:v>
                </c:pt>
                <c:pt idx="419">
                  <c:v>6699.6428111756477</c:v>
                </c:pt>
                <c:pt idx="420">
                  <c:v>6713.5140430197353</c:v>
                </c:pt>
                <c:pt idx="421">
                  <c:v>6727.4395176970611</c:v>
                </c:pt>
                <c:pt idx="422">
                  <c:v>6741.3305449703448</c:v>
                </c:pt>
                <c:pt idx="423">
                  <c:v>6755.2314647410194</c:v>
                </c:pt>
                <c:pt idx="424">
                  <c:v>6769.1422840540354</c:v>
                </c:pt>
                <c:pt idx="425">
                  <c:v>6783.107501005321</c:v>
                </c:pt>
                <c:pt idx="426">
                  <c:v>6797.0826950737646</c:v>
                </c:pt>
                <c:pt idx="427">
                  <c:v>6811.1124281284328</c:v>
                </c:pt>
                <c:pt idx="428">
                  <c:v>6825.1076296510964</c:v>
                </c:pt>
                <c:pt idx="429">
                  <c:v>6839.1574482402111</c:v>
                </c:pt>
                <c:pt idx="430">
                  <c:v>6853.1726858605834</c:v>
                </c:pt>
                <c:pt idx="431">
                  <c:v>6867.2426187394076</c:v>
                </c:pt>
                <c:pt idx="432">
                  <c:v>6881.4120647346826</c:v>
                </c:pt>
                <c:pt idx="433">
                  <c:v>6895.5469836221237</c:v>
                </c:pt>
                <c:pt idx="434">
                  <c:v>6909.7368442653615</c:v>
                </c:pt>
                <c:pt idx="435">
                  <c:v>6923.9369394081577</c:v>
                </c:pt>
                <c:pt idx="436">
                  <c:v>6938.1024327594359</c:v>
                </c:pt>
                <c:pt idx="437">
                  <c:v>6952.3229867079954</c:v>
                </c:pt>
                <c:pt idx="438">
                  <c:v>6966.5537972937873</c:v>
                </c:pt>
                <c:pt idx="439">
                  <c:v>6980.7948719144633</c:v>
                </c:pt>
                <c:pt idx="440">
                  <c:v>6995.0462179729939</c:v>
                </c:pt>
                <c:pt idx="441">
                  <c:v>7010.0729524186636</c:v>
                </c:pt>
                <c:pt idx="442">
                  <c:v>7025.2462314183022</c:v>
                </c:pt>
                <c:pt idx="443">
                  <c:v>7040.4311449371844</c:v>
                </c:pt>
                <c:pt idx="444">
                  <c:v>7055.6277018963847</c:v>
                </c:pt>
                <c:pt idx="445">
                  <c:v>7070.8810567899673</c:v>
                </c:pt>
                <c:pt idx="446">
                  <c:v>7086.1009620369932</c:v>
                </c:pt>
                <c:pt idx="447">
                  <c:v>7101.3325375551822</c:v>
                </c:pt>
                <c:pt idx="448">
                  <c:v>7116.6210418914743</c:v>
                </c:pt>
                <c:pt idx="449">
                  <c:v>7131.8760195006889</c:v>
                </c:pt>
                <c:pt idx="450">
                  <c:v>7147.1880133945551</c:v>
                </c:pt>
                <c:pt idx="451">
                  <c:v>7162.4664290502224</c:v>
                </c:pt>
                <c:pt idx="452">
                  <c:v>7177.8019485914811</c:v>
                </c:pt>
                <c:pt idx="453">
                  <c:v>7193.1038383042796</c:v>
                </c:pt>
                <c:pt idx="454">
                  <c:v>7208.4629196381911</c:v>
                </c:pt>
                <c:pt idx="455">
                  <c:v>7223.8338129202621</c:v>
                </c:pt>
                <c:pt idx="456">
                  <c:v>7239.1254704720213</c:v>
                </c:pt>
                <c:pt idx="457">
                  <c:v>7254.4743816424225</c:v>
                </c:pt>
                <c:pt idx="458">
                  <c:v>7269.789463930083</c:v>
                </c:pt>
                <c:pt idx="459">
                  <c:v>7285.1618875411295</c:v>
                </c:pt>
                <c:pt idx="460">
                  <c:v>7300.5004304481963</c:v>
                </c:pt>
                <c:pt idx="461">
                  <c:v>7315.8964025177384</c:v>
                </c:pt>
                <c:pt idx="462">
                  <c:v>7331.2584419826853</c:v>
                </c:pt>
                <c:pt idx="463">
                  <c:v>7346.5864529951168</c:v>
                </c:pt>
                <c:pt idx="464">
                  <c:v>7361.9719550248019</c:v>
                </c:pt>
                <c:pt idx="465">
                  <c:v>7377.3233766300445</c:v>
                </c:pt>
                <c:pt idx="466">
                  <c:v>7392.7323770590247</c:v>
                </c:pt>
                <c:pt idx="467">
                  <c:v>7408.1531576794523</c:v>
                </c:pt>
                <c:pt idx="468">
                  <c:v>7423.5397797298374</c:v>
                </c:pt>
                <c:pt idx="469">
                  <c:v>7438.9841126308347</c:v>
                </c:pt>
                <c:pt idx="470">
                  <c:v>7454.2561815876006</c:v>
                </c:pt>
                <c:pt idx="471">
                  <c:v>7468.8490137032441</c:v>
                </c:pt>
                <c:pt idx="472">
                  <c:v>7483.4062870335802</c:v>
                </c:pt>
                <c:pt idx="473">
                  <c:v>7497.9740267281459</c:v>
                </c:pt>
                <c:pt idx="474">
                  <c:v>7512.5522403120231</c:v>
                </c:pt>
                <c:pt idx="475">
                  <c:v>7527.1409353157178</c:v>
                </c:pt>
                <c:pt idx="476">
                  <c:v>7541.7401192751367</c:v>
                </c:pt>
                <c:pt idx="477">
                  <c:v>7556.3497997316181</c:v>
                </c:pt>
                <c:pt idx="478">
                  <c:v>7570.9699842319169</c:v>
                </c:pt>
                <c:pt idx="479">
                  <c:v>7585.6006803282035</c:v>
                </c:pt>
                <c:pt idx="480">
                  <c:v>7600.2418955781004</c:v>
                </c:pt>
                <c:pt idx="481">
                  <c:v>7614.8936375446428</c:v>
                </c:pt>
                <c:pt idx="482">
                  <c:v>7629.5559137963101</c:v>
                </c:pt>
                <c:pt idx="483">
                  <c:v>7644.2287319070347</c:v>
                </c:pt>
                <c:pt idx="484">
                  <c:v>7658.912099456179</c:v>
                </c:pt>
                <c:pt idx="485">
                  <c:v>7673.5595076079981</c:v>
                </c:pt>
                <c:pt idx="486">
                  <c:v>7688.2639633495874</c:v>
                </c:pt>
                <c:pt idx="487">
                  <c:v>7702.9789912763699</c:v>
                </c:pt>
                <c:pt idx="488">
                  <c:v>7717.704598989515</c:v>
                </c:pt>
                <c:pt idx="489">
                  <c:v>7732.4407940956635</c:v>
                </c:pt>
                <c:pt idx="490">
                  <c:v>7747.1875842069157</c:v>
                </c:pt>
                <c:pt idx="491">
                  <c:v>7761.8982595997277</c:v>
                </c:pt>
                <c:pt idx="492">
                  <c:v>7776.6662289906508</c:v>
                </c:pt>
                <c:pt idx="493">
                  <c:v>7791.3980317953228</c:v>
                </c:pt>
                <c:pt idx="494">
                  <c:v>7806.1872108835187</c:v>
                </c:pt>
                <c:pt idx="495">
                  <c:v>7820.9401714431497</c:v>
                </c:pt>
                <c:pt idx="496">
                  <c:v>7835.7037054832244</c:v>
                </c:pt>
                <c:pt idx="497">
                  <c:v>7850.5247393911741</c:v>
                </c:pt>
                <c:pt idx="498">
                  <c:v>7865.309476758478</c:v>
                </c:pt>
                <c:pt idx="499">
                  <c:v>7880.0578242935908</c:v>
                </c:pt>
                <c:pt idx="500">
                  <c:v>7894.8167084348825</c:v>
                </c:pt>
                <c:pt idx="501">
                  <c:v>7909.5861367099787</c:v>
                </c:pt>
                <c:pt idx="502">
                  <c:v>7924.5073775633218</c:v>
                </c:pt>
                <c:pt idx="503">
                  <c:v>7939.5807441884645</c:v>
                </c:pt>
                <c:pt idx="504">
                  <c:v>7954.6650854702475</c:v>
                </c:pt>
                <c:pt idx="505">
                  <c:v>7969.7604093991249</c:v>
                </c:pt>
                <c:pt idx="506">
                  <c:v>7984.866723971375</c:v>
                </c:pt>
                <c:pt idx="507">
                  <c:v>7999.9840371890905</c:v>
                </c:pt>
                <c:pt idx="508">
                  <c:v>8015.1123570601949</c:v>
                </c:pt>
                <c:pt idx="509">
                  <c:v>8030.2043640130642</c:v>
                </c:pt>
                <c:pt idx="510">
                  <c:v>8045.3546867796504</c:v>
                </c:pt>
                <c:pt idx="511">
                  <c:v>8060.516040233304</c:v>
                </c:pt>
                <c:pt idx="512">
                  <c:v>8075.6410014773173</c:v>
                </c:pt>
                <c:pt idx="513">
                  <c:v>8090.7769405174331</c:v>
                </c:pt>
                <c:pt idx="514">
                  <c:v>8105.9238653214143</c:v>
                </c:pt>
                <c:pt idx="515">
                  <c:v>8121.0817838627945</c:v>
                </c:pt>
                <c:pt idx="516">
                  <c:v>8136.2982729015757</c:v>
                </c:pt>
                <c:pt idx="517">
                  <c:v>8151.4306340808625</c:v>
                </c:pt>
                <c:pt idx="518">
                  <c:v>8166.6215817335788</c:v>
                </c:pt>
                <c:pt idx="519">
                  <c:v>8181.7758827511379</c:v>
                </c:pt>
                <c:pt idx="520">
                  <c:v>8196.9411483674194</c:v>
                </c:pt>
                <c:pt idx="521">
                  <c:v>8212.165127850003</c:v>
                </c:pt>
                <c:pt idx="522">
                  <c:v>8227.3523810114493</c:v>
                </c:pt>
                <c:pt idx="523">
                  <c:v>8242.5506226135094</c:v>
                </c:pt>
                <c:pt idx="524">
                  <c:v>8257.7598606066404</c:v>
                </c:pt>
                <c:pt idx="525">
                  <c:v>8272.9322232934519</c:v>
                </c:pt>
                <c:pt idx="526">
                  <c:v>8288.1634433007839</c:v>
                </c:pt>
                <c:pt idx="527">
                  <c:v>8303.4056835600768</c:v>
                </c:pt>
                <c:pt idx="528">
                  <c:v>8318.658952044816</c:v>
                </c:pt>
                <c:pt idx="529">
                  <c:v>8333.8752384698364</c:v>
                </c:pt>
                <c:pt idx="530">
                  <c:v>8349.1505526063411</c:v>
                </c:pt>
                <c:pt idx="531">
                  <c:v>8364.3888312327017</c:v>
                </c:pt>
                <c:pt idx="532">
                  <c:v>8379.6862228836944</c:v>
                </c:pt>
                <c:pt idx="533">
                  <c:v>8394.8983684394352</c:v>
                </c:pt>
                <c:pt idx="534">
                  <c:v>8409.880494435829</c:v>
                </c:pt>
                <c:pt idx="535">
                  <c:v>8424.8732217557736</c:v>
                </c:pt>
                <c:pt idx="536">
                  <c:v>8439.9248172580628</c:v>
                </c:pt>
                <c:pt idx="537">
                  <c:v>8454.9388038830693</c:v>
                </c:pt>
                <c:pt idx="538">
                  <c:v>8470.0117421640061</c:v>
                </c:pt>
                <c:pt idx="539">
                  <c:v>8485.0470182392255</c:v>
                </c:pt>
                <c:pt idx="540">
                  <c:v>8500.1413295623206</c:v>
                </c:pt>
                <c:pt idx="541">
                  <c:v>8515.1979252756555</c:v>
                </c:pt>
                <c:pt idx="542">
                  <c:v>8530.3136399473424</c:v>
                </c:pt>
                <c:pt idx="543">
                  <c:v>8545.3915855294927</c:v>
                </c:pt>
                <c:pt idx="544">
                  <c:v>8560.528733899162</c:v>
                </c:pt>
                <c:pt idx="545">
                  <c:v>8575.6280596237011</c:v>
                </c:pt>
                <c:pt idx="546">
                  <c:v>8590.7866720838047</c:v>
                </c:pt>
                <c:pt idx="547">
                  <c:v>8605.9074082672214</c:v>
                </c:pt>
                <c:pt idx="548">
                  <c:v>8621.0388438544869</c:v>
                </c:pt>
                <c:pt idx="549">
                  <c:v>8636.1322806886783</c:v>
                </c:pt>
                <c:pt idx="550">
                  <c:v>8651.2851033375555</c:v>
                </c:pt>
                <c:pt idx="551">
                  <c:v>8666.4486480946071</c:v>
                </c:pt>
                <c:pt idx="552">
                  <c:v>8681.6229225467723</c:v>
                </c:pt>
                <c:pt idx="553">
                  <c:v>8696.8079342863621</c:v>
                </c:pt>
                <c:pt idx="554">
                  <c:v>8711.954812729995</c:v>
                </c:pt>
                <c:pt idx="555">
                  <c:v>8731.4660366569533</c:v>
                </c:pt>
                <c:pt idx="556">
                  <c:v>8751.0929090738355</c:v>
                </c:pt>
                <c:pt idx="557">
                  <c:v>8770.7376902781998</c:v>
                </c:pt>
                <c:pt idx="558">
                  <c:v>8790.4003966111522</c:v>
                </c:pt>
                <c:pt idx="559">
                  <c:v>8810.0810444286944</c:v>
                </c:pt>
                <c:pt idx="560">
                  <c:v>8829.7305040477731</c:v>
                </c:pt>
                <c:pt idx="561">
                  <c:v>8849.3978483322608</c:v>
                </c:pt>
                <c:pt idx="562">
                  <c:v>8869.0830935605209</c:v>
                </c:pt>
                <c:pt idx="563">
                  <c:v>8888.7862560257581</c:v>
                </c:pt>
                <c:pt idx="564">
                  <c:v>8908.507352035982</c:v>
                </c:pt>
                <c:pt idx="565">
                  <c:v>8928.2463979140648</c:v>
                </c:pt>
                <c:pt idx="566">
                  <c:v>8947.262197617707</c:v>
                </c:pt>
                <c:pt idx="567">
                  <c:v>8966.245199359686</c:v>
                </c:pt>
                <c:pt idx="568">
                  <c:v>8985.1952880937115</c:v>
                </c:pt>
                <c:pt idx="569">
                  <c:v>9004.2114343580488</c:v>
                </c:pt>
                <c:pt idx="570">
                  <c:v>9023.1946101479662</c:v>
                </c:pt>
                <c:pt idx="571">
                  <c:v>9040.6062518759609</c:v>
                </c:pt>
                <c:pt idx="572">
                  <c:v>9055.3500403039325</c:v>
                </c:pt>
                <c:pt idx="573">
                  <c:v>9070.1534843783629</c:v>
                </c:pt>
                <c:pt idx="574">
                  <c:v>9084.9172388767638</c:v>
                </c:pt>
                <c:pt idx="575">
                  <c:v>9099.740729807434</c:v>
                </c:pt>
                <c:pt idx="576">
                  <c:v>9114.5244774143648</c:v>
                </c:pt>
                <c:pt idx="577">
                  <c:v>9129.3182149026143</c:v>
                </c:pt>
                <c:pt idx="578">
                  <c:v>9144.1718101389433</c:v>
                </c:pt>
                <c:pt idx="579">
                  <c:v>9159.0853712974222</c:v>
                </c:pt>
                <c:pt idx="580">
                  <c:v>9173.9591489633895</c:v>
                </c:pt>
                <c:pt idx="581">
                  <c:v>9188.8430111993257</c:v>
                </c:pt>
                <c:pt idx="582">
                  <c:v>9203.7369648426611</c:v>
                </c:pt>
                <c:pt idx="583">
                  <c:v>9218.6410167354752</c:v>
                </c:pt>
                <c:pt idx="584">
                  <c:v>9233.6052382506059</c:v>
                </c:pt>
                <c:pt idx="585">
                  <c:v>9248.5796397157337</c:v>
                </c:pt>
                <c:pt idx="586">
                  <c:v>9263.5642280561242</c:v>
                </c:pt>
                <c:pt idx="587">
                  <c:v>9278.5088434315403</c:v>
                </c:pt>
                <c:pt idx="588">
                  <c:v>9293.5137921894038</c:v>
                </c:pt>
                <c:pt idx="589">
                  <c:v>9308.5289486034253</c:v>
                </c:pt>
                <c:pt idx="590">
                  <c:v>9323.5543196177405</c:v>
                </c:pt>
                <c:pt idx="591">
                  <c:v>9338.5899121811944</c:v>
                </c:pt>
                <c:pt idx="592">
                  <c:v>9353.6860708886707</c:v>
                </c:pt>
                <c:pt idx="593">
                  <c:v>9368.7421616598513</c:v>
                </c:pt>
                <c:pt idx="594">
                  <c:v>9383.8084948783908</c:v>
                </c:pt>
                <c:pt idx="595">
                  <c:v>9398.9355180699931</c:v>
                </c:pt>
                <c:pt idx="596">
                  <c:v>9414.0223914053695</c:v>
                </c:pt>
                <c:pt idx="597">
                  <c:v>9429.1700374531974</c:v>
                </c:pt>
                <c:pt idx="598">
                  <c:v>9444.328022707894</c:v>
                </c:pt>
                <c:pt idx="599">
                  <c:v>9459.344619674237</c:v>
                </c:pt>
                <c:pt idx="600">
                  <c:v>9474.118304360778</c:v>
                </c:pt>
                <c:pt idx="601">
                  <c:v>9488.8511588278816</c:v>
                </c:pt>
                <c:pt idx="602">
                  <c:v>9503.6951251353676</c:v>
                </c:pt>
                <c:pt idx="603">
                  <c:v>9518.4982742689735</c:v>
                </c:pt>
                <c:pt idx="604">
                  <c:v>9533.3112579377157</c:v>
                </c:pt>
                <c:pt idx="605">
                  <c:v>9548.1340826751984</c:v>
                </c:pt>
                <c:pt idx="606">
                  <c:v>9563.0175687700812</c:v>
                </c:pt>
                <c:pt idx="607">
                  <c:v>9577.8601290216011</c:v>
                </c:pt>
                <c:pt idx="608">
                  <c:v>9592.8143129179425</c:v>
                </c:pt>
                <c:pt idx="609">
                  <c:v>9607.9821631426712</c:v>
                </c:pt>
                <c:pt idx="610">
                  <c:v>9623.1093467805185</c:v>
                </c:pt>
                <c:pt idx="611">
                  <c:v>9638.2977373410922</c:v>
                </c:pt>
                <c:pt idx="612">
                  <c:v>9653.4454062440036</c:v>
                </c:pt>
                <c:pt idx="613">
                  <c:v>9668.6543649561863</c:v>
                </c:pt>
                <c:pt idx="614">
                  <c:v>9683.8225468653472</c:v>
                </c:pt>
                <c:pt idx="615">
                  <c:v>9699.052101582578</c:v>
                </c:pt>
                <c:pt idx="616">
                  <c:v>9714.2408242767506</c:v>
                </c:pt>
                <c:pt idx="617">
                  <c:v>9729.4910028901832</c:v>
                </c:pt>
                <c:pt idx="618">
                  <c:v>9744.7002941857427</c:v>
                </c:pt>
                <c:pt idx="619">
                  <c:v>9759.9711246243023</c:v>
                </c:pt>
                <c:pt idx="620">
                  <c:v>9775.1497160286799</c:v>
                </c:pt>
                <c:pt idx="621">
                  <c:v>9790.1845376006677</c:v>
                </c:pt>
                <c:pt idx="622">
                  <c:v>9805.2293818387734</c:v>
                </c:pt>
                <c:pt idx="623">
                  <c:v>9820.2842554244035</c:v>
                </c:pt>
                <c:pt idx="624">
                  <c:v>9835.3491650434262</c:v>
                </c:pt>
                <c:pt idx="625">
                  <c:v>9850.4241173861647</c:v>
                </c:pt>
                <c:pt idx="626">
                  <c:v>9865.5091191474003</c:v>
                </c:pt>
                <c:pt idx="627">
                  <c:v>9880.6041770263782</c:v>
                </c:pt>
                <c:pt idx="628">
                  <c:v>9895.760868278112</c:v>
                </c:pt>
                <c:pt idx="629">
                  <c:v>9910.927697933832</c:v>
                </c:pt>
                <c:pt idx="630">
                  <c:v>9926.0530332090802</c:v>
                </c:pt>
                <c:pt idx="631">
                  <c:v>9941.2401254801971</c:v>
                </c:pt>
                <c:pt idx="632">
                  <c:v>9956.3856679350883</c:v>
                </c:pt>
                <c:pt idx="633">
                  <c:v>9971.6447930359045</c:v>
                </c:pt>
                <c:pt idx="634">
                  <c:v>9986.8623819155328</c:v>
                </c:pt>
                <c:pt idx="635">
                  <c:v>10002.038337544363</c:v>
                </c:pt>
                <c:pt idx="636">
                  <c:v>10017.224409923536</c:v>
                </c:pt>
                <c:pt idx="637">
                  <c:v>10032.472487289187</c:v>
                </c:pt>
                <c:pt idx="638">
                  <c:v>10047.678847991696</c:v>
                </c:pt>
                <c:pt idx="639">
                  <c:v>10062.999247441154</c:v>
                </c:pt>
                <c:pt idx="640">
                  <c:v>10078.329929668555</c:v>
                </c:pt>
                <c:pt idx="641">
                  <c:v>10093.618880892116</c:v>
                </c:pt>
                <c:pt idx="642">
                  <c:v>10108.970114469503</c:v>
                </c:pt>
                <c:pt idx="643">
                  <c:v>10124.331651520137</c:v>
                </c:pt>
                <c:pt idx="644">
                  <c:v>10139.703498959529</c:v>
                </c:pt>
                <c:pt idx="645">
                  <c:v>10155.085663707821</c:v>
                </c:pt>
                <c:pt idx="646">
                  <c:v>10170.47815268981</c:v>
                </c:pt>
                <c:pt idx="647">
                  <c:v>10185.933203362258</c:v>
                </c:pt>
                <c:pt idx="648">
                  <c:v>10201.346396660801</c:v>
                </c:pt>
                <c:pt idx="649">
                  <c:v>10216.76993501885</c:v>
                </c:pt>
                <c:pt idx="650">
                  <c:v>10232.256161265372</c:v>
                </c:pt>
                <c:pt idx="651">
                  <c:v>10247.752816835822</c:v>
                </c:pt>
                <c:pt idx="652">
                  <c:v>10263.312315274445</c:v>
                </c:pt>
                <c:pt idx="653">
                  <c:v>10278.829885862229</c:v>
                </c:pt>
                <c:pt idx="654">
                  <c:v>10294.410384133882</c:v>
                </c:pt>
                <c:pt idx="655">
                  <c:v>10310.001410678389</c:v>
                </c:pt>
                <c:pt idx="656">
                  <c:v>10325.550424413934</c:v>
                </c:pt>
                <c:pt idx="657">
                  <c:v>10341.21507704802</c:v>
                </c:pt>
                <c:pt idx="658">
                  <c:v>10356.890350473204</c:v>
                </c:pt>
                <c:pt idx="659">
                  <c:v>10372.576251890494</c:v>
                </c:pt>
                <c:pt idx="660">
                  <c:v>10388.272788505763</c:v>
                </c:pt>
                <c:pt idx="661">
                  <c:v>10403.979967529793</c:v>
                </c:pt>
                <c:pt idx="662">
                  <c:v>10419.697796178234</c:v>
                </c:pt>
                <c:pt idx="663">
                  <c:v>10435.479079773047</c:v>
                </c:pt>
                <c:pt idx="664">
                  <c:v>10451.323933293093</c:v>
                </c:pt>
                <c:pt idx="665">
                  <c:v>10467.126731705357</c:v>
                </c:pt>
                <c:pt idx="666">
                  <c:v>10482.993186708516</c:v>
                </c:pt>
                <c:pt idx="667">
                  <c:v>10498.870471550192</c:v>
                </c:pt>
                <c:pt idx="668">
                  <c:v>10514.811572159846</c:v>
                </c:pt>
                <c:pt idx="669">
                  <c:v>10530.763589839973</c:v>
                </c:pt>
                <c:pt idx="670">
                  <c:v>10546.72653206701</c:v>
                </c:pt>
                <c:pt idx="671">
                  <c:v>10562.70040632249</c:v>
                </c:pt>
                <c:pt idx="672">
                  <c:v>10578.685220093086</c:v>
                </c:pt>
                <c:pt idx="673">
                  <c:v>10594.680980870591</c:v>
                </c:pt>
                <c:pt idx="674">
                  <c:v>10610.634499551188</c:v>
                </c:pt>
                <c:pt idx="675">
                  <c:v>10626.705373439172</c:v>
                </c:pt>
                <c:pt idx="676">
                  <c:v>10642.840559578564</c:v>
                </c:pt>
                <c:pt idx="677">
                  <c:v>10658.986869152719</c:v>
                </c:pt>
                <c:pt idx="678">
                  <c:v>10675.144309830017</c:v>
                </c:pt>
                <c:pt idx="679">
                  <c:v>10691.312889284131</c:v>
                </c:pt>
                <c:pt idx="680">
                  <c:v>10707.49261519402</c:v>
                </c:pt>
                <c:pt idx="681">
                  <c:v>10723.736948967044</c:v>
                </c:pt>
                <c:pt idx="682">
                  <c:v>10739.992518392224</c:v>
                </c:pt>
                <c:pt idx="683">
                  <c:v>10756.312859055544</c:v>
                </c:pt>
                <c:pt idx="684">
                  <c:v>10772.590960127738</c:v>
                </c:pt>
                <c:pt idx="685">
                  <c:v>10788.933922216695</c:v>
                </c:pt>
                <c:pt idx="686">
                  <c:v>10805.288225372329</c:v>
                </c:pt>
                <c:pt idx="687">
                  <c:v>10821.600201036606</c:v>
                </c:pt>
                <c:pt idx="688">
                  <c:v>10837.977172692881</c:v>
                </c:pt>
                <c:pt idx="689">
                  <c:v>10854.311758188169</c:v>
                </c:pt>
                <c:pt idx="690">
                  <c:v>10870.711429765603</c:v>
                </c:pt>
                <c:pt idx="691">
                  <c:v>10887.068656431116</c:v>
                </c:pt>
                <c:pt idx="692">
                  <c:v>10903.491059393802</c:v>
                </c:pt>
                <c:pt idx="693">
                  <c:v>10919.924858550528</c:v>
                </c:pt>
                <c:pt idx="694">
                  <c:v>10936.370061809588</c:v>
                </c:pt>
                <c:pt idx="695">
                  <c:v>10952.826677084768</c:v>
                </c:pt>
                <c:pt idx="696">
                  <c:v>10969.348724644704</c:v>
                </c:pt>
                <c:pt idx="697">
                  <c:v>10985.828225196885</c:v>
                </c:pt>
                <c:pt idx="698">
                  <c:v>11002.373249026765</c:v>
                </c:pt>
                <c:pt idx="699">
                  <c:v>11018.875666681197</c:v>
                </c:pt>
                <c:pt idx="700">
                  <c:v>11034.84791605455</c:v>
                </c:pt>
                <c:pt idx="701">
                  <c:v>11050.55989857528</c:v>
                </c:pt>
                <c:pt idx="702">
                  <c:v>11066.336480840537</c:v>
                </c:pt>
                <c:pt idx="703">
                  <c:v>11082.069239591372</c:v>
                </c:pt>
                <c:pt idx="704">
                  <c:v>11097.81237885394</c:v>
                </c:pt>
                <c:pt idx="705">
                  <c:v>11113.620245961831</c:v>
                </c:pt>
                <c:pt idx="706">
                  <c:v>11129.438579115778</c:v>
                </c:pt>
                <c:pt idx="707">
                  <c:v>11145.267385245123</c:v>
                </c:pt>
                <c:pt idx="708">
                  <c:v>11161.161119896595</c:v>
                </c:pt>
                <c:pt idx="709">
                  <c:v>11177.010928832369</c:v>
                </c:pt>
                <c:pt idx="710">
                  <c:v>11192.925752442126</c:v>
                </c:pt>
                <c:pt idx="711">
                  <c:v>11208.796592052367</c:v>
                </c:pt>
                <c:pt idx="712">
                  <c:v>11224.732532602779</c:v>
                </c:pt>
                <c:pt idx="713">
                  <c:v>11240.624430792503</c:v>
                </c:pt>
                <c:pt idx="714">
                  <c:v>11256.581516303046</c:v>
                </c:pt>
                <c:pt idx="715">
                  <c:v>11272.494501014309</c:v>
                </c:pt>
                <c:pt idx="716">
                  <c:v>11288.418021367719</c:v>
                </c:pt>
                <c:pt idx="717">
                  <c:v>11304.406858753577</c:v>
                </c:pt>
                <c:pt idx="718">
                  <c:v>11320.406318391606</c:v>
                </c:pt>
                <c:pt idx="719">
                  <c:v>11336.471254681783</c:v>
                </c:pt>
                <c:pt idx="720">
                  <c:v>11352.49201643772</c:v>
                </c:pt>
                <c:pt idx="721">
                  <c:v>11368.578342023211</c:v>
                </c:pt>
                <c:pt idx="722">
                  <c:v>11384.675391239141</c:v>
                </c:pt>
                <c:pt idx="723">
                  <c:v>11400.72817761837</c:v>
                </c:pt>
                <c:pt idx="724">
                  <c:v>11416.846658885641</c:v>
                </c:pt>
                <c:pt idx="725">
                  <c:v>11432.975885219312</c:v>
                </c:pt>
                <c:pt idx="726">
                  <c:v>11449.060760237286</c:v>
                </c:pt>
                <c:pt idx="727">
                  <c:v>11465.211461463787</c:v>
                </c:pt>
                <c:pt idx="728">
                  <c:v>11481.372929235482</c:v>
                </c:pt>
                <c:pt idx="729">
                  <c:v>11497.489957035634</c:v>
                </c:pt>
                <c:pt idx="730">
                  <c:v>11513.672942627296</c:v>
                </c:pt>
                <c:pt idx="731">
                  <c:v>11529.866716285876</c:v>
                </c:pt>
                <c:pt idx="732">
                  <c:v>11546.071285203036</c:v>
                </c:pt>
                <c:pt idx="733">
                  <c:v>11562.286656575216</c:v>
                </c:pt>
                <c:pt idx="734">
                  <c:v>11578.512837603661</c:v>
                </c:pt>
                <c:pt idx="735">
                  <c:v>11594.749835494413</c:v>
                </c:pt>
                <c:pt idx="736">
                  <c:v>11611.053129318008</c:v>
                </c:pt>
                <c:pt idx="737">
                  <c:v>11627.311819549937</c:v>
                </c:pt>
                <c:pt idx="738">
                  <c:v>11643.636894284904</c:v>
                </c:pt>
                <c:pt idx="739">
                  <c:v>11659.917305838602</c:v>
                </c:pt>
                <c:pt idx="740">
                  <c:v>11676.264190583846</c:v>
                </c:pt>
                <c:pt idx="741">
                  <c:v>11692.566352478605</c:v>
                </c:pt>
                <c:pt idx="742">
                  <c:v>11708.935076371921</c:v>
                </c:pt>
                <c:pt idx="743">
                  <c:v>11725.25901766581</c:v>
                </c:pt>
                <c:pt idx="744">
                  <c:v>11741.649609883907</c:v>
                </c:pt>
                <c:pt idx="745">
                  <c:v>11757.995359673827</c:v>
                </c:pt>
                <c:pt idx="746">
                  <c:v>11774.407849432397</c:v>
                </c:pt>
                <c:pt idx="747">
                  <c:v>11790.775436854105</c:v>
                </c:pt>
                <c:pt idx="748">
                  <c:v>11807.153935403889</c:v>
                </c:pt>
                <c:pt idx="749">
                  <c:v>11823.599307636066</c:v>
                </c:pt>
                <c:pt idx="750">
                  <c:v>11839.999687569396</c:v>
                </c:pt>
                <c:pt idx="751">
                  <c:v>11856.467030527177</c:v>
                </c:pt>
                <c:pt idx="752">
                  <c:v>11872.889321077202</c:v>
                </c:pt>
                <c:pt idx="753">
                  <c:v>11889.378664113083</c:v>
                </c:pt>
                <c:pt idx="754">
                  <c:v>11905.822894551997</c:v>
                </c:pt>
                <c:pt idx="755">
                  <c:v>11922.334267057699</c:v>
                </c:pt>
                <c:pt idx="756">
                  <c:v>11938.800466696799</c:v>
                </c:pt>
                <c:pt idx="757">
                  <c:v>11955.333898103298</c:v>
                </c:pt>
                <c:pt idx="758">
                  <c:v>11971.82209629305</c:v>
                </c:pt>
                <c:pt idx="759">
                  <c:v>11988.377616070647</c:v>
                </c:pt>
                <c:pt idx="760">
                  <c:v>12004.887842200722</c:v>
                </c:pt>
                <c:pt idx="761">
                  <c:v>12021.409074546149</c:v>
                </c:pt>
                <c:pt idx="762">
                  <c:v>12037.997763358431</c:v>
                </c:pt>
                <c:pt idx="763">
                  <c:v>12054.541067777222</c:v>
                </c:pt>
                <c:pt idx="764">
                  <c:v>12071.151918783515</c:v>
                </c:pt>
                <c:pt idx="765">
                  <c:v>12087.717324763582</c:v>
                </c:pt>
                <c:pt idx="766">
                  <c:v>12104.350367572182</c:v>
                </c:pt>
                <c:pt idx="767">
                  <c:v>12120.937904640808</c:v>
                </c:pt>
                <c:pt idx="768">
                  <c:v>12136.913144162432</c:v>
                </c:pt>
                <c:pt idx="769">
                  <c:v>12151.76457286014</c:v>
                </c:pt>
                <c:pt idx="770">
                  <c:v>12166.624854172866</c:v>
                </c:pt>
                <c:pt idx="771">
                  <c:v>12181.493993377459</c:v>
                </c:pt>
                <c:pt idx="772">
                  <c:v>12196.315192628725</c:v>
                </c:pt>
                <c:pt idx="773">
                  <c:v>12211.202029601076</c:v>
                </c:pt>
                <c:pt idx="774">
                  <c:v>12226.097740294545</c:v>
                </c:pt>
                <c:pt idx="775">
                  <c:v>12241.002329998573</c:v>
                </c:pt>
                <c:pt idx="776">
                  <c:v>12255.915804005737</c:v>
                </c:pt>
                <c:pt idx="777">
                  <c:v>12270.838167611784</c:v>
                </c:pt>
                <c:pt idx="778">
                  <c:v>12285.712419662417</c:v>
                </c:pt>
                <c:pt idx="779">
                  <c:v>12300.652544385766</c:v>
                </c:pt>
                <c:pt idx="780">
                  <c:v>12315.601574593902</c:v>
                </c:pt>
                <c:pt idx="781">
                  <c:v>12330.559515595203</c:v>
                </c:pt>
                <c:pt idx="782">
                  <c:v>12345.526372701193</c:v>
                </c:pt>
                <c:pt idx="783">
                  <c:v>12360.444974799202</c:v>
                </c:pt>
                <c:pt idx="784">
                  <c:v>12375.429645980208</c:v>
                </c:pt>
                <c:pt idx="785">
                  <c:v>12390.423249199188</c:v>
                </c:pt>
                <c:pt idx="786">
                  <c:v>12405.425789780333</c:v>
                </c:pt>
                <c:pt idx="787">
                  <c:v>12420.437273051017</c:v>
                </c:pt>
                <c:pt idx="788">
                  <c:v>12435.400357433415</c:v>
                </c:pt>
                <c:pt idx="789">
                  <c:v>12450.429707894727</c:v>
                </c:pt>
                <c:pt idx="790">
                  <c:v>12465.468017026365</c:v>
                </c:pt>
                <c:pt idx="791">
                  <c:v>12480.515290168396</c:v>
                </c:pt>
                <c:pt idx="792">
                  <c:v>12495.571532664075</c:v>
                </c:pt>
                <c:pt idx="793">
                  <c:v>12510.636749859837</c:v>
                </c:pt>
                <c:pt idx="794">
                  <c:v>12525.653394922461</c:v>
                </c:pt>
                <c:pt idx="795">
                  <c:v>12540.736543264842</c:v>
                </c:pt>
                <c:pt idx="796">
                  <c:v>12555.828682345302</c:v>
                </c:pt>
                <c:pt idx="797">
                  <c:v>12570.929817523023</c:v>
                </c:pt>
                <c:pt idx="798">
                  <c:v>12586.039954160384</c:v>
                </c:pt>
                <c:pt idx="799">
                  <c:v>12601.101373838741</c:v>
                </c:pt>
                <c:pt idx="800">
                  <c:v>12616.229495087411</c:v>
                </c:pt>
                <c:pt idx="801">
                  <c:v>12631.366633881527</c:v>
                </c:pt>
                <c:pt idx="802">
                  <c:v>12646.512795596262</c:v>
                </c:pt>
                <c:pt idx="803">
                  <c:v>12661.667985609982</c:v>
                </c:pt>
                <c:pt idx="804">
                  <c:v>12676.832209304261</c:v>
                </c:pt>
                <c:pt idx="805">
                  <c:v>12691.947541656129</c:v>
                </c:pt>
                <c:pt idx="806">
                  <c:v>12707.303709549926</c:v>
                </c:pt>
                <c:pt idx="807">
                  <c:v>12723.481151717118</c:v>
                </c:pt>
                <c:pt idx="808">
                  <c:v>12739.61082398343</c:v>
                </c:pt>
                <c:pt idx="809">
                  <c:v>12755.808773655441</c:v>
                </c:pt>
                <c:pt idx="810">
                  <c:v>12772.017005258745</c:v>
                </c:pt>
                <c:pt idx="811">
                  <c:v>12788.177376043939</c:v>
                </c:pt>
                <c:pt idx="812">
                  <c:v>12804.406154182614</c:v>
                </c:pt>
                <c:pt idx="813">
                  <c:v>12820.645233821486</c:v>
                </c:pt>
                <c:pt idx="814">
                  <c:v>12836.836361551979</c:v>
                </c:pt>
                <c:pt idx="815">
                  <c:v>12853.096026831065</c:v>
                </c:pt>
                <c:pt idx="816">
                  <c:v>12869.366013216502</c:v>
                </c:pt>
                <c:pt idx="817">
                  <c:v>12885.587956429919</c:v>
                </c:pt>
                <c:pt idx="818">
                  <c:v>12901.878567634829</c:v>
                </c:pt>
                <c:pt idx="819">
                  <c:v>12918.179519589559</c:v>
                </c:pt>
                <c:pt idx="820">
                  <c:v>12934.432336934928</c:v>
                </c:pt>
                <c:pt idx="821">
                  <c:v>12950.753952962959</c:v>
                </c:pt>
                <c:pt idx="822">
                  <c:v>12967.085929421666</c:v>
                </c:pt>
                <c:pt idx="823">
                  <c:v>12983.369679659641</c:v>
                </c:pt>
                <c:pt idx="824">
                  <c:v>12999.722359520187</c:v>
                </c:pt>
                <c:pt idx="825">
                  <c:v>13016.085419529712</c:v>
                </c:pt>
                <c:pt idx="826">
                  <c:v>13032.400161532796</c:v>
                </c:pt>
                <c:pt idx="827">
                  <c:v>13048.783964347555</c:v>
                </c:pt>
                <c:pt idx="828">
                  <c:v>13065.178167067124</c:v>
                </c:pt>
                <c:pt idx="829">
                  <c:v>13081.523959819857</c:v>
                </c:pt>
                <c:pt idx="830">
                  <c:v>13097.938944823049</c:v>
                </c:pt>
                <c:pt idx="831">
                  <c:v>13114.364349524494</c:v>
                </c:pt>
                <c:pt idx="832">
                  <c:v>13130.741252123671</c:v>
                </c:pt>
                <c:pt idx="833">
                  <c:v>13147.18747866225</c:v>
                </c:pt>
                <c:pt idx="834">
                  <c:v>13163.644144730206</c:v>
                </c:pt>
                <c:pt idx="835">
                  <c:v>13180.052216385096</c:v>
                </c:pt>
                <c:pt idx="836">
                  <c:v>13196.529743918982</c:v>
                </c:pt>
                <c:pt idx="837">
                  <c:v>13213.017730851087</c:v>
                </c:pt>
                <c:pt idx="838">
                  <c:v>13229.457030883665</c:v>
                </c:pt>
                <c:pt idx="839">
                  <c:v>13245.965918985932</c:v>
                </c:pt>
                <c:pt idx="840">
                  <c:v>13262.485286393094</c:v>
                </c:pt>
                <c:pt idx="841">
                  <c:v>13278.955874238218</c:v>
                </c:pt>
                <c:pt idx="842">
                  <c:v>13295.733395959265</c:v>
                </c:pt>
                <c:pt idx="843">
                  <c:v>13312.996458915904</c:v>
                </c:pt>
                <c:pt idx="844">
                  <c:v>13330.270951372222</c:v>
                </c:pt>
                <c:pt idx="845">
                  <c:v>13347.616302442666</c:v>
                </c:pt>
                <c:pt idx="846">
                  <c:v>13364.913715946732</c:v>
                </c:pt>
                <c:pt idx="847">
                  <c:v>13382.222581693226</c:v>
                </c:pt>
                <c:pt idx="848">
                  <c:v>13399.602447050387</c:v>
                </c:pt>
                <c:pt idx="849">
                  <c:v>13416.934279453602</c:v>
                </c:pt>
                <c:pt idx="850">
                  <c:v>13434.27758688725</c:v>
                </c:pt>
                <c:pt idx="851">
                  <c:v>13451.692035208673</c:v>
                </c:pt>
                <c:pt idx="852">
                  <c:v>13469.058354998768</c:v>
                </c:pt>
                <c:pt idx="853">
                  <c:v>13486.436172652651</c:v>
                </c:pt>
                <c:pt idx="854">
                  <c:v>13503.885272752525</c:v>
                </c:pt>
                <c:pt idx="855">
                  <c:v>13521.28614855351</c:v>
                </c:pt>
                <c:pt idx="856">
                  <c:v>13538.698545097064</c:v>
                </c:pt>
                <c:pt idx="857">
                  <c:v>13556.122470010832</c:v>
                </c:pt>
                <c:pt idx="858">
                  <c:v>13573.617866498958</c:v>
                </c:pt>
                <c:pt idx="859">
                  <c:v>13591.064910738274</c:v>
                </c:pt>
                <c:pt idx="860">
                  <c:v>13608.523506287289</c:v>
                </c:pt>
                <c:pt idx="861">
                  <c:v>13626.053715626889</c:v>
                </c:pt>
                <c:pt idx="862">
                  <c:v>13643.535476504972</c:v>
                </c:pt>
                <c:pt idx="863">
                  <c:v>13661.028811677888</c:v>
                </c:pt>
                <c:pt idx="864">
                  <c:v>13678.593903140596</c:v>
                </c:pt>
                <c:pt idx="865">
                  <c:v>13696.110449737622</c:v>
                </c:pt>
                <c:pt idx="866">
                  <c:v>13713.638593660346</c:v>
                </c:pt>
                <c:pt idx="867">
                  <c:v>13731.238636655635</c:v>
                </c:pt>
                <c:pt idx="868">
                  <c:v>13748.790038189249</c:v>
                </c:pt>
                <c:pt idx="869">
                  <c:v>13766.353060125255</c:v>
                </c:pt>
                <c:pt idx="870">
                  <c:v>13783.988124200701</c:v>
                </c:pt>
                <c:pt idx="871">
                  <c:v>13801.574450026274</c:v>
                </c:pt>
                <c:pt idx="872">
                  <c:v>13819.172419376846</c:v>
                </c:pt>
                <c:pt idx="873">
                  <c:v>13836.842574218424</c:v>
                </c:pt>
                <c:pt idx="874">
                  <c:v>13854.463893829328</c:v>
                </c:pt>
                <c:pt idx="875">
                  <c:v>13872.096880133869</c:v>
                </c:pt>
                <c:pt idx="876">
                  <c:v>13889.802195566204</c:v>
                </c:pt>
                <c:pt idx="877">
                  <c:v>13906.608863003275</c:v>
                </c:pt>
                <c:pt idx="878">
                  <c:v>13923.426122266321</c:v>
                </c:pt>
                <c:pt idx="879">
                  <c:v>13940.253980030475</c:v>
                </c:pt>
                <c:pt idx="880">
                  <c:v>13957.092442975087</c:v>
                </c:pt>
                <c:pt idx="881">
                  <c:v>13973.941517783702</c:v>
                </c:pt>
                <c:pt idx="882">
                  <c:v>13990.801211144086</c:v>
                </c:pt>
                <c:pt idx="883">
                  <c:v>14007.610606953032</c:v>
                </c:pt>
                <c:pt idx="884">
                  <c:v>14024.491519102607</c:v>
                </c:pt>
                <c:pt idx="885">
                  <c:v>14041.383069868336</c:v>
                </c:pt>
                <c:pt idx="886">
                  <c:v>14058.285265954857</c:v>
                </c:pt>
                <c:pt idx="887">
                  <c:v>14075.198114071007</c:v>
                </c:pt>
                <c:pt idx="888">
                  <c:v>14092.121620929865</c:v>
                </c:pt>
                <c:pt idx="889">
                  <c:v>14109.055793248746</c:v>
                </c:pt>
                <c:pt idx="890">
                  <c:v>14125.939445822984</c:v>
                </c:pt>
                <c:pt idx="891">
                  <c:v>14142.894930666645</c:v>
                </c:pt>
                <c:pt idx="892">
                  <c:v>14159.861101123341</c:v>
                </c:pt>
                <c:pt idx="893">
                  <c:v>14176.837963927328</c:v>
                </c:pt>
                <c:pt idx="894">
                  <c:v>14193.825525817088</c:v>
                </c:pt>
                <c:pt idx="895">
                  <c:v>14210.823793535355</c:v>
                </c:pt>
                <c:pt idx="896">
                  <c:v>14227.832773829101</c:v>
                </c:pt>
                <c:pt idx="897">
                  <c:v>14244.791011203459</c:v>
                </c:pt>
                <c:pt idx="898">
                  <c:v>14261.82139817166</c:v>
                </c:pt>
                <c:pt idx="899">
                  <c:v>14278.862517957403</c:v>
                </c:pt>
                <c:pt idx="900">
                  <c:v>14295.91437732468</c:v>
                </c:pt>
                <c:pt idx="901">
                  <c:v>14312.976983041741</c:v>
                </c:pt>
                <c:pt idx="902">
                  <c:v>14330.050341881106</c:v>
                </c:pt>
                <c:pt idx="903">
                  <c:v>14347.13446061956</c:v>
                </c:pt>
                <c:pt idx="904">
                  <c:v>14364.16761227797</c:v>
                </c:pt>
                <c:pt idx="905">
                  <c:v>14381.211459731179</c:v>
                </c:pt>
                <c:pt idx="906">
                  <c:v>14397.15343007049</c:v>
                </c:pt>
                <c:pt idx="907">
                  <c:v>14413.104757951669</c:v>
                </c:pt>
                <c:pt idx="908">
                  <c:v>14429.065448867364</c:v>
                </c:pt>
                <c:pt idx="909">
                  <c:v>14444.97359076547</c:v>
                </c:pt>
                <c:pt idx="910">
                  <c:v>14460.952987896964</c:v>
                </c:pt>
                <c:pt idx="911">
                  <c:v>14476.941764538924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1-4157-8078-F0D74C559DC2}"/>
            </c:ext>
          </c:extLst>
        </c:ser>
        <c:ser>
          <c:idx val="0"/>
          <c:order val="1"/>
          <c:tx>
            <c:v>Depth  (measured)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'NunR-005'!$C$15:$C$926</c:f>
              <c:numCache>
                <c:formatCode>0.00</c:formatCode>
                <c:ptCount val="912"/>
                <c:pt idx="0">
                  <c:v>0</c:v>
                </c:pt>
                <c:pt idx="1">
                  <c:v>9.49</c:v>
                </c:pt>
                <c:pt idx="2">
                  <c:v>19.38</c:v>
                </c:pt>
                <c:pt idx="3">
                  <c:v>29.27</c:v>
                </c:pt>
                <c:pt idx="4">
                  <c:v>39.159999999999997</c:v>
                </c:pt>
                <c:pt idx="5">
                  <c:v>44.59</c:v>
                </c:pt>
                <c:pt idx="6">
                  <c:v>49.55</c:v>
                </c:pt>
                <c:pt idx="7">
                  <c:v>54.5</c:v>
                </c:pt>
                <c:pt idx="8">
                  <c:v>59.46</c:v>
                </c:pt>
                <c:pt idx="9">
                  <c:v>64.42</c:v>
                </c:pt>
                <c:pt idx="10">
                  <c:v>69.38</c:v>
                </c:pt>
                <c:pt idx="11">
                  <c:v>74.33</c:v>
                </c:pt>
                <c:pt idx="12">
                  <c:v>79.290000000000006</c:v>
                </c:pt>
                <c:pt idx="13">
                  <c:v>84.25</c:v>
                </c:pt>
                <c:pt idx="14">
                  <c:v>89.21</c:v>
                </c:pt>
                <c:pt idx="15">
                  <c:v>94.17</c:v>
                </c:pt>
                <c:pt idx="16">
                  <c:v>99.12</c:v>
                </c:pt>
                <c:pt idx="17">
                  <c:v>104.08</c:v>
                </c:pt>
                <c:pt idx="18">
                  <c:v>109.04</c:v>
                </c:pt>
                <c:pt idx="19">
                  <c:v>114</c:v>
                </c:pt>
                <c:pt idx="20">
                  <c:v>118.95</c:v>
                </c:pt>
                <c:pt idx="21">
                  <c:v>123.91</c:v>
                </c:pt>
                <c:pt idx="22">
                  <c:v>128.87</c:v>
                </c:pt>
                <c:pt idx="23">
                  <c:v>133.83000000000001</c:v>
                </c:pt>
                <c:pt idx="24">
                  <c:v>138.78</c:v>
                </c:pt>
                <c:pt idx="25">
                  <c:v>143.74</c:v>
                </c:pt>
                <c:pt idx="26">
                  <c:v>148.69999999999999</c:v>
                </c:pt>
                <c:pt idx="27">
                  <c:v>153.66</c:v>
                </c:pt>
                <c:pt idx="28">
                  <c:v>158.61000000000001</c:v>
                </c:pt>
                <c:pt idx="29">
                  <c:v>163.57</c:v>
                </c:pt>
                <c:pt idx="30">
                  <c:v>168.53</c:v>
                </c:pt>
                <c:pt idx="31">
                  <c:v>173.49</c:v>
                </c:pt>
                <c:pt idx="32">
                  <c:v>178.45</c:v>
                </c:pt>
                <c:pt idx="33">
                  <c:v>183.4</c:v>
                </c:pt>
                <c:pt idx="34">
                  <c:v>188.36</c:v>
                </c:pt>
                <c:pt idx="35">
                  <c:v>193.32</c:v>
                </c:pt>
                <c:pt idx="36">
                  <c:v>198.28</c:v>
                </c:pt>
                <c:pt idx="37">
                  <c:v>203.23</c:v>
                </c:pt>
                <c:pt idx="38">
                  <c:v>208.19</c:v>
                </c:pt>
                <c:pt idx="39">
                  <c:v>213.15</c:v>
                </c:pt>
                <c:pt idx="40">
                  <c:v>218.11</c:v>
                </c:pt>
                <c:pt idx="41">
                  <c:v>223.06</c:v>
                </c:pt>
                <c:pt idx="42">
                  <c:v>228.02</c:v>
                </c:pt>
                <c:pt idx="43">
                  <c:v>232.98</c:v>
                </c:pt>
                <c:pt idx="44">
                  <c:v>237.94</c:v>
                </c:pt>
                <c:pt idx="45">
                  <c:v>242.9</c:v>
                </c:pt>
                <c:pt idx="46">
                  <c:v>247.85</c:v>
                </c:pt>
                <c:pt idx="47">
                  <c:v>252.81</c:v>
                </c:pt>
                <c:pt idx="48">
                  <c:v>257.77</c:v>
                </c:pt>
                <c:pt idx="49">
                  <c:v>262.73</c:v>
                </c:pt>
                <c:pt idx="50">
                  <c:v>267.68</c:v>
                </c:pt>
                <c:pt idx="51">
                  <c:v>272.64</c:v>
                </c:pt>
                <c:pt idx="52">
                  <c:v>277.60000000000002</c:v>
                </c:pt>
                <c:pt idx="53">
                  <c:v>282.56</c:v>
                </c:pt>
                <c:pt idx="54">
                  <c:v>287.51</c:v>
                </c:pt>
                <c:pt idx="55">
                  <c:v>292.47000000000003</c:v>
                </c:pt>
                <c:pt idx="56">
                  <c:v>297.43</c:v>
                </c:pt>
                <c:pt idx="57">
                  <c:v>302.39</c:v>
                </c:pt>
                <c:pt idx="58">
                  <c:v>307.35000000000002</c:v>
                </c:pt>
                <c:pt idx="59">
                  <c:v>312.3</c:v>
                </c:pt>
                <c:pt idx="60">
                  <c:v>317.26</c:v>
                </c:pt>
                <c:pt idx="61">
                  <c:v>322.22000000000003</c:v>
                </c:pt>
                <c:pt idx="62">
                  <c:v>327.18</c:v>
                </c:pt>
                <c:pt idx="63" formatCode="0.0">
                  <c:v>332.13</c:v>
                </c:pt>
                <c:pt idx="64" formatCode="0.0">
                  <c:v>337.09</c:v>
                </c:pt>
                <c:pt idx="65" formatCode="0.0">
                  <c:v>342.05</c:v>
                </c:pt>
                <c:pt idx="66" formatCode="0.0">
                  <c:v>347.01</c:v>
                </c:pt>
                <c:pt idx="67" formatCode="0.0">
                  <c:v>351.96</c:v>
                </c:pt>
                <c:pt idx="68" formatCode="0.0">
                  <c:v>356.92</c:v>
                </c:pt>
                <c:pt idx="69" formatCode="0.0">
                  <c:v>361.88</c:v>
                </c:pt>
                <c:pt idx="70" formatCode="0.0">
                  <c:v>366.84</c:v>
                </c:pt>
                <c:pt idx="71" formatCode="0.0">
                  <c:v>371.8</c:v>
                </c:pt>
                <c:pt idx="72" formatCode="0.0">
                  <c:v>376.75</c:v>
                </c:pt>
                <c:pt idx="73" formatCode="0.0">
                  <c:v>381.71</c:v>
                </c:pt>
                <c:pt idx="74" formatCode="0.0">
                  <c:v>386.67</c:v>
                </c:pt>
                <c:pt idx="75" formatCode="0.0">
                  <c:v>391.63</c:v>
                </c:pt>
                <c:pt idx="76" formatCode="0.0">
                  <c:v>396.58</c:v>
                </c:pt>
                <c:pt idx="77" formatCode="0.0">
                  <c:v>401.54</c:v>
                </c:pt>
                <c:pt idx="78" formatCode="0.0">
                  <c:v>406.5</c:v>
                </c:pt>
                <c:pt idx="79" formatCode="0.0">
                  <c:v>411.46</c:v>
                </c:pt>
                <c:pt idx="80" formatCode="0.0">
                  <c:v>416.41</c:v>
                </c:pt>
                <c:pt idx="81" formatCode="0.0">
                  <c:v>421.37</c:v>
                </c:pt>
                <c:pt idx="82" formatCode="0.0">
                  <c:v>426.33</c:v>
                </c:pt>
                <c:pt idx="83" formatCode="0.0">
                  <c:v>431.29</c:v>
                </c:pt>
                <c:pt idx="84" formatCode="0.0">
                  <c:v>436.24</c:v>
                </c:pt>
                <c:pt idx="85" formatCode="0.0">
                  <c:v>441.2</c:v>
                </c:pt>
                <c:pt idx="86" formatCode="0.0">
                  <c:v>446.16</c:v>
                </c:pt>
                <c:pt idx="87" formatCode="0.0">
                  <c:v>451.12</c:v>
                </c:pt>
                <c:pt idx="88" formatCode="0.0">
                  <c:v>456.08</c:v>
                </c:pt>
                <c:pt idx="89" formatCode="0.0">
                  <c:v>461.03</c:v>
                </c:pt>
                <c:pt idx="90" formatCode="0.0">
                  <c:v>465.99</c:v>
                </c:pt>
                <c:pt idx="91" formatCode="0.0">
                  <c:v>470.95</c:v>
                </c:pt>
                <c:pt idx="92" formatCode="0.0">
                  <c:v>475.91</c:v>
                </c:pt>
                <c:pt idx="93" formatCode="0.0">
                  <c:v>480.86</c:v>
                </c:pt>
                <c:pt idx="94" formatCode="0.0">
                  <c:v>485.82</c:v>
                </c:pt>
                <c:pt idx="95" formatCode="0.0">
                  <c:v>490.78</c:v>
                </c:pt>
                <c:pt idx="96" formatCode="0.0">
                  <c:v>495.74</c:v>
                </c:pt>
                <c:pt idx="97" formatCode="0.0">
                  <c:v>500.69</c:v>
                </c:pt>
                <c:pt idx="98" formatCode="0.0">
                  <c:v>505.65</c:v>
                </c:pt>
                <c:pt idx="99" formatCode="0.0">
                  <c:v>510.61</c:v>
                </c:pt>
                <c:pt idx="100" formatCode="0.0">
                  <c:v>515.57000000000005</c:v>
                </c:pt>
                <c:pt idx="101" formatCode="0.0">
                  <c:v>520.52</c:v>
                </c:pt>
                <c:pt idx="102" formatCode="0.0">
                  <c:v>525.48</c:v>
                </c:pt>
                <c:pt idx="103" formatCode="0.0">
                  <c:v>530.44000000000005</c:v>
                </c:pt>
                <c:pt idx="104" formatCode="0.0">
                  <c:v>535.4</c:v>
                </c:pt>
                <c:pt idx="105" formatCode="0.0">
                  <c:v>540.36</c:v>
                </c:pt>
                <c:pt idx="106" formatCode="0.0">
                  <c:v>545.30999999999995</c:v>
                </c:pt>
                <c:pt idx="107" formatCode="0.0">
                  <c:v>550.27</c:v>
                </c:pt>
                <c:pt idx="108" formatCode="0.0">
                  <c:v>555.23</c:v>
                </c:pt>
                <c:pt idx="109" formatCode="0.0">
                  <c:v>560.19000000000005</c:v>
                </c:pt>
                <c:pt idx="110" formatCode="0.0">
                  <c:v>565.14</c:v>
                </c:pt>
                <c:pt idx="111" formatCode="0.0">
                  <c:v>570.1</c:v>
                </c:pt>
                <c:pt idx="112" formatCode="0.0">
                  <c:v>575.05999999999995</c:v>
                </c:pt>
                <c:pt idx="113" formatCode="0.0">
                  <c:v>580.02</c:v>
                </c:pt>
                <c:pt idx="114" formatCode="0.0">
                  <c:v>584.97</c:v>
                </c:pt>
                <c:pt idx="115" formatCode="0.0">
                  <c:v>589.92999999999995</c:v>
                </c:pt>
                <c:pt idx="116" formatCode="0.0">
                  <c:v>594.89</c:v>
                </c:pt>
                <c:pt idx="117" formatCode="0.0">
                  <c:v>599.85</c:v>
                </c:pt>
                <c:pt idx="118" formatCode="0.0">
                  <c:v>604.80999999999995</c:v>
                </c:pt>
                <c:pt idx="119" formatCode="0.0">
                  <c:v>609.76</c:v>
                </c:pt>
                <c:pt idx="120" formatCode="0.0">
                  <c:v>614.72</c:v>
                </c:pt>
                <c:pt idx="121" formatCode="0.0">
                  <c:v>619.67999999999995</c:v>
                </c:pt>
                <c:pt idx="122" formatCode="0.0">
                  <c:v>624.64</c:v>
                </c:pt>
                <c:pt idx="123" formatCode="0.0">
                  <c:v>629.59</c:v>
                </c:pt>
                <c:pt idx="124" formatCode="0.0">
                  <c:v>634.54999999999995</c:v>
                </c:pt>
                <c:pt idx="125" formatCode="0.0">
                  <c:v>639.51</c:v>
                </c:pt>
                <c:pt idx="126" formatCode="0.0">
                  <c:v>644.47</c:v>
                </c:pt>
                <c:pt idx="127" formatCode="0.0">
                  <c:v>649.41999999999996</c:v>
                </c:pt>
                <c:pt idx="128" formatCode="0.0">
                  <c:v>654.38</c:v>
                </c:pt>
                <c:pt idx="129" formatCode="0.0">
                  <c:v>659.34</c:v>
                </c:pt>
                <c:pt idx="130" formatCode="0.0">
                  <c:v>664.3</c:v>
                </c:pt>
                <c:pt idx="131" formatCode="0.0">
                  <c:v>669.25</c:v>
                </c:pt>
                <c:pt idx="132" formatCode="0.0">
                  <c:v>674.21</c:v>
                </c:pt>
                <c:pt idx="133" formatCode="0.0">
                  <c:v>679.17</c:v>
                </c:pt>
                <c:pt idx="134" formatCode="0.0">
                  <c:v>684.13</c:v>
                </c:pt>
                <c:pt idx="135" formatCode="0.0">
                  <c:v>689.09</c:v>
                </c:pt>
                <c:pt idx="136" formatCode="0.0">
                  <c:v>694.04</c:v>
                </c:pt>
                <c:pt idx="137" formatCode="0.0">
                  <c:v>699</c:v>
                </c:pt>
                <c:pt idx="138" formatCode="0.0">
                  <c:v>703.96</c:v>
                </c:pt>
                <c:pt idx="139" formatCode="0.0">
                  <c:v>708.92</c:v>
                </c:pt>
                <c:pt idx="140" formatCode="0.0">
                  <c:v>713.87</c:v>
                </c:pt>
                <c:pt idx="141" formatCode="0.0">
                  <c:v>718.83</c:v>
                </c:pt>
                <c:pt idx="142" formatCode="0.0">
                  <c:v>723.79</c:v>
                </c:pt>
                <c:pt idx="143" formatCode="0.0">
                  <c:v>728.75</c:v>
                </c:pt>
                <c:pt idx="144" formatCode="0.0">
                  <c:v>733.7</c:v>
                </c:pt>
                <c:pt idx="145" formatCode="0.0">
                  <c:v>738.66</c:v>
                </c:pt>
                <c:pt idx="146" formatCode="0.0">
                  <c:v>743.62</c:v>
                </c:pt>
                <c:pt idx="147" formatCode="0.0">
                  <c:v>748.58</c:v>
                </c:pt>
                <c:pt idx="148" formatCode="0.0">
                  <c:v>753.53</c:v>
                </c:pt>
                <c:pt idx="149" formatCode="0.0">
                  <c:v>758.49</c:v>
                </c:pt>
                <c:pt idx="150" formatCode="0.0">
                  <c:v>763.45</c:v>
                </c:pt>
                <c:pt idx="151" formatCode="0.0">
                  <c:v>768.41</c:v>
                </c:pt>
                <c:pt idx="152" formatCode="0.0">
                  <c:v>773.37</c:v>
                </c:pt>
                <c:pt idx="153" formatCode="0.0">
                  <c:v>778.32</c:v>
                </c:pt>
                <c:pt idx="154" formatCode="0.0">
                  <c:v>783.28</c:v>
                </c:pt>
                <c:pt idx="155" formatCode="0.0">
                  <c:v>788.24</c:v>
                </c:pt>
                <c:pt idx="156" formatCode="0.0">
                  <c:v>793.2</c:v>
                </c:pt>
                <c:pt idx="157" formatCode="0.0">
                  <c:v>798.15</c:v>
                </c:pt>
                <c:pt idx="158" formatCode="0.0">
                  <c:v>803.11</c:v>
                </c:pt>
                <c:pt idx="159" formatCode="0.0">
                  <c:v>808.07</c:v>
                </c:pt>
                <c:pt idx="160" formatCode="0.0">
                  <c:v>813.03</c:v>
                </c:pt>
                <c:pt idx="161" formatCode="0.0">
                  <c:v>817.98</c:v>
                </c:pt>
                <c:pt idx="162" formatCode="0.0">
                  <c:v>822.94</c:v>
                </c:pt>
                <c:pt idx="163" formatCode="0.0">
                  <c:v>827.9</c:v>
                </c:pt>
                <c:pt idx="164" formatCode="0.0">
                  <c:v>832.86</c:v>
                </c:pt>
                <c:pt idx="165" formatCode="0.0">
                  <c:v>837.81</c:v>
                </c:pt>
                <c:pt idx="166" formatCode="0.0">
                  <c:v>842.77</c:v>
                </c:pt>
                <c:pt idx="167" formatCode="0.0">
                  <c:v>847.73</c:v>
                </c:pt>
                <c:pt idx="168" formatCode="0.0">
                  <c:v>852.69</c:v>
                </c:pt>
                <c:pt idx="169" formatCode="0.0">
                  <c:v>857.64</c:v>
                </c:pt>
                <c:pt idx="170" formatCode="0.0">
                  <c:v>862.6</c:v>
                </c:pt>
                <c:pt idx="171" formatCode="0.0">
                  <c:v>867.56</c:v>
                </c:pt>
                <c:pt idx="172" formatCode="0.0">
                  <c:v>872.51</c:v>
                </c:pt>
                <c:pt idx="173" formatCode="0.0">
                  <c:v>877.47</c:v>
                </c:pt>
                <c:pt idx="174" formatCode="0.0">
                  <c:v>882.43</c:v>
                </c:pt>
                <c:pt idx="175" formatCode="0.0">
                  <c:v>887.39</c:v>
                </c:pt>
                <c:pt idx="176" formatCode="0.0">
                  <c:v>892.34</c:v>
                </c:pt>
                <c:pt idx="177" formatCode="0.0">
                  <c:v>897.3</c:v>
                </c:pt>
                <c:pt idx="178" formatCode="0.0">
                  <c:v>902.26</c:v>
                </c:pt>
                <c:pt idx="179" formatCode="0.0">
                  <c:v>907.22</c:v>
                </c:pt>
                <c:pt idx="180" formatCode="0.0">
                  <c:v>912.17</c:v>
                </c:pt>
                <c:pt idx="181" formatCode="0.0">
                  <c:v>917.13</c:v>
                </c:pt>
                <c:pt idx="182" formatCode="0.0">
                  <c:v>922.09</c:v>
                </c:pt>
                <c:pt idx="183" formatCode="0.0">
                  <c:v>927.05</c:v>
                </c:pt>
                <c:pt idx="184" formatCode="0.0">
                  <c:v>932</c:v>
                </c:pt>
                <c:pt idx="185" formatCode="0.0">
                  <c:v>936.96</c:v>
                </c:pt>
                <c:pt idx="186" formatCode="0.0">
                  <c:v>941.92</c:v>
                </c:pt>
                <c:pt idx="187" formatCode="0.0">
                  <c:v>946.88</c:v>
                </c:pt>
                <c:pt idx="188" formatCode="0.0">
                  <c:v>951.83</c:v>
                </c:pt>
                <c:pt idx="189" formatCode="0.0">
                  <c:v>956.79</c:v>
                </c:pt>
                <c:pt idx="190" formatCode="0.0">
                  <c:v>961.75</c:v>
                </c:pt>
                <c:pt idx="191" formatCode="0.0">
                  <c:v>966.71</c:v>
                </c:pt>
                <c:pt idx="192" formatCode="0.0">
                  <c:v>971.66</c:v>
                </c:pt>
                <c:pt idx="193" formatCode="0.0">
                  <c:v>976.62</c:v>
                </c:pt>
                <c:pt idx="194" formatCode="0.0">
                  <c:v>981.58</c:v>
                </c:pt>
                <c:pt idx="195" formatCode="0.0">
                  <c:v>986.54</c:v>
                </c:pt>
                <c:pt idx="196" formatCode="0.0">
                  <c:v>991.5</c:v>
                </c:pt>
                <c:pt idx="197" formatCode="0.0">
                  <c:v>996.45</c:v>
                </c:pt>
                <c:pt idx="198" formatCode="0.0">
                  <c:v>1001.41</c:v>
                </c:pt>
                <c:pt idx="199" formatCode="0.0">
                  <c:v>1006.37</c:v>
                </c:pt>
                <c:pt idx="200" formatCode="0.0">
                  <c:v>1011.32</c:v>
                </c:pt>
                <c:pt idx="201" formatCode="0.0">
                  <c:v>1016.28</c:v>
                </c:pt>
                <c:pt idx="202" formatCode="0.0">
                  <c:v>1021.24</c:v>
                </c:pt>
                <c:pt idx="203" formatCode="0.0">
                  <c:v>1026.2</c:v>
                </c:pt>
                <c:pt idx="204" formatCode="0.0">
                  <c:v>1031.1500000000001</c:v>
                </c:pt>
                <c:pt idx="205" formatCode="0.0">
                  <c:v>1036.1099999999999</c:v>
                </c:pt>
                <c:pt idx="206" formatCode="0.0">
                  <c:v>1041.07</c:v>
                </c:pt>
                <c:pt idx="207" formatCode="0.0">
                  <c:v>1046.03</c:v>
                </c:pt>
                <c:pt idx="208" formatCode="0.0">
                  <c:v>1050.98</c:v>
                </c:pt>
                <c:pt idx="209" formatCode="0.0">
                  <c:v>1055.94</c:v>
                </c:pt>
                <c:pt idx="210" formatCode="0.0">
                  <c:v>1060.9000000000001</c:v>
                </c:pt>
                <c:pt idx="211" formatCode="0.0">
                  <c:v>1065.8499999999999</c:v>
                </c:pt>
                <c:pt idx="212" formatCode="0.0">
                  <c:v>1070.81</c:v>
                </c:pt>
                <c:pt idx="213" formatCode="0.0">
                  <c:v>1075.77</c:v>
                </c:pt>
                <c:pt idx="214" formatCode="0.0">
                  <c:v>1080.73</c:v>
                </c:pt>
                <c:pt idx="215" formatCode="0.0">
                  <c:v>1085.68</c:v>
                </c:pt>
                <c:pt idx="216" formatCode="0.0">
                  <c:v>1090.6400000000001</c:v>
                </c:pt>
                <c:pt idx="217" formatCode="0.0">
                  <c:v>1095.5999999999999</c:v>
                </c:pt>
                <c:pt idx="218" formatCode="0.0">
                  <c:v>1100.56</c:v>
                </c:pt>
                <c:pt idx="219" formatCode="0.0">
                  <c:v>1105.51</c:v>
                </c:pt>
                <c:pt idx="220" formatCode="0.0">
                  <c:v>1110.28</c:v>
                </c:pt>
                <c:pt idx="221" formatCode="0.0">
                  <c:v>1114.8599999999999</c:v>
                </c:pt>
                <c:pt idx="222" formatCode="0.0">
                  <c:v>1119.44</c:v>
                </c:pt>
                <c:pt idx="223" formatCode="0.0">
                  <c:v>1124.03</c:v>
                </c:pt>
                <c:pt idx="224" formatCode="0.0">
                  <c:v>1128.6199999999999</c:v>
                </c:pt>
                <c:pt idx="225" formatCode="0.0">
                  <c:v>1133.22</c:v>
                </c:pt>
                <c:pt idx="226" formatCode="0.0">
                  <c:v>1137.81</c:v>
                </c:pt>
                <c:pt idx="227" formatCode="0.0">
                  <c:v>1142.4100000000001</c:v>
                </c:pt>
                <c:pt idx="228" formatCode="0.0">
                  <c:v>1147</c:v>
                </c:pt>
                <c:pt idx="229" formatCode="0.0">
                  <c:v>1151.5999999999999</c:v>
                </c:pt>
                <c:pt idx="230" formatCode="0.0">
                  <c:v>1156.19</c:v>
                </c:pt>
                <c:pt idx="231" formatCode="0.0">
                  <c:v>1160.78</c:v>
                </c:pt>
                <c:pt idx="232" formatCode="0.0">
                  <c:v>1165.3800000000001</c:v>
                </c:pt>
                <c:pt idx="233" formatCode="0.0">
                  <c:v>1169.97</c:v>
                </c:pt>
                <c:pt idx="234" formatCode="0.0">
                  <c:v>1174.57</c:v>
                </c:pt>
                <c:pt idx="235" formatCode="0.0">
                  <c:v>1179.1600000000001</c:v>
                </c:pt>
                <c:pt idx="236" formatCode="0.0">
                  <c:v>1183.76</c:v>
                </c:pt>
                <c:pt idx="237" formatCode="0.0">
                  <c:v>1188.3499999999999</c:v>
                </c:pt>
                <c:pt idx="238" formatCode="0.0">
                  <c:v>1192.94</c:v>
                </c:pt>
                <c:pt idx="239" formatCode="0.0">
                  <c:v>1197.54</c:v>
                </c:pt>
                <c:pt idx="240" formatCode="0.0">
                  <c:v>1202.1300000000001</c:v>
                </c:pt>
                <c:pt idx="241" formatCode="0.0">
                  <c:v>1206.73</c:v>
                </c:pt>
                <c:pt idx="242" formatCode="0.0">
                  <c:v>1211.32</c:v>
                </c:pt>
                <c:pt idx="243" formatCode="0.0">
                  <c:v>1215.92</c:v>
                </c:pt>
                <c:pt idx="244" formatCode="0.0">
                  <c:v>1220.47</c:v>
                </c:pt>
                <c:pt idx="245" formatCode="0.0">
                  <c:v>1224.6500000000001</c:v>
                </c:pt>
                <c:pt idx="246" formatCode="0.0">
                  <c:v>1228.83</c:v>
                </c:pt>
                <c:pt idx="247" formatCode="0.0">
                  <c:v>1233.02</c:v>
                </c:pt>
                <c:pt idx="248" formatCode="0.0">
                  <c:v>1237.2</c:v>
                </c:pt>
                <c:pt idx="249" formatCode="0.0">
                  <c:v>1241.3900000000001</c:v>
                </c:pt>
                <c:pt idx="250" formatCode="0.0">
                  <c:v>1245.57</c:v>
                </c:pt>
                <c:pt idx="251" formatCode="0.0">
                  <c:v>1249.76</c:v>
                </c:pt>
                <c:pt idx="252" formatCode="0.0">
                  <c:v>1253.94</c:v>
                </c:pt>
                <c:pt idx="253" formatCode="0.0">
                  <c:v>1258.1199999999999</c:v>
                </c:pt>
                <c:pt idx="254" formatCode="0.0">
                  <c:v>1262.31</c:v>
                </c:pt>
                <c:pt idx="255" formatCode="0.0">
                  <c:v>1266.49</c:v>
                </c:pt>
                <c:pt idx="256" formatCode="0.0">
                  <c:v>1270.68</c:v>
                </c:pt>
                <c:pt idx="257" formatCode="0.0">
                  <c:v>1274.8599999999999</c:v>
                </c:pt>
                <c:pt idx="258" formatCode="0.0">
                  <c:v>1279.05</c:v>
                </c:pt>
                <c:pt idx="259" formatCode="0.0">
                  <c:v>1283.23</c:v>
                </c:pt>
                <c:pt idx="260" formatCode="0.0">
                  <c:v>1287.4100000000001</c:v>
                </c:pt>
                <c:pt idx="261" formatCode="0.0">
                  <c:v>1291.5999999999999</c:v>
                </c:pt>
                <c:pt idx="262" formatCode="0.0">
                  <c:v>1295.78</c:v>
                </c:pt>
                <c:pt idx="263" formatCode="0.0">
                  <c:v>1299.97</c:v>
                </c:pt>
                <c:pt idx="264" formatCode="0.0">
                  <c:v>1304.1500000000001</c:v>
                </c:pt>
                <c:pt idx="265" formatCode="0.0">
                  <c:v>1308.33</c:v>
                </c:pt>
                <c:pt idx="266" formatCode="0.0">
                  <c:v>1312.52</c:v>
                </c:pt>
                <c:pt idx="267" formatCode="0.0">
                  <c:v>1316.7</c:v>
                </c:pt>
                <c:pt idx="268" formatCode="0.0">
                  <c:v>1320.88</c:v>
                </c:pt>
                <c:pt idx="269" formatCode="0.0">
                  <c:v>1325.06</c:v>
                </c:pt>
                <c:pt idx="270" formatCode="0.0">
                  <c:v>1329.23</c:v>
                </c:pt>
                <c:pt idx="271" formatCode="0.0">
                  <c:v>1333.4</c:v>
                </c:pt>
                <c:pt idx="272" formatCode="0.0">
                  <c:v>1337.58</c:v>
                </c:pt>
                <c:pt idx="273" formatCode="0.0">
                  <c:v>1341.75</c:v>
                </c:pt>
                <c:pt idx="274" formatCode="0.0">
                  <c:v>1345.91</c:v>
                </c:pt>
                <c:pt idx="275" formatCode="0.0">
                  <c:v>1350.08</c:v>
                </c:pt>
                <c:pt idx="276" formatCode="0.0">
                  <c:v>1354.25</c:v>
                </c:pt>
                <c:pt idx="277" formatCode="0.0">
                  <c:v>1358.41</c:v>
                </c:pt>
                <c:pt idx="278" formatCode="0.0">
                  <c:v>1362.58</c:v>
                </c:pt>
                <c:pt idx="279" formatCode="0.0">
                  <c:v>1366.74</c:v>
                </c:pt>
                <c:pt idx="280" formatCode="0.0">
                  <c:v>1370.89</c:v>
                </c:pt>
                <c:pt idx="281" formatCode="0.0">
                  <c:v>1375.04</c:v>
                </c:pt>
                <c:pt idx="282" formatCode="0.0">
                  <c:v>1379.19</c:v>
                </c:pt>
                <c:pt idx="283" formatCode="0.0">
                  <c:v>1383.35</c:v>
                </c:pt>
                <c:pt idx="284" formatCode="0.0">
                  <c:v>1387.5</c:v>
                </c:pt>
                <c:pt idx="285" formatCode="0.0">
                  <c:v>1391.64</c:v>
                </c:pt>
                <c:pt idx="286" formatCode="0.0">
                  <c:v>1395.78</c:v>
                </c:pt>
                <c:pt idx="287" formatCode="0.0">
                  <c:v>1399.91</c:v>
                </c:pt>
                <c:pt idx="288" formatCode="0.0">
                  <c:v>1404.05</c:v>
                </c:pt>
                <c:pt idx="289" formatCode="0.0">
                  <c:v>1408.19</c:v>
                </c:pt>
                <c:pt idx="290" formatCode="0.0">
                  <c:v>1412.32</c:v>
                </c:pt>
                <c:pt idx="291" formatCode="0.0">
                  <c:v>1416.45</c:v>
                </c:pt>
                <c:pt idx="292" formatCode="0.0">
                  <c:v>1420.56</c:v>
                </c:pt>
                <c:pt idx="293" formatCode="0.0">
                  <c:v>1424.63</c:v>
                </c:pt>
                <c:pt idx="294" formatCode="0.0">
                  <c:v>1428.7</c:v>
                </c:pt>
                <c:pt idx="295" formatCode="0.0">
                  <c:v>1432.77</c:v>
                </c:pt>
                <c:pt idx="296" formatCode="0.0">
                  <c:v>1436.84</c:v>
                </c:pt>
                <c:pt idx="297" formatCode="0.0">
                  <c:v>1440.89</c:v>
                </c:pt>
                <c:pt idx="298" formatCode="0.0">
                  <c:v>1444.93</c:v>
                </c:pt>
                <c:pt idx="299" formatCode="0.0">
                  <c:v>1448.97</c:v>
                </c:pt>
                <c:pt idx="300" formatCode="0.0">
                  <c:v>1453.01</c:v>
                </c:pt>
                <c:pt idx="301" formatCode="0.0">
                  <c:v>1457.05</c:v>
                </c:pt>
                <c:pt idx="302" formatCode="0.0">
                  <c:v>1461.09</c:v>
                </c:pt>
                <c:pt idx="303" formatCode="0.0">
                  <c:v>1465.12</c:v>
                </c:pt>
                <c:pt idx="304" formatCode="0.0">
                  <c:v>1469.12</c:v>
                </c:pt>
                <c:pt idx="305" formatCode="0.0">
                  <c:v>1473.13</c:v>
                </c:pt>
                <c:pt idx="306" formatCode="0.0">
                  <c:v>1477.13</c:v>
                </c:pt>
                <c:pt idx="307" formatCode="0.0">
                  <c:v>1481.13</c:v>
                </c:pt>
                <c:pt idx="308" formatCode="0.0">
                  <c:v>1485.14</c:v>
                </c:pt>
                <c:pt idx="309" formatCode="0.0">
                  <c:v>1489.14</c:v>
                </c:pt>
                <c:pt idx="310" formatCode="0.0">
                  <c:v>1493.11</c:v>
                </c:pt>
                <c:pt idx="311" formatCode="0.0">
                  <c:v>1497.07</c:v>
                </c:pt>
                <c:pt idx="312" formatCode="0.0">
                  <c:v>1501.04</c:v>
                </c:pt>
                <c:pt idx="313" formatCode="0.0">
                  <c:v>1505.01</c:v>
                </c:pt>
                <c:pt idx="314" formatCode="0.0">
                  <c:v>1508.98</c:v>
                </c:pt>
                <c:pt idx="315" formatCode="0.0">
                  <c:v>1512.95</c:v>
                </c:pt>
                <c:pt idx="316" formatCode="0.0">
                  <c:v>1516.89</c:v>
                </c:pt>
                <c:pt idx="317" formatCode="0.0">
                  <c:v>1520.8</c:v>
                </c:pt>
                <c:pt idx="318" formatCode="0.0">
                  <c:v>1524.57</c:v>
                </c:pt>
                <c:pt idx="319" formatCode="0.0">
                  <c:v>1528.33</c:v>
                </c:pt>
                <c:pt idx="320" formatCode="0.0">
                  <c:v>1532.09</c:v>
                </c:pt>
                <c:pt idx="321" formatCode="0.0">
                  <c:v>1535.86</c:v>
                </c:pt>
                <c:pt idx="322" formatCode="0.0">
                  <c:v>1539.62</c:v>
                </c:pt>
                <c:pt idx="323" formatCode="0.0">
                  <c:v>1543.37</c:v>
                </c:pt>
                <c:pt idx="324" formatCode="0.0">
                  <c:v>1547.13</c:v>
                </c:pt>
                <c:pt idx="325" formatCode="0.0">
                  <c:v>1550.89</c:v>
                </c:pt>
                <c:pt idx="326" formatCode="0.0">
                  <c:v>1554.64</c:v>
                </c:pt>
                <c:pt idx="327" formatCode="0.0">
                  <c:v>1558.4</c:v>
                </c:pt>
                <c:pt idx="328" formatCode="0.0">
                  <c:v>1562.14</c:v>
                </c:pt>
                <c:pt idx="329" formatCode="0.0">
                  <c:v>1565.88</c:v>
                </c:pt>
                <c:pt idx="330" formatCode="0.0">
                  <c:v>1569.61</c:v>
                </c:pt>
                <c:pt idx="331" formatCode="0.0">
                  <c:v>1573.35</c:v>
                </c:pt>
                <c:pt idx="332" formatCode="0.0">
                  <c:v>1577.08</c:v>
                </c:pt>
                <c:pt idx="333" formatCode="0.0">
                  <c:v>1580.82</c:v>
                </c:pt>
                <c:pt idx="334" formatCode="0.0">
                  <c:v>1584.52</c:v>
                </c:pt>
                <c:pt idx="335" formatCode="0.0">
                  <c:v>1588.21</c:v>
                </c:pt>
                <c:pt idx="336" formatCode="0.0">
                  <c:v>1591.9</c:v>
                </c:pt>
                <c:pt idx="337" formatCode="0.0">
                  <c:v>1595.59</c:v>
                </c:pt>
                <c:pt idx="338" formatCode="0.0">
                  <c:v>1599.29</c:v>
                </c:pt>
                <c:pt idx="339" formatCode="0.0">
                  <c:v>1602.98</c:v>
                </c:pt>
                <c:pt idx="340" formatCode="0.0">
                  <c:v>1606.64</c:v>
                </c:pt>
                <c:pt idx="341" formatCode="0.0">
                  <c:v>1610.28</c:v>
                </c:pt>
                <c:pt idx="342" formatCode="0.0">
                  <c:v>1613.93</c:v>
                </c:pt>
                <c:pt idx="343" formatCode="0.0">
                  <c:v>1617.57</c:v>
                </c:pt>
                <c:pt idx="344" formatCode="0.0">
                  <c:v>1621.14</c:v>
                </c:pt>
                <c:pt idx="345" formatCode="0.0">
                  <c:v>1624.56</c:v>
                </c:pt>
                <c:pt idx="346" formatCode="0.0">
                  <c:v>1627.97</c:v>
                </c:pt>
                <c:pt idx="347" formatCode="0.0">
                  <c:v>1631.38</c:v>
                </c:pt>
                <c:pt idx="348" formatCode="0.0">
                  <c:v>1634.78</c:v>
                </c:pt>
                <c:pt idx="349" formatCode="0.0">
                  <c:v>1638.19</c:v>
                </c:pt>
                <c:pt idx="350" formatCode="0.0">
                  <c:v>1641.59</c:v>
                </c:pt>
                <c:pt idx="351" formatCode="0.0">
                  <c:v>1645</c:v>
                </c:pt>
                <c:pt idx="352" formatCode="0.0">
                  <c:v>1648.41</c:v>
                </c:pt>
                <c:pt idx="353" formatCode="0.0">
                  <c:v>1651.83</c:v>
                </c:pt>
                <c:pt idx="354" formatCode="0.0">
                  <c:v>1655.26</c:v>
                </c:pt>
                <c:pt idx="355" formatCode="0.0">
                  <c:v>1658.69</c:v>
                </c:pt>
                <c:pt idx="356" formatCode="0.0">
                  <c:v>1662.11</c:v>
                </c:pt>
                <c:pt idx="357" formatCode="0.0">
                  <c:v>1665.54</c:v>
                </c:pt>
                <c:pt idx="358" formatCode="0.0">
                  <c:v>1668.97</c:v>
                </c:pt>
                <c:pt idx="359" formatCode="0.0">
                  <c:v>1672.41</c:v>
                </c:pt>
                <c:pt idx="360" formatCode="0.0">
                  <c:v>1675.86</c:v>
                </c:pt>
                <c:pt idx="361" formatCode="0.0">
                  <c:v>1679.3</c:v>
                </c:pt>
                <c:pt idx="362" formatCode="0.0">
                  <c:v>1682.74</c:v>
                </c:pt>
                <c:pt idx="363" formatCode="0.0">
                  <c:v>1686.19</c:v>
                </c:pt>
                <c:pt idx="364" formatCode="0.0">
                  <c:v>1689.63</c:v>
                </c:pt>
                <c:pt idx="365" formatCode="0.0">
                  <c:v>1693.07</c:v>
                </c:pt>
                <c:pt idx="366" formatCode="0.0">
                  <c:v>1696.52</c:v>
                </c:pt>
                <c:pt idx="367" formatCode="0.0">
                  <c:v>1699.96</c:v>
                </c:pt>
                <c:pt idx="368" formatCode="0.0">
                  <c:v>1703.4</c:v>
                </c:pt>
                <c:pt idx="369" formatCode="0.0">
                  <c:v>1706.85</c:v>
                </c:pt>
                <c:pt idx="370" formatCode="0.0">
                  <c:v>1710.29</c:v>
                </c:pt>
                <c:pt idx="371" formatCode="0.0">
                  <c:v>1713.72</c:v>
                </c:pt>
                <c:pt idx="372" formatCode="0.0">
                  <c:v>1717.15</c:v>
                </c:pt>
                <c:pt idx="373" formatCode="0.0">
                  <c:v>1720.48</c:v>
                </c:pt>
                <c:pt idx="374" formatCode="0.0">
                  <c:v>1723.31</c:v>
                </c:pt>
                <c:pt idx="375" formatCode="0.0">
                  <c:v>1726.14</c:v>
                </c:pt>
                <c:pt idx="376" formatCode="0.0">
                  <c:v>1728.98</c:v>
                </c:pt>
                <c:pt idx="377" formatCode="0.0">
                  <c:v>1731.79</c:v>
                </c:pt>
                <c:pt idx="378" formatCode="0.0">
                  <c:v>1734.61</c:v>
                </c:pt>
                <c:pt idx="379" formatCode="0.0">
                  <c:v>1737.43</c:v>
                </c:pt>
                <c:pt idx="380" formatCode="0.0">
                  <c:v>1740.24</c:v>
                </c:pt>
                <c:pt idx="381" formatCode="0.0">
                  <c:v>1743.06</c:v>
                </c:pt>
                <c:pt idx="382" formatCode="0.0">
                  <c:v>1745.88</c:v>
                </c:pt>
                <c:pt idx="383" formatCode="0.0">
                  <c:v>1748.69</c:v>
                </c:pt>
                <c:pt idx="384" formatCode="0.0">
                  <c:v>1751.49</c:v>
                </c:pt>
                <c:pt idx="385" formatCode="0.0">
                  <c:v>1754.3</c:v>
                </c:pt>
                <c:pt idx="386" formatCode="0.0">
                  <c:v>1757.11</c:v>
                </c:pt>
                <c:pt idx="387" formatCode="0.0">
                  <c:v>1759.91</c:v>
                </c:pt>
                <c:pt idx="388" formatCode="0.0">
                  <c:v>1762.72</c:v>
                </c:pt>
                <c:pt idx="389" formatCode="0.0">
                  <c:v>1765.53</c:v>
                </c:pt>
                <c:pt idx="390" formatCode="0.0">
                  <c:v>1768.33</c:v>
                </c:pt>
                <c:pt idx="391" formatCode="0.0">
                  <c:v>1771.14</c:v>
                </c:pt>
                <c:pt idx="392" formatCode="0.0">
                  <c:v>1773.95</c:v>
                </c:pt>
                <c:pt idx="393" formatCode="0.0">
                  <c:v>1776.75</c:v>
                </c:pt>
                <c:pt idx="394" formatCode="0.0">
                  <c:v>1779.56</c:v>
                </c:pt>
                <c:pt idx="395" formatCode="0.0">
                  <c:v>1782.37</c:v>
                </c:pt>
                <c:pt idx="396" formatCode="0.0">
                  <c:v>1785.18</c:v>
                </c:pt>
                <c:pt idx="397" formatCode="0.0">
                  <c:v>1787.99</c:v>
                </c:pt>
                <c:pt idx="398" formatCode="0.0">
                  <c:v>1790.8</c:v>
                </c:pt>
                <c:pt idx="399" formatCode="0.0">
                  <c:v>1793.61</c:v>
                </c:pt>
                <c:pt idx="400" formatCode="0.0">
                  <c:v>1796.42</c:v>
                </c:pt>
                <c:pt idx="401" formatCode="0.0">
                  <c:v>1799.23</c:v>
                </c:pt>
                <c:pt idx="402" formatCode="0.0">
                  <c:v>1802.04</c:v>
                </c:pt>
                <c:pt idx="403" formatCode="0.0">
                  <c:v>1804.85</c:v>
                </c:pt>
                <c:pt idx="404" formatCode="0.0">
                  <c:v>1807.66</c:v>
                </c:pt>
                <c:pt idx="405" formatCode="0.0">
                  <c:v>1810.48</c:v>
                </c:pt>
                <c:pt idx="406" formatCode="0.0">
                  <c:v>1813.29</c:v>
                </c:pt>
                <c:pt idx="407" formatCode="0.0">
                  <c:v>1816.1</c:v>
                </c:pt>
                <c:pt idx="408" formatCode="0.0">
                  <c:v>1818.92</c:v>
                </c:pt>
                <c:pt idx="409" formatCode="0.0">
                  <c:v>1821.94</c:v>
                </c:pt>
                <c:pt idx="410" formatCode="0.0">
                  <c:v>1825.08</c:v>
                </c:pt>
                <c:pt idx="411" formatCode="0.0">
                  <c:v>1828.23</c:v>
                </c:pt>
                <c:pt idx="412" formatCode="0.0">
                  <c:v>1831.37</c:v>
                </c:pt>
                <c:pt idx="413" formatCode="0.0">
                  <c:v>1834.51</c:v>
                </c:pt>
                <c:pt idx="414" formatCode="0.0">
                  <c:v>1837.66</c:v>
                </c:pt>
                <c:pt idx="415" formatCode="0.0">
                  <c:v>1840.8</c:v>
                </c:pt>
                <c:pt idx="416" formatCode="0.0">
                  <c:v>1843.94</c:v>
                </c:pt>
                <c:pt idx="417" formatCode="0.0">
                  <c:v>1847.08</c:v>
                </c:pt>
                <c:pt idx="418" formatCode="0.0">
                  <c:v>1850.22</c:v>
                </c:pt>
                <c:pt idx="419" formatCode="0.0">
                  <c:v>1853.36</c:v>
                </c:pt>
                <c:pt idx="420" formatCode="0.0">
                  <c:v>1856.49</c:v>
                </c:pt>
                <c:pt idx="421" formatCode="0.0">
                  <c:v>1859.63</c:v>
                </c:pt>
                <c:pt idx="422" formatCode="0.0">
                  <c:v>1862.76</c:v>
                </c:pt>
                <c:pt idx="423" formatCode="0.0">
                  <c:v>1865.89</c:v>
                </c:pt>
                <c:pt idx="424" formatCode="0.0">
                  <c:v>1869.02</c:v>
                </c:pt>
                <c:pt idx="425" formatCode="0.0">
                  <c:v>1872.16</c:v>
                </c:pt>
                <c:pt idx="426" formatCode="0.0">
                  <c:v>1875.3</c:v>
                </c:pt>
                <c:pt idx="427" formatCode="0.0">
                  <c:v>1878.45</c:v>
                </c:pt>
                <c:pt idx="428" formatCode="0.0">
                  <c:v>1881.59</c:v>
                </c:pt>
                <c:pt idx="429" formatCode="0.0">
                  <c:v>1884.74</c:v>
                </c:pt>
                <c:pt idx="430" formatCode="0.0">
                  <c:v>1887.88</c:v>
                </c:pt>
                <c:pt idx="431" formatCode="0.0">
                  <c:v>1891.03</c:v>
                </c:pt>
                <c:pt idx="432" formatCode="0.0">
                  <c:v>1894.2</c:v>
                </c:pt>
                <c:pt idx="433" formatCode="0.0">
                  <c:v>1897.36</c:v>
                </c:pt>
                <c:pt idx="434" formatCode="0.0">
                  <c:v>1900.53</c:v>
                </c:pt>
                <c:pt idx="435" formatCode="0.0">
                  <c:v>1903.7</c:v>
                </c:pt>
                <c:pt idx="436" formatCode="0.0">
                  <c:v>1906.86</c:v>
                </c:pt>
                <c:pt idx="437" formatCode="0.0">
                  <c:v>1910.03</c:v>
                </c:pt>
                <c:pt idx="438" formatCode="0.0">
                  <c:v>1913.2</c:v>
                </c:pt>
                <c:pt idx="439" formatCode="0.0">
                  <c:v>1916.37</c:v>
                </c:pt>
                <c:pt idx="440" formatCode="0.0">
                  <c:v>1919.54</c:v>
                </c:pt>
                <c:pt idx="441" formatCode="0.0">
                  <c:v>1922.88</c:v>
                </c:pt>
                <c:pt idx="442" formatCode="0.0">
                  <c:v>1926.25</c:v>
                </c:pt>
                <c:pt idx="443" formatCode="0.0">
                  <c:v>1929.62</c:v>
                </c:pt>
                <c:pt idx="444" formatCode="0.0">
                  <c:v>1932.99</c:v>
                </c:pt>
                <c:pt idx="445" formatCode="0.0">
                  <c:v>1936.37</c:v>
                </c:pt>
                <c:pt idx="446" formatCode="0.0">
                  <c:v>1939.74</c:v>
                </c:pt>
                <c:pt idx="447" formatCode="0.0">
                  <c:v>1943.11</c:v>
                </c:pt>
                <c:pt idx="448" formatCode="0.0">
                  <c:v>1946.49</c:v>
                </c:pt>
                <c:pt idx="449" formatCode="0.0">
                  <c:v>1949.86</c:v>
                </c:pt>
                <c:pt idx="450" formatCode="0.0">
                  <c:v>1953.24</c:v>
                </c:pt>
                <c:pt idx="451" formatCode="0.0">
                  <c:v>1956.61</c:v>
                </c:pt>
                <c:pt idx="452" formatCode="0.0">
                  <c:v>1959.99</c:v>
                </c:pt>
                <c:pt idx="453" formatCode="0.0">
                  <c:v>1963.36</c:v>
                </c:pt>
                <c:pt idx="454" formatCode="0.0">
                  <c:v>1966.74</c:v>
                </c:pt>
                <c:pt idx="455" formatCode="0.0">
                  <c:v>1970.12</c:v>
                </c:pt>
                <c:pt idx="456" formatCode="0.0">
                  <c:v>1973.48</c:v>
                </c:pt>
                <c:pt idx="457" formatCode="0.0">
                  <c:v>1976.85</c:v>
                </c:pt>
                <c:pt idx="458" formatCode="0.0">
                  <c:v>1980.21</c:v>
                </c:pt>
                <c:pt idx="459" formatCode="0.0">
                  <c:v>1983.58</c:v>
                </c:pt>
                <c:pt idx="460" formatCode="0.0">
                  <c:v>1986.94</c:v>
                </c:pt>
                <c:pt idx="461" formatCode="0.0">
                  <c:v>1990.31</c:v>
                </c:pt>
                <c:pt idx="462" formatCode="0.0">
                  <c:v>1993.67</c:v>
                </c:pt>
                <c:pt idx="463" formatCode="0.0">
                  <c:v>1997.02</c:v>
                </c:pt>
                <c:pt idx="464" formatCode="0.0">
                  <c:v>2000.38</c:v>
                </c:pt>
                <c:pt idx="465" formatCode="0.0">
                  <c:v>2003.73</c:v>
                </c:pt>
                <c:pt idx="466" formatCode="0.0">
                  <c:v>2007.09</c:v>
                </c:pt>
                <c:pt idx="467" formatCode="0.0">
                  <c:v>2010.45</c:v>
                </c:pt>
                <c:pt idx="468" formatCode="0.0">
                  <c:v>2013.8</c:v>
                </c:pt>
                <c:pt idx="469" formatCode="0.0">
                  <c:v>2017.16</c:v>
                </c:pt>
                <c:pt idx="470" formatCode="0.0">
                  <c:v>2020.48</c:v>
                </c:pt>
                <c:pt idx="471" formatCode="0.0">
                  <c:v>2023.65</c:v>
                </c:pt>
                <c:pt idx="472" formatCode="0.0">
                  <c:v>2026.81</c:v>
                </c:pt>
                <c:pt idx="473" formatCode="0.0">
                  <c:v>2029.97</c:v>
                </c:pt>
                <c:pt idx="474" formatCode="0.0">
                  <c:v>2033.13</c:v>
                </c:pt>
                <c:pt idx="475" formatCode="0.0">
                  <c:v>2036.29</c:v>
                </c:pt>
                <c:pt idx="476" formatCode="0.0">
                  <c:v>2039.45</c:v>
                </c:pt>
                <c:pt idx="477" formatCode="0.0">
                  <c:v>2042.61</c:v>
                </c:pt>
                <c:pt idx="478" formatCode="0.0">
                  <c:v>2045.77</c:v>
                </c:pt>
                <c:pt idx="479" formatCode="0.0">
                  <c:v>2048.9299999999998</c:v>
                </c:pt>
                <c:pt idx="480" formatCode="0.0">
                  <c:v>2052.09</c:v>
                </c:pt>
                <c:pt idx="481" formatCode="0.0">
                  <c:v>2055.25</c:v>
                </c:pt>
                <c:pt idx="482" formatCode="0.0">
                  <c:v>2058.41</c:v>
                </c:pt>
                <c:pt idx="483" formatCode="0.0">
                  <c:v>2061.5700000000002</c:v>
                </c:pt>
                <c:pt idx="484" formatCode="0.0">
                  <c:v>2064.73</c:v>
                </c:pt>
                <c:pt idx="485" formatCode="0.0">
                  <c:v>2067.88</c:v>
                </c:pt>
                <c:pt idx="486" formatCode="0.0">
                  <c:v>2071.04</c:v>
                </c:pt>
                <c:pt idx="487" formatCode="0.0">
                  <c:v>2074.1999999999998</c:v>
                </c:pt>
                <c:pt idx="488" formatCode="0.0">
                  <c:v>2077.36</c:v>
                </c:pt>
                <c:pt idx="489" formatCode="0.0">
                  <c:v>2080.52</c:v>
                </c:pt>
                <c:pt idx="490" formatCode="0.0">
                  <c:v>2083.6799999999998</c:v>
                </c:pt>
                <c:pt idx="491" formatCode="0.0">
                  <c:v>2086.83</c:v>
                </c:pt>
                <c:pt idx="492" formatCode="0.0">
                  <c:v>2089.9899999999998</c:v>
                </c:pt>
                <c:pt idx="493" formatCode="0.0">
                  <c:v>2093.14</c:v>
                </c:pt>
                <c:pt idx="494" formatCode="0.0">
                  <c:v>2096.3000000000002</c:v>
                </c:pt>
                <c:pt idx="495" formatCode="0.0">
                  <c:v>2099.4499999999998</c:v>
                </c:pt>
                <c:pt idx="496" formatCode="0.0">
                  <c:v>2102.6</c:v>
                </c:pt>
                <c:pt idx="497" formatCode="0.0">
                  <c:v>2105.7600000000002</c:v>
                </c:pt>
                <c:pt idx="498" formatCode="0.0">
                  <c:v>2108.91</c:v>
                </c:pt>
                <c:pt idx="499" formatCode="0.0">
                  <c:v>2112.0500000000002</c:v>
                </c:pt>
                <c:pt idx="500" formatCode="0.0">
                  <c:v>2115.19</c:v>
                </c:pt>
                <c:pt idx="501" formatCode="0.0">
                  <c:v>2118.33</c:v>
                </c:pt>
                <c:pt idx="502" formatCode="0.0">
                  <c:v>2121.5</c:v>
                </c:pt>
                <c:pt idx="503" formatCode="0.0">
                  <c:v>2124.6999999999998</c:v>
                </c:pt>
                <c:pt idx="504" formatCode="0.0">
                  <c:v>2127.9</c:v>
                </c:pt>
                <c:pt idx="505" formatCode="0.0">
                  <c:v>2131.1</c:v>
                </c:pt>
                <c:pt idx="506" formatCode="0.0">
                  <c:v>2134.3000000000002</c:v>
                </c:pt>
                <c:pt idx="507" formatCode="0.0">
                  <c:v>2137.5</c:v>
                </c:pt>
                <c:pt idx="508" formatCode="0.0">
                  <c:v>2140.6999999999998</c:v>
                </c:pt>
                <c:pt idx="509" formatCode="0.0">
                  <c:v>2143.89</c:v>
                </c:pt>
                <c:pt idx="510" formatCode="0.0">
                  <c:v>2147.09</c:v>
                </c:pt>
                <c:pt idx="511" formatCode="0.0">
                  <c:v>2150.29</c:v>
                </c:pt>
                <c:pt idx="512" formatCode="0.0">
                  <c:v>2153.48</c:v>
                </c:pt>
                <c:pt idx="513" formatCode="0.0">
                  <c:v>2156.67</c:v>
                </c:pt>
                <c:pt idx="514" formatCode="0.0">
                  <c:v>2159.86</c:v>
                </c:pt>
                <c:pt idx="515" formatCode="0.0">
                  <c:v>2163.0500000000002</c:v>
                </c:pt>
                <c:pt idx="516" formatCode="0.0">
                  <c:v>2166.25</c:v>
                </c:pt>
                <c:pt idx="517" formatCode="0.0">
                  <c:v>2169.4299999999998</c:v>
                </c:pt>
                <c:pt idx="518" formatCode="0.0">
                  <c:v>2172.62</c:v>
                </c:pt>
                <c:pt idx="519" formatCode="0.0">
                  <c:v>2175.8000000000002</c:v>
                </c:pt>
                <c:pt idx="520" formatCode="0.0">
                  <c:v>2178.98</c:v>
                </c:pt>
                <c:pt idx="521" formatCode="0.0">
                  <c:v>2182.17</c:v>
                </c:pt>
                <c:pt idx="522" formatCode="0.0">
                  <c:v>2185.35</c:v>
                </c:pt>
                <c:pt idx="523" formatCode="0.0">
                  <c:v>2188.5300000000002</c:v>
                </c:pt>
                <c:pt idx="524" formatCode="0.0">
                  <c:v>2191.71</c:v>
                </c:pt>
                <c:pt idx="525" formatCode="0.0">
                  <c:v>2194.88</c:v>
                </c:pt>
                <c:pt idx="526" formatCode="0.0">
                  <c:v>2198.06</c:v>
                </c:pt>
                <c:pt idx="527" formatCode="0.0">
                  <c:v>2201.2399999999998</c:v>
                </c:pt>
                <c:pt idx="528" formatCode="0.0">
                  <c:v>2204.42</c:v>
                </c:pt>
                <c:pt idx="529" formatCode="0.0">
                  <c:v>2207.59</c:v>
                </c:pt>
                <c:pt idx="530" formatCode="0.0">
                  <c:v>2210.77</c:v>
                </c:pt>
                <c:pt idx="531" formatCode="0.0">
                  <c:v>2213.94</c:v>
                </c:pt>
                <c:pt idx="532" formatCode="0.0">
                  <c:v>2217.12</c:v>
                </c:pt>
                <c:pt idx="533" formatCode="0.0">
                  <c:v>2220.2800000000002</c:v>
                </c:pt>
                <c:pt idx="534" formatCode="0.0">
                  <c:v>2223.39</c:v>
                </c:pt>
                <c:pt idx="535" formatCode="0.0">
                  <c:v>2226.5</c:v>
                </c:pt>
                <c:pt idx="536" formatCode="0.0">
                  <c:v>2229.62</c:v>
                </c:pt>
                <c:pt idx="537" formatCode="0.0">
                  <c:v>2232.73</c:v>
                </c:pt>
                <c:pt idx="538" formatCode="0.0">
                  <c:v>2235.85</c:v>
                </c:pt>
                <c:pt idx="539" formatCode="0.0">
                  <c:v>2238.96</c:v>
                </c:pt>
                <c:pt idx="540" formatCode="0.0">
                  <c:v>2242.08</c:v>
                </c:pt>
                <c:pt idx="541" formatCode="0.0">
                  <c:v>2245.19</c:v>
                </c:pt>
                <c:pt idx="542" formatCode="0.0">
                  <c:v>2248.31</c:v>
                </c:pt>
                <c:pt idx="543" formatCode="0.0">
                  <c:v>2251.42</c:v>
                </c:pt>
                <c:pt idx="544" formatCode="0.0">
                  <c:v>2254.54</c:v>
                </c:pt>
                <c:pt idx="545" formatCode="0.0">
                  <c:v>2257.65</c:v>
                </c:pt>
                <c:pt idx="546" formatCode="0.0">
                  <c:v>2260.77</c:v>
                </c:pt>
                <c:pt idx="547" formatCode="0.0">
                  <c:v>2263.88</c:v>
                </c:pt>
                <c:pt idx="548" formatCode="0.0">
                  <c:v>2266.9899999999998</c:v>
                </c:pt>
                <c:pt idx="549" formatCode="0.0">
                  <c:v>2270.09</c:v>
                </c:pt>
                <c:pt idx="550" formatCode="0.0">
                  <c:v>2273.1999999999998</c:v>
                </c:pt>
                <c:pt idx="551" formatCode="0.0">
                  <c:v>2276.31</c:v>
                </c:pt>
                <c:pt idx="552" formatCode="0.0">
                  <c:v>2279.42</c:v>
                </c:pt>
                <c:pt idx="553" formatCode="0.0">
                  <c:v>2282.5300000000002</c:v>
                </c:pt>
                <c:pt idx="554" formatCode="0.0">
                  <c:v>2285.63</c:v>
                </c:pt>
                <c:pt idx="555" formatCode="0.0">
                  <c:v>2289.62</c:v>
                </c:pt>
                <c:pt idx="556" formatCode="0.0">
                  <c:v>2293.63</c:v>
                </c:pt>
                <c:pt idx="557" formatCode="0.0">
                  <c:v>2297.64</c:v>
                </c:pt>
                <c:pt idx="558" formatCode="0.0">
                  <c:v>2301.65</c:v>
                </c:pt>
                <c:pt idx="559" formatCode="0.0">
                  <c:v>2305.66</c:v>
                </c:pt>
                <c:pt idx="560" formatCode="0.0">
                  <c:v>2309.66</c:v>
                </c:pt>
                <c:pt idx="561" formatCode="0.0">
                  <c:v>2313.66</c:v>
                </c:pt>
                <c:pt idx="562" formatCode="0.0">
                  <c:v>2317.66</c:v>
                </c:pt>
                <c:pt idx="563" formatCode="0.0">
                  <c:v>2321.66</c:v>
                </c:pt>
                <c:pt idx="564" formatCode="0.0">
                  <c:v>2325.66</c:v>
                </c:pt>
                <c:pt idx="565" formatCode="0.0">
                  <c:v>2329.66</c:v>
                </c:pt>
                <c:pt idx="566" formatCode="0.0">
                  <c:v>2333.5100000000002</c:v>
                </c:pt>
                <c:pt idx="567" formatCode="0.0">
                  <c:v>2337.35</c:v>
                </c:pt>
                <c:pt idx="568" formatCode="0.0">
                  <c:v>2341.1799999999998</c:v>
                </c:pt>
                <c:pt idx="569" formatCode="0.0">
                  <c:v>2345.02</c:v>
                </c:pt>
                <c:pt idx="570" formatCode="0.0">
                  <c:v>2348.85</c:v>
                </c:pt>
                <c:pt idx="571" formatCode="0.0">
                  <c:v>2352.36</c:v>
                </c:pt>
                <c:pt idx="572" formatCode="0.0">
                  <c:v>2355.33</c:v>
                </c:pt>
                <c:pt idx="573" formatCode="0.0">
                  <c:v>2358.31</c:v>
                </c:pt>
                <c:pt idx="574" formatCode="0.0">
                  <c:v>2361.2800000000002</c:v>
                </c:pt>
                <c:pt idx="575" formatCode="0.0">
                  <c:v>2364.2600000000002</c:v>
                </c:pt>
                <c:pt idx="576" formatCode="0.0">
                  <c:v>2367.23</c:v>
                </c:pt>
                <c:pt idx="577" formatCode="0.0">
                  <c:v>2370.1999999999998</c:v>
                </c:pt>
                <c:pt idx="578" formatCode="0.0">
                  <c:v>2373.1799999999998</c:v>
                </c:pt>
                <c:pt idx="579" formatCode="0.0">
                  <c:v>2376.17</c:v>
                </c:pt>
                <c:pt idx="580" formatCode="0.0">
                  <c:v>2379.15</c:v>
                </c:pt>
                <c:pt idx="581" formatCode="0.0">
                  <c:v>2382.13</c:v>
                </c:pt>
                <c:pt idx="582" formatCode="0.0">
                  <c:v>2385.11</c:v>
                </c:pt>
                <c:pt idx="583" formatCode="0.0">
                  <c:v>2388.09</c:v>
                </c:pt>
                <c:pt idx="584" formatCode="0.0">
                  <c:v>2391.08</c:v>
                </c:pt>
                <c:pt idx="585" formatCode="0.0">
                  <c:v>2394.0700000000002</c:v>
                </c:pt>
                <c:pt idx="586" formatCode="0.0">
                  <c:v>2397.06</c:v>
                </c:pt>
                <c:pt idx="587" formatCode="0.0">
                  <c:v>2400.04</c:v>
                </c:pt>
                <c:pt idx="588" formatCode="0.0">
                  <c:v>2403.0300000000002</c:v>
                </c:pt>
                <c:pt idx="589" formatCode="0.0">
                  <c:v>2406.02</c:v>
                </c:pt>
                <c:pt idx="590" formatCode="0.0">
                  <c:v>2409.0100000000002</c:v>
                </c:pt>
                <c:pt idx="591" formatCode="0.0">
                  <c:v>2412</c:v>
                </c:pt>
                <c:pt idx="592" formatCode="0.0">
                  <c:v>2415</c:v>
                </c:pt>
                <c:pt idx="593" formatCode="0.0">
                  <c:v>2417.9899999999998</c:v>
                </c:pt>
                <c:pt idx="594" formatCode="0.0">
                  <c:v>2420.98</c:v>
                </c:pt>
                <c:pt idx="595" formatCode="0.0">
                  <c:v>2423.98</c:v>
                </c:pt>
                <c:pt idx="596" formatCode="0.0">
                  <c:v>2426.9699999999998</c:v>
                </c:pt>
                <c:pt idx="597" formatCode="0.0">
                  <c:v>2429.9699999999998</c:v>
                </c:pt>
                <c:pt idx="598" formatCode="0.0">
                  <c:v>2432.9699999999998</c:v>
                </c:pt>
                <c:pt idx="599" formatCode="0.0">
                  <c:v>2435.94</c:v>
                </c:pt>
                <c:pt idx="600" formatCode="0.0">
                  <c:v>2438.86</c:v>
                </c:pt>
                <c:pt idx="601" formatCode="0.0">
                  <c:v>2441.77</c:v>
                </c:pt>
                <c:pt idx="602" formatCode="0.0">
                  <c:v>2444.6999999999998</c:v>
                </c:pt>
                <c:pt idx="603" formatCode="0.0">
                  <c:v>2447.62</c:v>
                </c:pt>
                <c:pt idx="604" formatCode="0.0">
                  <c:v>2450.54</c:v>
                </c:pt>
                <c:pt idx="605" formatCode="0.0">
                  <c:v>2453.46</c:v>
                </c:pt>
                <c:pt idx="606" formatCode="0.0">
                  <c:v>2456.39</c:v>
                </c:pt>
                <c:pt idx="607" formatCode="0.0">
                  <c:v>2459.31</c:v>
                </c:pt>
                <c:pt idx="608" formatCode="0.0">
                  <c:v>2462.25</c:v>
                </c:pt>
                <c:pt idx="609" formatCode="0.0">
                  <c:v>2465.23</c:v>
                </c:pt>
                <c:pt idx="610" formatCode="0.0">
                  <c:v>2468.1999999999998</c:v>
                </c:pt>
                <c:pt idx="611" formatCode="0.0">
                  <c:v>2471.1799999999998</c:v>
                </c:pt>
                <c:pt idx="612" formatCode="0.0">
                  <c:v>2474.15</c:v>
                </c:pt>
                <c:pt idx="613" formatCode="0.0">
                  <c:v>2477.13</c:v>
                </c:pt>
                <c:pt idx="614" formatCode="0.0">
                  <c:v>2480.1</c:v>
                </c:pt>
                <c:pt idx="615" formatCode="0.0">
                  <c:v>2483.08</c:v>
                </c:pt>
                <c:pt idx="616" formatCode="0.0">
                  <c:v>2486.0500000000002</c:v>
                </c:pt>
                <c:pt idx="617" formatCode="0.0">
                  <c:v>2489.0300000000002</c:v>
                </c:pt>
                <c:pt idx="618" formatCode="0.0">
                  <c:v>2492</c:v>
                </c:pt>
                <c:pt idx="619" formatCode="0.0">
                  <c:v>2494.98</c:v>
                </c:pt>
                <c:pt idx="620" formatCode="0.0">
                  <c:v>2497.94</c:v>
                </c:pt>
                <c:pt idx="621" formatCode="0.0">
                  <c:v>2500.87</c:v>
                </c:pt>
                <c:pt idx="622" formatCode="0.0">
                  <c:v>2503.8000000000002</c:v>
                </c:pt>
                <c:pt idx="623" formatCode="0.0">
                  <c:v>2506.73</c:v>
                </c:pt>
                <c:pt idx="624" formatCode="0.0">
                  <c:v>2509.66</c:v>
                </c:pt>
                <c:pt idx="625" formatCode="0.0">
                  <c:v>2512.59</c:v>
                </c:pt>
                <c:pt idx="626" formatCode="0.0">
                  <c:v>2515.52</c:v>
                </c:pt>
                <c:pt idx="627" formatCode="0.0">
                  <c:v>2518.4499999999998</c:v>
                </c:pt>
                <c:pt idx="628" formatCode="0.0">
                  <c:v>2521.39</c:v>
                </c:pt>
                <c:pt idx="629" formatCode="0.0">
                  <c:v>2524.33</c:v>
                </c:pt>
                <c:pt idx="630" formatCode="0.0">
                  <c:v>2527.2600000000002</c:v>
                </c:pt>
                <c:pt idx="631" formatCode="0.0">
                  <c:v>2530.1999999999998</c:v>
                </c:pt>
                <c:pt idx="632" formatCode="0.0">
                  <c:v>2533.13</c:v>
                </c:pt>
                <c:pt idx="633" formatCode="0.0">
                  <c:v>2536.08</c:v>
                </c:pt>
                <c:pt idx="634" formatCode="0.0">
                  <c:v>2539.02</c:v>
                </c:pt>
                <c:pt idx="635" formatCode="0.0">
                  <c:v>2541.9499999999998</c:v>
                </c:pt>
                <c:pt idx="636" formatCode="0.0">
                  <c:v>2544.88</c:v>
                </c:pt>
                <c:pt idx="637" formatCode="0.0">
                  <c:v>2547.8200000000002</c:v>
                </c:pt>
                <c:pt idx="638" formatCode="0.0">
                  <c:v>2550.75</c:v>
                </c:pt>
                <c:pt idx="639" formatCode="0.0">
                  <c:v>2553.6999999999998</c:v>
                </c:pt>
                <c:pt idx="640" formatCode="0.0">
                  <c:v>2556.65</c:v>
                </c:pt>
                <c:pt idx="641" formatCode="0.0">
                  <c:v>2559.59</c:v>
                </c:pt>
                <c:pt idx="642" formatCode="0.0">
                  <c:v>2562.54</c:v>
                </c:pt>
                <c:pt idx="643" formatCode="0.0">
                  <c:v>2565.4899999999998</c:v>
                </c:pt>
                <c:pt idx="644" formatCode="0.0">
                  <c:v>2568.44</c:v>
                </c:pt>
                <c:pt idx="645" formatCode="0.0">
                  <c:v>2571.39</c:v>
                </c:pt>
                <c:pt idx="646" formatCode="0.0">
                  <c:v>2574.34</c:v>
                </c:pt>
                <c:pt idx="647" formatCode="0.0">
                  <c:v>2577.3000000000002</c:v>
                </c:pt>
                <c:pt idx="648" formatCode="0.0">
                  <c:v>2580.25</c:v>
                </c:pt>
                <c:pt idx="649" formatCode="0.0">
                  <c:v>2583.1999999999998</c:v>
                </c:pt>
                <c:pt idx="650" formatCode="0.0">
                  <c:v>2586.16</c:v>
                </c:pt>
                <c:pt idx="651" formatCode="0.0">
                  <c:v>2589.12</c:v>
                </c:pt>
                <c:pt idx="652" formatCode="0.0">
                  <c:v>2592.09</c:v>
                </c:pt>
                <c:pt idx="653" formatCode="0.0">
                  <c:v>2595.0500000000002</c:v>
                </c:pt>
                <c:pt idx="654" formatCode="0.0">
                  <c:v>2598.02</c:v>
                </c:pt>
                <c:pt idx="655" formatCode="0.0">
                  <c:v>2600.9899999999998</c:v>
                </c:pt>
                <c:pt idx="656" formatCode="0.0">
                  <c:v>2603.9499999999998</c:v>
                </c:pt>
                <c:pt idx="657" formatCode="0.0">
                  <c:v>2606.9299999999998</c:v>
                </c:pt>
                <c:pt idx="658" formatCode="0.0">
                  <c:v>2609.91</c:v>
                </c:pt>
                <c:pt idx="659" formatCode="0.0">
                  <c:v>2612.89</c:v>
                </c:pt>
                <c:pt idx="660" formatCode="0.0">
                  <c:v>2615.87</c:v>
                </c:pt>
                <c:pt idx="661" formatCode="0.0">
                  <c:v>2618.85</c:v>
                </c:pt>
                <c:pt idx="662" formatCode="0.0">
                  <c:v>2621.83</c:v>
                </c:pt>
                <c:pt idx="663" formatCode="0.0">
                  <c:v>2624.82</c:v>
                </c:pt>
                <c:pt idx="664" formatCode="0.0">
                  <c:v>2627.82</c:v>
                </c:pt>
                <c:pt idx="665" formatCode="0.0">
                  <c:v>2630.81</c:v>
                </c:pt>
                <c:pt idx="666" formatCode="0.0">
                  <c:v>2633.81</c:v>
                </c:pt>
                <c:pt idx="667" formatCode="0.0">
                  <c:v>2636.81</c:v>
                </c:pt>
                <c:pt idx="668" formatCode="0.0">
                  <c:v>2639.82</c:v>
                </c:pt>
                <c:pt idx="669" formatCode="0.0">
                  <c:v>2642.83</c:v>
                </c:pt>
                <c:pt idx="670" formatCode="0.0">
                  <c:v>2645.84</c:v>
                </c:pt>
                <c:pt idx="671" formatCode="0.0">
                  <c:v>2648.85</c:v>
                </c:pt>
                <c:pt idx="672" formatCode="0.0">
                  <c:v>2651.86</c:v>
                </c:pt>
                <c:pt idx="673" formatCode="0.0">
                  <c:v>2654.87</c:v>
                </c:pt>
                <c:pt idx="674" formatCode="0.0">
                  <c:v>2657.87</c:v>
                </c:pt>
                <c:pt idx="675" formatCode="0.0">
                  <c:v>2660.89</c:v>
                </c:pt>
                <c:pt idx="676" formatCode="0.0">
                  <c:v>2663.92</c:v>
                </c:pt>
                <c:pt idx="677" formatCode="0.0">
                  <c:v>2666.95</c:v>
                </c:pt>
                <c:pt idx="678" formatCode="0.0">
                  <c:v>2669.98</c:v>
                </c:pt>
                <c:pt idx="679" formatCode="0.0">
                  <c:v>2673.01</c:v>
                </c:pt>
                <c:pt idx="680" formatCode="0.0">
                  <c:v>2676.04</c:v>
                </c:pt>
                <c:pt idx="681" formatCode="0.0">
                  <c:v>2679.08</c:v>
                </c:pt>
                <c:pt idx="682" formatCode="0.0">
                  <c:v>2682.12</c:v>
                </c:pt>
                <c:pt idx="683" formatCode="0.0">
                  <c:v>2685.17</c:v>
                </c:pt>
                <c:pt idx="684" formatCode="0.0">
                  <c:v>2688.21</c:v>
                </c:pt>
                <c:pt idx="685" formatCode="0.0">
                  <c:v>2691.26</c:v>
                </c:pt>
                <c:pt idx="686" formatCode="0.0">
                  <c:v>2694.31</c:v>
                </c:pt>
                <c:pt idx="687" formatCode="0.0">
                  <c:v>2697.35</c:v>
                </c:pt>
                <c:pt idx="688" formatCode="0.0">
                  <c:v>2700.4</c:v>
                </c:pt>
                <c:pt idx="689" formatCode="0.0">
                  <c:v>2703.44</c:v>
                </c:pt>
                <c:pt idx="690" formatCode="0.0">
                  <c:v>2706.49</c:v>
                </c:pt>
                <c:pt idx="691" formatCode="0.0">
                  <c:v>2709.53</c:v>
                </c:pt>
                <c:pt idx="692" formatCode="0.0">
                  <c:v>2712.58</c:v>
                </c:pt>
                <c:pt idx="693" formatCode="0.0">
                  <c:v>2715.63</c:v>
                </c:pt>
                <c:pt idx="694" formatCode="0.0">
                  <c:v>2718.68</c:v>
                </c:pt>
                <c:pt idx="695" formatCode="0.0">
                  <c:v>2721.73</c:v>
                </c:pt>
                <c:pt idx="696" formatCode="0.0">
                  <c:v>2724.79</c:v>
                </c:pt>
                <c:pt idx="697" formatCode="0.0">
                  <c:v>2727.84</c:v>
                </c:pt>
                <c:pt idx="698" formatCode="0.0">
                  <c:v>2730.9</c:v>
                </c:pt>
                <c:pt idx="699" formatCode="0.0">
                  <c:v>2733.95</c:v>
                </c:pt>
                <c:pt idx="700" formatCode="0.0">
                  <c:v>2736.9</c:v>
                </c:pt>
                <c:pt idx="701" formatCode="0.0">
                  <c:v>2739.8</c:v>
                </c:pt>
                <c:pt idx="702" formatCode="0.0">
                  <c:v>2742.71</c:v>
                </c:pt>
                <c:pt idx="703" formatCode="0.0">
                  <c:v>2745.61</c:v>
                </c:pt>
                <c:pt idx="704" formatCode="0.0">
                  <c:v>2748.51</c:v>
                </c:pt>
                <c:pt idx="705" formatCode="0.0">
                  <c:v>2751.42</c:v>
                </c:pt>
                <c:pt idx="706" formatCode="0.0">
                  <c:v>2754.33</c:v>
                </c:pt>
                <c:pt idx="707" formatCode="0.0">
                  <c:v>2757.24</c:v>
                </c:pt>
                <c:pt idx="708" formatCode="0.0">
                  <c:v>2760.16</c:v>
                </c:pt>
                <c:pt idx="709" formatCode="0.0">
                  <c:v>2763.07</c:v>
                </c:pt>
                <c:pt idx="710" formatCode="0.0">
                  <c:v>2765.99</c:v>
                </c:pt>
                <c:pt idx="711" formatCode="0.0">
                  <c:v>2768.9</c:v>
                </c:pt>
                <c:pt idx="712" formatCode="0.0">
                  <c:v>2771.82</c:v>
                </c:pt>
                <c:pt idx="713" formatCode="0.0">
                  <c:v>2774.73</c:v>
                </c:pt>
                <c:pt idx="714" formatCode="0.0">
                  <c:v>2777.65</c:v>
                </c:pt>
                <c:pt idx="715" formatCode="0.0">
                  <c:v>2780.56</c:v>
                </c:pt>
                <c:pt idx="716" formatCode="0.0">
                  <c:v>2783.47</c:v>
                </c:pt>
                <c:pt idx="717" formatCode="0.0">
                  <c:v>2786.39</c:v>
                </c:pt>
                <c:pt idx="718" formatCode="0.0">
                  <c:v>2789.31</c:v>
                </c:pt>
                <c:pt idx="719" formatCode="0.0">
                  <c:v>2792.24</c:v>
                </c:pt>
                <c:pt idx="720" formatCode="0.0">
                  <c:v>2795.16</c:v>
                </c:pt>
                <c:pt idx="721" formatCode="0.0">
                  <c:v>2798.09</c:v>
                </c:pt>
                <c:pt idx="722" formatCode="0.0">
                  <c:v>2801.02</c:v>
                </c:pt>
                <c:pt idx="723" formatCode="0.0">
                  <c:v>2803.94</c:v>
                </c:pt>
                <c:pt idx="724" formatCode="0.0">
                  <c:v>2806.87</c:v>
                </c:pt>
                <c:pt idx="725" formatCode="0.0">
                  <c:v>2809.8</c:v>
                </c:pt>
                <c:pt idx="726" formatCode="0.0">
                  <c:v>2812.72</c:v>
                </c:pt>
                <c:pt idx="727" formatCode="0.0">
                  <c:v>2815.65</c:v>
                </c:pt>
                <c:pt idx="728" formatCode="0.0">
                  <c:v>2818.58</c:v>
                </c:pt>
                <c:pt idx="729" formatCode="0.0">
                  <c:v>2821.5</c:v>
                </c:pt>
                <c:pt idx="730" formatCode="0.0">
                  <c:v>2824.43</c:v>
                </c:pt>
                <c:pt idx="731" formatCode="0.0">
                  <c:v>2827.36</c:v>
                </c:pt>
                <c:pt idx="732" formatCode="0.0">
                  <c:v>2830.29</c:v>
                </c:pt>
                <c:pt idx="733" formatCode="0.0">
                  <c:v>2833.22</c:v>
                </c:pt>
                <c:pt idx="734" formatCode="0.0">
                  <c:v>2836.15</c:v>
                </c:pt>
                <c:pt idx="735" formatCode="0.0">
                  <c:v>2839.08</c:v>
                </c:pt>
                <c:pt idx="736" formatCode="0.0">
                  <c:v>2842.02</c:v>
                </c:pt>
                <c:pt idx="737" formatCode="0.0">
                  <c:v>2844.95</c:v>
                </c:pt>
                <c:pt idx="738" formatCode="0.0">
                  <c:v>2847.89</c:v>
                </c:pt>
                <c:pt idx="739" formatCode="0.0">
                  <c:v>2850.82</c:v>
                </c:pt>
                <c:pt idx="740" formatCode="0.0">
                  <c:v>2853.76</c:v>
                </c:pt>
                <c:pt idx="741" formatCode="0.0">
                  <c:v>2856.69</c:v>
                </c:pt>
                <c:pt idx="742" formatCode="0.0">
                  <c:v>2859.63</c:v>
                </c:pt>
                <c:pt idx="743" formatCode="0.0">
                  <c:v>2862.56</c:v>
                </c:pt>
                <c:pt idx="744" formatCode="0.0">
                  <c:v>2865.5</c:v>
                </c:pt>
                <c:pt idx="745" formatCode="0.0">
                  <c:v>2868.43</c:v>
                </c:pt>
                <c:pt idx="746" formatCode="0.0">
                  <c:v>2871.37</c:v>
                </c:pt>
                <c:pt idx="747" formatCode="0.0">
                  <c:v>2874.3</c:v>
                </c:pt>
                <c:pt idx="748" formatCode="0.0">
                  <c:v>2877.23</c:v>
                </c:pt>
                <c:pt idx="749" formatCode="0.0">
                  <c:v>2880.17</c:v>
                </c:pt>
                <c:pt idx="750" formatCode="0.0">
                  <c:v>2883.1</c:v>
                </c:pt>
                <c:pt idx="751" formatCode="0.0">
                  <c:v>2886.04</c:v>
                </c:pt>
                <c:pt idx="752" formatCode="0.0">
                  <c:v>2888.97</c:v>
                </c:pt>
                <c:pt idx="753" formatCode="0.0">
                  <c:v>2891.91</c:v>
                </c:pt>
                <c:pt idx="754" formatCode="0.0">
                  <c:v>2894.84</c:v>
                </c:pt>
                <c:pt idx="755" formatCode="0.0">
                  <c:v>2897.78</c:v>
                </c:pt>
                <c:pt idx="756" formatCode="0.0">
                  <c:v>2900.71</c:v>
                </c:pt>
                <c:pt idx="757" formatCode="0.0">
                  <c:v>2903.65</c:v>
                </c:pt>
                <c:pt idx="758" formatCode="0.0">
                  <c:v>2906.58</c:v>
                </c:pt>
                <c:pt idx="759" formatCode="0.0">
                  <c:v>2909.52</c:v>
                </c:pt>
                <c:pt idx="760" formatCode="0.0">
                  <c:v>2912.45</c:v>
                </c:pt>
                <c:pt idx="761" formatCode="0.0">
                  <c:v>2915.38</c:v>
                </c:pt>
                <c:pt idx="762" formatCode="0.0">
                  <c:v>2918.32</c:v>
                </c:pt>
                <c:pt idx="763" formatCode="0.0">
                  <c:v>2921.25</c:v>
                </c:pt>
                <c:pt idx="764" formatCode="0.0">
                  <c:v>2924.19</c:v>
                </c:pt>
                <c:pt idx="765" formatCode="0.0">
                  <c:v>2927.12</c:v>
                </c:pt>
                <c:pt idx="766" formatCode="0.0">
                  <c:v>2930.06</c:v>
                </c:pt>
                <c:pt idx="767" formatCode="0.0">
                  <c:v>2932.99</c:v>
                </c:pt>
                <c:pt idx="768" formatCode="0.0">
                  <c:v>2935.81</c:v>
                </c:pt>
                <c:pt idx="769" formatCode="0.0">
                  <c:v>2938.43</c:v>
                </c:pt>
                <c:pt idx="770" formatCode="0.0">
                  <c:v>2941.05</c:v>
                </c:pt>
                <c:pt idx="771" formatCode="0.0">
                  <c:v>2943.67</c:v>
                </c:pt>
                <c:pt idx="772" formatCode="0.0">
                  <c:v>2946.28</c:v>
                </c:pt>
                <c:pt idx="773" formatCode="0.0">
                  <c:v>2948.9</c:v>
                </c:pt>
                <c:pt idx="774" formatCode="0.0">
                  <c:v>2951.52</c:v>
                </c:pt>
                <c:pt idx="775" formatCode="0.0">
                  <c:v>2954.14</c:v>
                </c:pt>
                <c:pt idx="776" formatCode="0.0">
                  <c:v>2956.76</c:v>
                </c:pt>
                <c:pt idx="777" formatCode="0.0">
                  <c:v>2959.38</c:v>
                </c:pt>
                <c:pt idx="778" formatCode="0.0">
                  <c:v>2961.99</c:v>
                </c:pt>
                <c:pt idx="779" formatCode="0.0">
                  <c:v>2964.61</c:v>
                </c:pt>
                <c:pt idx="780" formatCode="0.0">
                  <c:v>2967.23</c:v>
                </c:pt>
                <c:pt idx="781" formatCode="0.0">
                  <c:v>2969.85</c:v>
                </c:pt>
                <c:pt idx="782" formatCode="0.0">
                  <c:v>2972.47</c:v>
                </c:pt>
                <c:pt idx="783" formatCode="0.0">
                  <c:v>2975.08</c:v>
                </c:pt>
                <c:pt idx="784" formatCode="0.0">
                  <c:v>2977.7</c:v>
                </c:pt>
                <c:pt idx="785" formatCode="0.0">
                  <c:v>2980.32</c:v>
                </c:pt>
                <c:pt idx="786" formatCode="0.0">
                  <c:v>2982.94</c:v>
                </c:pt>
                <c:pt idx="787" formatCode="0.0">
                  <c:v>2985.56</c:v>
                </c:pt>
                <c:pt idx="788" formatCode="0.0">
                  <c:v>2988.17</c:v>
                </c:pt>
                <c:pt idx="789" formatCode="0.0">
                  <c:v>2990.79</c:v>
                </c:pt>
                <c:pt idx="790" formatCode="0.0">
                  <c:v>2993.41</c:v>
                </c:pt>
                <c:pt idx="791" formatCode="0.0">
                  <c:v>2996.03</c:v>
                </c:pt>
                <c:pt idx="792" formatCode="0.0">
                  <c:v>2998.65</c:v>
                </c:pt>
                <c:pt idx="793" formatCode="0.0">
                  <c:v>3001.27</c:v>
                </c:pt>
                <c:pt idx="794" formatCode="0.0">
                  <c:v>3003.88</c:v>
                </c:pt>
                <c:pt idx="795" formatCode="0.0">
                  <c:v>3006.5</c:v>
                </c:pt>
                <c:pt idx="796" formatCode="0.0">
                  <c:v>3009.12</c:v>
                </c:pt>
                <c:pt idx="797" formatCode="0.0">
                  <c:v>3011.74</c:v>
                </c:pt>
                <c:pt idx="798" formatCode="0.0">
                  <c:v>3014.36</c:v>
                </c:pt>
                <c:pt idx="799" formatCode="0.0">
                  <c:v>3016.97</c:v>
                </c:pt>
                <c:pt idx="800" formatCode="0.0">
                  <c:v>3019.59</c:v>
                </c:pt>
                <c:pt idx="801" formatCode="0.0">
                  <c:v>3022.21</c:v>
                </c:pt>
                <c:pt idx="802" formatCode="0.0">
                  <c:v>3024.83</c:v>
                </c:pt>
                <c:pt idx="803" formatCode="0.0">
                  <c:v>3027.45</c:v>
                </c:pt>
                <c:pt idx="804" formatCode="0.0">
                  <c:v>3030.07</c:v>
                </c:pt>
                <c:pt idx="805" formatCode="0.0">
                  <c:v>3032.68</c:v>
                </c:pt>
                <c:pt idx="806" formatCode="0.0">
                  <c:v>3035.33</c:v>
                </c:pt>
                <c:pt idx="807" formatCode="0.0">
                  <c:v>3038.12</c:v>
                </c:pt>
                <c:pt idx="808" formatCode="0.0">
                  <c:v>3040.9</c:v>
                </c:pt>
                <c:pt idx="809" formatCode="0.0">
                  <c:v>3043.69</c:v>
                </c:pt>
                <c:pt idx="810" formatCode="0.0">
                  <c:v>3046.48</c:v>
                </c:pt>
                <c:pt idx="811" formatCode="0.0">
                  <c:v>3049.26</c:v>
                </c:pt>
                <c:pt idx="812" formatCode="0.0">
                  <c:v>3052.05</c:v>
                </c:pt>
                <c:pt idx="813" formatCode="0.0">
                  <c:v>3054.84</c:v>
                </c:pt>
                <c:pt idx="814" formatCode="0.0">
                  <c:v>3057.62</c:v>
                </c:pt>
                <c:pt idx="815" formatCode="0.0">
                  <c:v>3060.41</c:v>
                </c:pt>
                <c:pt idx="816" formatCode="0.0">
                  <c:v>3063.2</c:v>
                </c:pt>
                <c:pt idx="817" formatCode="0.0">
                  <c:v>3065.98</c:v>
                </c:pt>
                <c:pt idx="818" formatCode="0.0">
                  <c:v>3068.77</c:v>
                </c:pt>
                <c:pt idx="819" formatCode="0.0">
                  <c:v>3071.56</c:v>
                </c:pt>
                <c:pt idx="820" formatCode="0.0">
                  <c:v>3074.34</c:v>
                </c:pt>
                <c:pt idx="821" formatCode="0.0">
                  <c:v>3077.13</c:v>
                </c:pt>
                <c:pt idx="822" formatCode="0.0">
                  <c:v>3079.92</c:v>
                </c:pt>
                <c:pt idx="823" formatCode="0.0">
                  <c:v>3082.7</c:v>
                </c:pt>
                <c:pt idx="824" formatCode="0.0">
                  <c:v>3085.49</c:v>
                </c:pt>
                <c:pt idx="825" formatCode="0.0">
                  <c:v>3088.28</c:v>
                </c:pt>
                <c:pt idx="826" formatCode="0.0">
                  <c:v>3091.06</c:v>
                </c:pt>
                <c:pt idx="827" formatCode="0.0">
                  <c:v>3093.85</c:v>
                </c:pt>
                <c:pt idx="828" formatCode="0.0">
                  <c:v>3096.64</c:v>
                </c:pt>
                <c:pt idx="829" formatCode="0.0">
                  <c:v>3099.42</c:v>
                </c:pt>
                <c:pt idx="830" formatCode="0.0">
                  <c:v>3102.21</c:v>
                </c:pt>
                <c:pt idx="831" formatCode="0.0">
                  <c:v>3105</c:v>
                </c:pt>
                <c:pt idx="832" formatCode="0.0">
                  <c:v>3107.78</c:v>
                </c:pt>
                <c:pt idx="833" formatCode="0.0">
                  <c:v>3110.57</c:v>
                </c:pt>
                <c:pt idx="834" formatCode="0.0">
                  <c:v>3113.36</c:v>
                </c:pt>
                <c:pt idx="835" formatCode="0.0">
                  <c:v>3116.14</c:v>
                </c:pt>
                <c:pt idx="836" formatCode="0.0">
                  <c:v>3118.93</c:v>
                </c:pt>
                <c:pt idx="837" formatCode="0.0">
                  <c:v>3121.72</c:v>
                </c:pt>
                <c:pt idx="838" formatCode="0.0">
                  <c:v>3124.5</c:v>
                </c:pt>
                <c:pt idx="839" formatCode="0.0">
                  <c:v>3127.29</c:v>
                </c:pt>
                <c:pt idx="840" formatCode="0.0">
                  <c:v>3130.08</c:v>
                </c:pt>
                <c:pt idx="841" formatCode="0.0">
                  <c:v>3132.86</c:v>
                </c:pt>
                <c:pt idx="842" formatCode="0.0">
                  <c:v>3135.69</c:v>
                </c:pt>
                <c:pt idx="843" formatCode="0.0">
                  <c:v>3138.6</c:v>
                </c:pt>
                <c:pt idx="844" formatCode="0.0">
                  <c:v>3141.51</c:v>
                </c:pt>
                <c:pt idx="845" formatCode="0.0">
                  <c:v>3144.43</c:v>
                </c:pt>
                <c:pt idx="846" formatCode="0.0">
                  <c:v>3147.34</c:v>
                </c:pt>
                <c:pt idx="847" formatCode="0.0">
                  <c:v>3150.25</c:v>
                </c:pt>
                <c:pt idx="848" formatCode="0.0">
                  <c:v>3153.17</c:v>
                </c:pt>
                <c:pt idx="849" formatCode="0.0">
                  <c:v>3156.08</c:v>
                </c:pt>
                <c:pt idx="850" formatCode="0.0">
                  <c:v>3158.99</c:v>
                </c:pt>
                <c:pt idx="851" formatCode="0.0">
                  <c:v>3161.91</c:v>
                </c:pt>
                <c:pt idx="852" formatCode="0.0">
                  <c:v>3164.82</c:v>
                </c:pt>
                <c:pt idx="853" formatCode="0.0">
                  <c:v>3167.73</c:v>
                </c:pt>
                <c:pt idx="854" formatCode="0.0">
                  <c:v>3170.65</c:v>
                </c:pt>
                <c:pt idx="855" formatCode="0.0">
                  <c:v>3173.56</c:v>
                </c:pt>
                <c:pt idx="856" formatCode="0.0">
                  <c:v>3176.47</c:v>
                </c:pt>
                <c:pt idx="857" formatCode="0.0">
                  <c:v>3179.38</c:v>
                </c:pt>
                <c:pt idx="858" formatCode="0.0">
                  <c:v>3182.3</c:v>
                </c:pt>
                <c:pt idx="859" formatCode="0.0">
                  <c:v>3185.21</c:v>
                </c:pt>
                <c:pt idx="860" formatCode="0.0">
                  <c:v>3188.12</c:v>
                </c:pt>
                <c:pt idx="861" formatCode="0.0">
                  <c:v>3191.04</c:v>
                </c:pt>
                <c:pt idx="862" formatCode="0.0">
                  <c:v>3193.95</c:v>
                </c:pt>
                <c:pt idx="863" formatCode="0.0">
                  <c:v>3196.86</c:v>
                </c:pt>
                <c:pt idx="864" formatCode="0.0">
                  <c:v>3199.78</c:v>
                </c:pt>
                <c:pt idx="865" formatCode="0.0">
                  <c:v>3202.69</c:v>
                </c:pt>
                <c:pt idx="866" formatCode="0.0">
                  <c:v>3205.6</c:v>
                </c:pt>
                <c:pt idx="867" formatCode="0.0">
                  <c:v>3208.52</c:v>
                </c:pt>
                <c:pt idx="868" formatCode="0.0">
                  <c:v>3211.43</c:v>
                </c:pt>
                <c:pt idx="869" formatCode="0.0">
                  <c:v>3214.34</c:v>
                </c:pt>
                <c:pt idx="870" formatCode="0.0">
                  <c:v>3217.26</c:v>
                </c:pt>
                <c:pt idx="871" formatCode="0.0">
                  <c:v>3220.17</c:v>
                </c:pt>
                <c:pt idx="872" formatCode="0.0">
                  <c:v>3223.08</c:v>
                </c:pt>
                <c:pt idx="873" formatCode="0.0">
                  <c:v>3226</c:v>
                </c:pt>
                <c:pt idx="874" formatCode="0.0">
                  <c:v>3228.91</c:v>
                </c:pt>
                <c:pt idx="875" formatCode="0.0">
                  <c:v>3231.82</c:v>
                </c:pt>
                <c:pt idx="876" formatCode="0.0">
                  <c:v>3234.74</c:v>
                </c:pt>
                <c:pt idx="877" formatCode="0.0">
                  <c:v>3237.51</c:v>
                </c:pt>
                <c:pt idx="878" formatCode="0.0">
                  <c:v>3240.28</c:v>
                </c:pt>
                <c:pt idx="879" formatCode="0.0">
                  <c:v>3243.05</c:v>
                </c:pt>
                <c:pt idx="880" formatCode="0.0">
                  <c:v>3245.82</c:v>
                </c:pt>
                <c:pt idx="881" formatCode="0.0">
                  <c:v>3248.59</c:v>
                </c:pt>
                <c:pt idx="882" formatCode="0.0">
                  <c:v>3251.36</c:v>
                </c:pt>
                <c:pt idx="883" formatCode="0.0">
                  <c:v>3254.12</c:v>
                </c:pt>
                <c:pt idx="884" formatCode="0.0">
                  <c:v>3256.89</c:v>
                </c:pt>
                <c:pt idx="885" formatCode="0.0">
                  <c:v>3259.66</c:v>
                </c:pt>
                <c:pt idx="886" formatCode="0.0">
                  <c:v>3262.43</c:v>
                </c:pt>
                <c:pt idx="887" formatCode="0.0">
                  <c:v>3265.2</c:v>
                </c:pt>
                <c:pt idx="888" formatCode="0.0">
                  <c:v>3267.97</c:v>
                </c:pt>
                <c:pt idx="889" formatCode="0.0">
                  <c:v>3270.74</c:v>
                </c:pt>
                <c:pt idx="890" formatCode="0.0">
                  <c:v>3273.5</c:v>
                </c:pt>
                <c:pt idx="891" formatCode="0.0">
                  <c:v>3276.27</c:v>
                </c:pt>
                <c:pt idx="892" formatCode="0.0">
                  <c:v>3279.04</c:v>
                </c:pt>
                <c:pt idx="893" formatCode="0.0">
                  <c:v>3281.81</c:v>
                </c:pt>
                <c:pt idx="894" formatCode="0.0">
                  <c:v>3284.58</c:v>
                </c:pt>
                <c:pt idx="895" formatCode="0.0">
                  <c:v>3287.35</c:v>
                </c:pt>
                <c:pt idx="896" formatCode="0.0">
                  <c:v>3290.12</c:v>
                </c:pt>
                <c:pt idx="897" formatCode="0.0">
                  <c:v>3292.88</c:v>
                </c:pt>
                <c:pt idx="898" formatCode="0.0">
                  <c:v>3295.65</c:v>
                </c:pt>
                <c:pt idx="899" formatCode="0.0">
                  <c:v>3298.42</c:v>
                </c:pt>
                <c:pt idx="900" formatCode="0.0">
                  <c:v>3301.19</c:v>
                </c:pt>
                <c:pt idx="901" formatCode="0.0">
                  <c:v>3303.96</c:v>
                </c:pt>
                <c:pt idx="902" formatCode="0.0">
                  <c:v>3306.73</c:v>
                </c:pt>
                <c:pt idx="903" formatCode="0.0">
                  <c:v>3309.5</c:v>
                </c:pt>
                <c:pt idx="904" formatCode="0.0">
                  <c:v>3312.26</c:v>
                </c:pt>
                <c:pt idx="905" formatCode="0.0">
                  <c:v>3315.02</c:v>
                </c:pt>
                <c:pt idx="906" formatCode="0.0">
                  <c:v>3317.6</c:v>
                </c:pt>
                <c:pt idx="907" formatCode="0.0">
                  <c:v>3320.18</c:v>
                </c:pt>
                <c:pt idx="908" formatCode="0.0">
                  <c:v>3322.76</c:v>
                </c:pt>
                <c:pt idx="909" formatCode="0.0">
                  <c:v>3325.33</c:v>
                </c:pt>
                <c:pt idx="910" formatCode="0.0">
                  <c:v>3327.91</c:v>
                </c:pt>
                <c:pt idx="911" formatCode="0.0">
                  <c:v>3330.49</c:v>
                </c:pt>
              </c:numCache>
            </c:numRef>
          </c:xVal>
          <c:yVal>
            <c:numRef>
              <c:f>'NunR-005'!$D$15:$D$926</c:f>
              <c:numCache>
                <c:formatCode>0.00</c:formatCode>
                <c:ptCount val="912"/>
                <c:pt idx="0">
                  <c:v>0</c:v>
                </c:pt>
                <c:pt idx="1">
                  <c:v>15.74</c:v>
                </c:pt>
                <c:pt idx="2">
                  <c:v>32.15</c:v>
                </c:pt>
                <c:pt idx="3">
                  <c:v>48.55</c:v>
                </c:pt>
                <c:pt idx="4">
                  <c:v>64.95</c:v>
                </c:pt>
                <c:pt idx="5">
                  <c:v>81.36</c:v>
                </c:pt>
                <c:pt idx="6">
                  <c:v>97.76</c:v>
                </c:pt>
                <c:pt idx="7">
                  <c:v>114.17</c:v>
                </c:pt>
                <c:pt idx="8">
                  <c:v>130.57</c:v>
                </c:pt>
                <c:pt idx="9">
                  <c:v>146.97999999999999</c:v>
                </c:pt>
                <c:pt idx="10">
                  <c:v>163.38</c:v>
                </c:pt>
                <c:pt idx="11">
                  <c:v>179.78</c:v>
                </c:pt>
                <c:pt idx="12">
                  <c:v>196.19</c:v>
                </c:pt>
                <c:pt idx="13">
                  <c:v>212.59</c:v>
                </c:pt>
                <c:pt idx="14">
                  <c:v>229</c:v>
                </c:pt>
                <c:pt idx="15">
                  <c:v>245.4</c:v>
                </c:pt>
                <c:pt idx="16">
                  <c:v>261.8</c:v>
                </c:pt>
                <c:pt idx="17">
                  <c:v>278.20999999999998</c:v>
                </c:pt>
                <c:pt idx="18">
                  <c:v>294.61</c:v>
                </c:pt>
                <c:pt idx="19">
                  <c:v>311.02</c:v>
                </c:pt>
                <c:pt idx="20">
                  <c:v>327.42</c:v>
                </c:pt>
                <c:pt idx="21">
                  <c:v>343.82</c:v>
                </c:pt>
                <c:pt idx="22">
                  <c:v>360.23</c:v>
                </c:pt>
                <c:pt idx="23">
                  <c:v>376.63</c:v>
                </c:pt>
                <c:pt idx="24">
                  <c:v>393.04</c:v>
                </c:pt>
                <c:pt idx="25">
                  <c:v>409.44</c:v>
                </c:pt>
                <c:pt idx="26">
                  <c:v>425.84</c:v>
                </c:pt>
                <c:pt idx="27">
                  <c:v>442.25</c:v>
                </c:pt>
                <c:pt idx="28">
                  <c:v>458.65</c:v>
                </c:pt>
                <c:pt idx="29">
                  <c:v>475.06</c:v>
                </c:pt>
                <c:pt idx="30">
                  <c:v>491.46</c:v>
                </c:pt>
                <c:pt idx="31">
                  <c:v>507.86</c:v>
                </c:pt>
                <c:pt idx="32">
                  <c:v>524.27</c:v>
                </c:pt>
                <c:pt idx="33">
                  <c:v>540.66999999999996</c:v>
                </c:pt>
                <c:pt idx="34">
                  <c:v>557.08000000000004</c:v>
                </c:pt>
                <c:pt idx="35">
                  <c:v>573.48</c:v>
                </c:pt>
                <c:pt idx="36">
                  <c:v>589.89</c:v>
                </c:pt>
                <c:pt idx="37">
                  <c:v>606.29</c:v>
                </c:pt>
                <c:pt idx="38">
                  <c:v>622.69000000000005</c:v>
                </c:pt>
                <c:pt idx="39">
                  <c:v>639.1</c:v>
                </c:pt>
                <c:pt idx="40">
                  <c:v>655.5</c:v>
                </c:pt>
                <c:pt idx="41">
                  <c:v>671.91</c:v>
                </c:pt>
                <c:pt idx="42">
                  <c:v>688.31</c:v>
                </c:pt>
                <c:pt idx="43">
                  <c:v>704.71</c:v>
                </c:pt>
                <c:pt idx="44">
                  <c:v>721.12</c:v>
                </c:pt>
                <c:pt idx="45">
                  <c:v>737.52</c:v>
                </c:pt>
                <c:pt idx="46">
                  <c:v>753.93</c:v>
                </c:pt>
                <c:pt idx="47">
                  <c:v>770.33</c:v>
                </c:pt>
                <c:pt idx="48">
                  <c:v>786.74</c:v>
                </c:pt>
                <c:pt idx="49">
                  <c:v>803.14</c:v>
                </c:pt>
                <c:pt idx="50">
                  <c:v>819.54</c:v>
                </c:pt>
                <c:pt idx="51">
                  <c:v>835.95</c:v>
                </c:pt>
                <c:pt idx="52">
                  <c:v>852.35</c:v>
                </c:pt>
                <c:pt idx="53">
                  <c:v>868.76</c:v>
                </c:pt>
                <c:pt idx="54">
                  <c:v>885.16</c:v>
                </c:pt>
                <c:pt idx="55">
                  <c:v>901.56</c:v>
                </c:pt>
                <c:pt idx="56">
                  <c:v>917.97</c:v>
                </c:pt>
                <c:pt idx="57">
                  <c:v>934.37</c:v>
                </c:pt>
                <c:pt idx="58">
                  <c:v>950.78</c:v>
                </c:pt>
                <c:pt idx="59">
                  <c:v>967.18</c:v>
                </c:pt>
                <c:pt idx="60">
                  <c:v>983.58</c:v>
                </c:pt>
                <c:pt idx="61">
                  <c:v>999.99</c:v>
                </c:pt>
                <c:pt idx="62">
                  <c:v>1016.39</c:v>
                </c:pt>
                <c:pt idx="63" formatCode="0.0">
                  <c:v>1032.8</c:v>
                </c:pt>
                <c:pt idx="64" formatCode="0.0">
                  <c:v>1049.2</c:v>
                </c:pt>
                <c:pt idx="65" formatCode="0.0">
                  <c:v>1065.5999999999999</c:v>
                </c:pt>
                <c:pt idx="66" formatCode="0.0">
                  <c:v>1082.01</c:v>
                </c:pt>
                <c:pt idx="67" formatCode="0.0">
                  <c:v>1098.4100000000001</c:v>
                </c:pt>
                <c:pt idx="68" formatCode="0.0">
                  <c:v>1114.82</c:v>
                </c:pt>
                <c:pt idx="69" formatCode="0.0">
                  <c:v>1131.22</c:v>
                </c:pt>
                <c:pt idx="70" formatCode="0.0">
                  <c:v>1147.6199999999999</c:v>
                </c:pt>
                <c:pt idx="71" formatCode="0.0">
                  <c:v>1164.03</c:v>
                </c:pt>
                <c:pt idx="72" formatCode="0.0">
                  <c:v>1180.43</c:v>
                </c:pt>
                <c:pt idx="73" formatCode="0.0">
                  <c:v>1196.8399999999999</c:v>
                </c:pt>
                <c:pt idx="74" formatCode="0.0">
                  <c:v>1213.24</c:v>
                </c:pt>
                <c:pt idx="75" formatCode="0.0">
                  <c:v>1229.6400000000001</c:v>
                </c:pt>
                <c:pt idx="76" formatCode="0.0">
                  <c:v>1246.05</c:v>
                </c:pt>
                <c:pt idx="77" formatCode="0.0">
                  <c:v>1262.45</c:v>
                </c:pt>
                <c:pt idx="78" formatCode="0.0">
                  <c:v>1278.8599999999999</c:v>
                </c:pt>
                <c:pt idx="79" formatCode="0.0">
                  <c:v>1295.26</c:v>
                </c:pt>
                <c:pt idx="80" formatCode="0.0">
                  <c:v>1311.66</c:v>
                </c:pt>
                <c:pt idx="81" formatCode="0.0">
                  <c:v>1328.07</c:v>
                </c:pt>
                <c:pt idx="82" formatCode="0.0">
                  <c:v>1344.47</c:v>
                </c:pt>
                <c:pt idx="83" formatCode="0.0">
                  <c:v>1360.88</c:v>
                </c:pt>
                <c:pt idx="84" formatCode="0.0">
                  <c:v>1377.28</c:v>
                </c:pt>
                <c:pt idx="85" formatCode="0.0">
                  <c:v>1393.68</c:v>
                </c:pt>
                <c:pt idx="86" formatCode="0.0">
                  <c:v>1410.09</c:v>
                </c:pt>
                <c:pt idx="87" formatCode="0.0">
                  <c:v>1426.49</c:v>
                </c:pt>
                <c:pt idx="88" formatCode="0.0">
                  <c:v>1442.9</c:v>
                </c:pt>
                <c:pt idx="89" formatCode="0.0">
                  <c:v>1459.3</c:v>
                </c:pt>
                <c:pt idx="90" formatCode="0.0">
                  <c:v>1475.71</c:v>
                </c:pt>
                <c:pt idx="91" formatCode="0.0">
                  <c:v>1492.11</c:v>
                </c:pt>
                <c:pt idx="92" formatCode="0.0">
                  <c:v>1508.51</c:v>
                </c:pt>
                <c:pt idx="93" formatCode="0.0">
                  <c:v>1524.92</c:v>
                </c:pt>
                <c:pt idx="94" formatCode="0.0">
                  <c:v>1541.32</c:v>
                </c:pt>
                <c:pt idx="95" formatCode="0.0">
                  <c:v>1557.73</c:v>
                </c:pt>
                <c:pt idx="96" formatCode="0.0">
                  <c:v>1574.13</c:v>
                </c:pt>
                <c:pt idx="97" formatCode="0.0">
                  <c:v>1590.53</c:v>
                </c:pt>
                <c:pt idx="98" formatCode="0.0">
                  <c:v>1606.94</c:v>
                </c:pt>
                <c:pt idx="99" formatCode="0.0">
                  <c:v>1623.34</c:v>
                </c:pt>
                <c:pt idx="100" formatCode="0.0">
                  <c:v>1639.75</c:v>
                </c:pt>
                <c:pt idx="101" formatCode="0.0">
                  <c:v>1656.15</c:v>
                </c:pt>
                <c:pt idx="102" formatCode="0.0">
                  <c:v>1672.55</c:v>
                </c:pt>
                <c:pt idx="103" formatCode="0.0">
                  <c:v>1688.96</c:v>
                </c:pt>
                <c:pt idx="104" formatCode="0.0">
                  <c:v>1705.36</c:v>
                </c:pt>
                <c:pt idx="105" formatCode="0.0">
                  <c:v>1721.77</c:v>
                </c:pt>
                <c:pt idx="106" formatCode="0.0">
                  <c:v>1738.17</c:v>
                </c:pt>
                <c:pt idx="107" formatCode="0.0">
                  <c:v>1754.57</c:v>
                </c:pt>
                <c:pt idx="108" formatCode="0.0">
                  <c:v>1770.98</c:v>
                </c:pt>
                <c:pt idx="109" formatCode="0.0">
                  <c:v>1787.38</c:v>
                </c:pt>
                <c:pt idx="110" formatCode="0.0">
                  <c:v>1803.79</c:v>
                </c:pt>
                <c:pt idx="111" formatCode="0.0">
                  <c:v>1820.19</c:v>
                </c:pt>
                <c:pt idx="112" formatCode="0.0">
                  <c:v>1836.59</c:v>
                </c:pt>
                <c:pt idx="113" formatCode="0.0">
                  <c:v>1853</c:v>
                </c:pt>
                <c:pt idx="114" formatCode="0.0">
                  <c:v>1869.4</c:v>
                </c:pt>
                <c:pt idx="115" formatCode="0.0">
                  <c:v>1885.81</c:v>
                </c:pt>
                <c:pt idx="116" formatCode="0.0">
                  <c:v>1902.21</c:v>
                </c:pt>
                <c:pt idx="117" formatCode="0.0">
                  <c:v>1918.61</c:v>
                </c:pt>
                <c:pt idx="118" formatCode="0.0">
                  <c:v>1935.02</c:v>
                </c:pt>
                <c:pt idx="119" formatCode="0.0">
                  <c:v>1951.42</c:v>
                </c:pt>
                <c:pt idx="120" formatCode="0.0">
                  <c:v>1967.83</c:v>
                </c:pt>
                <c:pt idx="121" formatCode="0.0">
                  <c:v>1984.23</c:v>
                </c:pt>
                <c:pt idx="122" formatCode="0.0">
                  <c:v>2000.63</c:v>
                </c:pt>
                <c:pt idx="123" formatCode="0.0">
                  <c:v>2017.04</c:v>
                </c:pt>
                <c:pt idx="124" formatCode="0.0">
                  <c:v>2033.44</c:v>
                </c:pt>
                <c:pt idx="125" formatCode="0.0">
                  <c:v>2049.85</c:v>
                </c:pt>
                <c:pt idx="126" formatCode="0.0">
                  <c:v>2066.25</c:v>
                </c:pt>
                <c:pt idx="127" formatCode="0.0">
                  <c:v>2082.65</c:v>
                </c:pt>
                <c:pt idx="128" formatCode="0.0">
                  <c:v>2099.06</c:v>
                </c:pt>
                <c:pt idx="129" formatCode="0.0">
                  <c:v>2115.46</c:v>
                </c:pt>
                <c:pt idx="130" formatCode="0.0">
                  <c:v>2131.87</c:v>
                </c:pt>
                <c:pt idx="131" formatCode="0.0">
                  <c:v>2148.27</c:v>
                </c:pt>
                <c:pt idx="132" formatCode="0.0">
                  <c:v>2164.6799999999998</c:v>
                </c:pt>
                <c:pt idx="133" formatCode="0.0">
                  <c:v>2181.08</c:v>
                </c:pt>
                <c:pt idx="134" formatCode="0.0">
                  <c:v>2197.48</c:v>
                </c:pt>
                <c:pt idx="135" formatCode="0.0">
                  <c:v>2213.89</c:v>
                </c:pt>
                <c:pt idx="136" formatCode="0.0">
                  <c:v>2230.29</c:v>
                </c:pt>
                <c:pt idx="137" formatCode="0.0">
                  <c:v>2246.6999999999998</c:v>
                </c:pt>
                <c:pt idx="138" formatCode="0.0">
                  <c:v>2263.1</c:v>
                </c:pt>
                <c:pt idx="139" formatCode="0.0">
                  <c:v>2279.5</c:v>
                </c:pt>
                <c:pt idx="140" formatCode="0.0">
                  <c:v>2295.91</c:v>
                </c:pt>
                <c:pt idx="141" formatCode="0.0">
                  <c:v>2312.31</c:v>
                </c:pt>
                <c:pt idx="142" formatCode="0.0">
                  <c:v>2328.7199999999998</c:v>
                </c:pt>
                <c:pt idx="143" formatCode="0.0">
                  <c:v>2345.12</c:v>
                </c:pt>
                <c:pt idx="144" formatCode="0.0">
                  <c:v>2361.52</c:v>
                </c:pt>
                <c:pt idx="145" formatCode="0.0">
                  <c:v>2377.9299999999998</c:v>
                </c:pt>
                <c:pt idx="146" formatCode="0.0">
                  <c:v>2394.33</c:v>
                </c:pt>
                <c:pt idx="147" formatCode="0.0">
                  <c:v>2410.7399999999998</c:v>
                </c:pt>
                <c:pt idx="148" formatCode="0.0">
                  <c:v>2427.14</c:v>
                </c:pt>
                <c:pt idx="149" formatCode="0.0">
                  <c:v>2443.54</c:v>
                </c:pt>
                <c:pt idx="150" formatCode="0.0">
                  <c:v>2459.9499999999998</c:v>
                </c:pt>
                <c:pt idx="151" formatCode="0.0">
                  <c:v>2476.35</c:v>
                </c:pt>
                <c:pt idx="152" formatCode="0.0">
                  <c:v>2492.75</c:v>
                </c:pt>
                <c:pt idx="153" formatCode="0.0">
                  <c:v>2509.16</c:v>
                </c:pt>
                <c:pt idx="154" formatCode="0.0">
                  <c:v>2525.56</c:v>
                </c:pt>
                <c:pt idx="155" formatCode="0.0">
                  <c:v>2541.96</c:v>
                </c:pt>
                <c:pt idx="156" formatCode="0.0">
                  <c:v>2558.37</c:v>
                </c:pt>
                <c:pt idx="157" formatCode="0.0">
                  <c:v>2574.77</c:v>
                </c:pt>
                <c:pt idx="158" formatCode="0.0">
                  <c:v>2591.1799999999998</c:v>
                </c:pt>
                <c:pt idx="159" formatCode="0.0">
                  <c:v>2607.58</c:v>
                </c:pt>
                <c:pt idx="160" formatCode="0.0">
                  <c:v>2623.98</c:v>
                </c:pt>
                <c:pt idx="161" formatCode="0.0">
                  <c:v>2640.39</c:v>
                </c:pt>
                <c:pt idx="162" formatCode="0.0">
                  <c:v>2656.79</c:v>
                </c:pt>
                <c:pt idx="163" formatCode="0.0">
                  <c:v>2673.19</c:v>
                </c:pt>
                <c:pt idx="164" formatCode="0.0">
                  <c:v>2689.6</c:v>
                </c:pt>
                <c:pt idx="165" formatCode="0.0">
                  <c:v>2706</c:v>
                </c:pt>
                <c:pt idx="166" formatCode="0.0">
                  <c:v>2722.4</c:v>
                </c:pt>
                <c:pt idx="167" formatCode="0.0">
                  <c:v>2738.81</c:v>
                </c:pt>
                <c:pt idx="168" formatCode="0.0">
                  <c:v>2755.21</c:v>
                </c:pt>
                <c:pt idx="169" formatCode="0.0">
                  <c:v>2771.61</c:v>
                </c:pt>
                <c:pt idx="170" formatCode="0.0">
                  <c:v>2788.02</c:v>
                </c:pt>
                <c:pt idx="171" formatCode="0.0">
                  <c:v>2804.42</c:v>
                </c:pt>
                <c:pt idx="172" formatCode="0.0">
                  <c:v>2820.82</c:v>
                </c:pt>
                <c:pt idx="173" formatCode="0.0">
                  <c:v>2837.23</c:v>
                </c:pt>
                <c:pt idx="174" formatCode="0.0">
                  <c:v>2853.63</c:v>
                </c:pt>
                <c:pt idx="175" formatCode="0.0">
                  <c:v>2870.03</c:v>
                </c:pt>
                <c:pt idx="176" formatCode="0.0">
                  <c:v>2886.44</c:v>
                </c:pt>
                <c:pt idx="177" formatCode="0.0">
                  <c:v>2902.84</c:v>
                </c:pt>
                <c:pt idx="178" formatCode="0.0">
                  <c:v>2919.24</c:v>
                </c:pt>
                <c:pt idx="179" formatCode="0.0">
                  <c:v>2935.65</c:v>
                </c:pt>
                <c:pt idx="180" formatCode="0.0">
                  <c:v>2952.05</c:v>
                </c:pt>
                <c:pt idx="181" formatCode="0.0">
                  <c:v>2968.45</c:v>
                </c:pt>
                <c:pt idx="182" formatCode="0.0">
                  <c:v>2984.86</c:v>
                </c:pt>
                <c:pt idx="183" formatCode="0.0">
                  <c:v>3001.26</c:v>
                </c:pt>
                <c:pt idx="184" formatCode="0.0">
                  <c:v>3017.66</c:v>
                </c:pt>
                <c:pt idx="185" formatCode="0.0">
                  <c:v>3034.07</c:v>
                </c:pt>
                <c:pt idx="186" formatCode="0.0">
                  <c:v>3050.47</c:v>
                </c:pt>
                <c:pt idx="187" formatCode="0.0">
                  <c:v>3066.87</c:v>
                </c:pt>
                <c:pt idx="188" formatCode="0.0">
                  <c:v>3083.28</c:v>
                </c:pt>
                <c:pt idx="189" formatCode="0.0">
                  <c:v>3099.68</c:v>
                </c:pt>
                <c:pt idx="190" formatCode="0.0">
                  <c:v>3116.09</c:v>
                </c:pt>
                <c:pt idx="191" formatCode="0.0">
                  <c:v>3132.49</c:v>
                </c:pt>
                <c:pt idx="192" formatCode="0.0">
                  <c:v>3148.89</c:v>
                </c:pt>
                <c:pt idx="193" formatCode="0.0">
                  <c:v>3165.3</c:v>
                </c:pt>
                <c:pt idx="194" formatCode="0.0">
                  <c:v>3181.7</c:v>
                </c:pt>
                <c:pt idx="195" formatCode="0.0">
                  <c:v>3198.1</c:v>
                </c:pt>
                <c:pt idx="196" formatCode="0.0">
                  <c:v>3214.51</c:v>
                </c:pt>
                <c:pt idx="197" formatCode="0.0">
                  <c:v>3230.91</c:v>
                </c:pt>
                <c:pt idx="198" formatCode="0.0">
                  <c:v>3247.31</c:v>
                </c:pt>
                <c:pt idx="199" formatCode="0.0">
                  <c:v>3263.72</c:v>
                </c:pt>
                <c:pt idx="200" formatCode="0.0">
                  <c:v>3280.12</c:v>
                </c:pt>
                <c:pt idx="201" formatCode="0.0">
                  <c:v>3296.52</c:v>
                </c:pt>
                <c:pt idx="202" formatCode="0.0">
                  <c:v>3312.93</c:v>
                </c:pt>
                <c:pt idx="203" formatCode="0.0">
                  <c:v>3329.33</c:v>
                </c:pt>
                <c:pt idx="204" formatCode="0.0">
                  <c:v>3345.73</c:v>
                </c:pt>
                <c:pt idx="205" formatCode="0.0">
                  <c:v>3362.13</c:v>
                </c:pt>
                <c:pt idx="206" formatCode="0.0">
                  <c:v>3378.54</c:v>
                </c:pt>
                <c:pt idx="207" formatCode="0.0">
                  <c:v>3394.94</c:v>
                </c:pt>
                <c:pt idx="208" formatCode="0.0">
                  <c:v>3411.34</c:v>
                </c:pt>
                <c:pt idx="209" formatCode="0.0">
                  <c:v>3427.74</c:v>
                </c:pt>
                <c:pt idx="210" formatCode="0.0">
                  <c:v>3444.15</c:v>
                </c:pt>
                <c:pt idx="211" formatCode="0.0">
                  <c:v>3460.55</c:v>
                </c:pt>
                <c:pt idx="212" formatCode="0.0">
                  <c:v>3476.95</c:v>
                </c:pt>
                <c:pt idx="213" formatCode="0.0">
                  <c:v>3493.35</c:v>
                </c:pt>
                <c:pt idx="214" formatCode="0.0">
                  <c:v>3509.76</c:v>
                </c:pt>
                <c:pt idx="215" formatCode="0.0">
                  <c:v>3526.16</c:v>
                </c:pt>
                <c:pt idx="216" formatCode="0.0">
                  <c:v>3542.56</c:v>
                </c:pt>
                <c:pt idx="217" formatCode="0.0">
                  <c:v>3558.97</c:v>
                </c:pt>
                <c:pt idx="218" formatCode="0.0">
                  <c:v>3575.37</c:v>
                </c:pt>
                <c:pt idx="219" formatCode="0.0">
                  <c:v>3591.77</c:v>
                </c:pt>
                <c:pt idx="220" formatCode="0.0">
                  <c:v>3608.17</c:v>
                </c:pt>
                <c:pt idx="221" formatCode="0.0">
                  <c:v>3624.58</c:v>
                </c:pt>
                <c:pt idx="222" formatCode="0.0">
                  <c:v>3640.98</c:v>
                </c:pt>
                <c:pt idx="223" formatCode="0.0">
                  <c:v>3657.38</c:v>
                </c:pt>
                <c:pt idx="224" formatCode="0.0">
                  <c:v>3673.78</c:v>
                </c:pt>
                <c:pt idx="225" formatCode="0.0">
                  <c:v>3690.19</c:v>
                </c:pt>
                <c:pt idx="226" formatCode="0.0">
                  <c:v>3706.59</c:v>
                </c:pt>
                <c:pt idx="227" formatCode="0.0">
                  <c:v>3722.99</c:v>
                </c:pt>
                <c:pt idx="228" formatCode="0.0">
                  <c:v>3739.4</c:v>
                </c:pt>
                <c:pt idx="229" formatCode="0.0">
                  <c:v>3755.8</c:v>
                </c:pt>
                <c:pt idx="230" formatCode="0.0">
                  <c:v>3772.2</c:v>
                </c:pt>
                <c:pt idx="231" formatCode="0.0">
                  <c:v>3788.6</c:v>
                </c:pt>
                <c:pt idx="232" formatCode="0.0">
                  <c:v>3805</c:v>
                </c:pt>
                <c:pt idx="233" formatCode="0.0">
                  <c:v>3821.41</c:v>
                </c:pt>
                <c:pt idx="234" formatCode="0.0">
                  <c:v>3837.81</c:v>
                </c:pt>
                <c:pt idx="235" formatCode="0.0">
                  <c:v>3854.21</c:v>
                </c:pt>
                <c:pt idx="236" formatCode="0.0">
                  <c:v>3870.61</c:v>
                </c:pt>
                <c:pt idx="237" formatCode="0.0">
                  <c:v>3887.01</c:v>
                </c:pt>
                <c:pt idx="238" formatCode="0.0">
                  <c:v>3903.41</c:v>
                </c:pt>
                <c:pt idx="239" formatCode="0.0">
                  <c:v>3919.82</c:v>
                </c:pt>
                <c:pt idx="240" formatCode="0.0">
                  <c:v>3936.22</c:v>
                </c:pt>
                <c:pt idx="241" formatCode="0.0">
                  <c:v>3952.62</c:v>
                </c:pt>
                <c:pt idx="242" formatCode="0.0">
                  <c:v>3969.02</c:v>
                </c:pt>
                <c:pt idx="243" formatCode="0.0">
                  <c:v>3985.42</c:v>
                </c:pt>
                <c:pt idx="244" formatCode="0.0">
                  <c:v>4001.83</c:v>
                </c:pt>
                <c:pt idx="245" formatCode="0.0">
                  <c:v>4018.23</c:v>
                </c:pt>
                <c:pt idx="246" formatCode="0.0">
                  <c:v>4034.63</c:v>
                </c:pt>
                <c:pt idx="247" formatCode="0.0">
                  <c:v>4051.03</c:v>
                </c:pt>
                <c:pt idx="248" formatCode="0.0">
                  <c:v>4067.44</c:v>
                </c:pt>
                <c:pt idx="249" formatCode="0.0">
                  <c:v>4083.84</c:v>
                </c:pt>
                <c:pt idx="250" formatCode="0.0">
                  <c:v>4100.24</c:v>
                </c:pt>
                <c:pt idx="251" formatCode="0.0">
                  <c:v>4116.6499999999996</c:v>
                </c:pt>
                <c:pt idx="252" formatCode="0.0">
                  <c:v>4133.05</c:v>
                </c:pt>
                <c:pt idx="253" formatCode="0.0">
                  <c:v>4149.45</c:v>
                </c:pt>
                <c:pt idx="254" formatCode="0.0">
                  <c:v>4165.8500000000004</c:v>
                </c:pt>
                <c:pt idx="255" formatCode="0.0">
                  <c:v>4182.26</c:v>
                </c:pt>
                <c:pt idx="256" formatCode="0.0">
                  <c:v>4198.66</c:v>
                </c:pt>
                <c:pt idx="257" formatCode="0.0">
                  <c:v>4215.0600000000004</c:v>
                </c:pt>
                <c:pt idx="258" formatCode="0.0">
                  <c:v>4231.46</c:v>
                </c:pt>
                <c:pt idx="259" formatCode="0.0">
                  <c:v>4247.87</c:v>
                </c:pt>
                <c:pt idx="260" formatCode="0.0">
                  <c:v>4264.2700000000004</c:v>
                </c:pt>
                <c:pt idx="261" formatCode="0.0">
                  <c:v>4280.67</c:v>
                </c:pt>
                <c:pt idx="262" formatCode="0.0">
                  <c:v>4297.07</c:v>
                </c:pt>
                <c:pt idx="263" formatCode="0.0">
                  <c:v>4313.47</c:v>
                </c:pt>
                <c:pt idx="264" formatCode="0.0">
                  <c:v>4329.87</c:v>
                </c:pt>
                <c:pt idx="265" formatCode="0.0">
                  <c:v>4346.2700000000004</c:v>
                </c:pt>
                <c:pt idx="266" formatCode="0.0">
                  <c:v>4362.68</c:v>
                </c:pt>
                <c:pt idx="267" formatCode="0.0">
                  <c:v>4379.08</c:v>
                </c:pt>
                <c:pt idx="268" formatCode="0.0">
                  <c:v>4395.4799999999996</c:v>
                </c:pt>
                <c:pt idx="269" formatCode="0.0">
                  <c:v>4411.88</c:v>
                </c:pt>
                <c:pt idx="270" formatCode="0.0">
                  <c:v>4428.28</c:v>
                </c:pt>
                <c:pt idx="271" formatCode="0.0">
                  <c:v>4444.68</c:v>
                </c:pt>
                <c:pt idx="272" formatCode="0.0">
                  <c:v>4461.08</c:v>
                </c:pt>
                <c:pt idx="273" formatCode="0.0">
                  <c:v>4477.46</c:v>
                </c:pt>
                <c:pt idx="274" formatCode="0.0">
                  <c:v>4493.84</c:v>
                </c:pt>
                <c:pt idx="275" formatCode="0.0">
                  <c:v>4510.22</c:v>
                </c:pt>
                <c:pt idx="276" formatCode="0.0">
                  <c:v>4526.59</c:v>
                </c:pt>
                <c:pt idx="277" formatCode="0.0">
                  <c:v>4542.97</c:v>
                </c:pt>
                <c:pt idx="278" formatCode="0.0">
                  <c:v>4559.34</c:v>
                </c:pt>
                <c:pt idx="279" formatCode="0.0">
                  <c:v>4575.6899999999996</c:v>
                </c:pt>
                <c:pt idx="280" formatCode="0.0">
                  <c:v>4592</c:v>
                </c:pt>
                <c:pt idx="281" formatCode="0.0">
                  <c:v>4608.32</c:v>
                </c:pt>
                <c:pt idx="282" formatCode="0.0">
                  <c:v>4624.6400000000003</c:v>
                </c:pt>
                <c:pt idx="283" formatCode="0.0">
                  <c:v>4640.95</c:v>
                </c:pt>
                <c:pt idx="284" formatCode="0.0">
                  <c:v>4657.2700000000004</c:v>
                </c:pt>
                <c:pt idx="285" formatCode="0.0">
                  <c:v>4673.55</c:v>
                </c:pt>
                <c:pt idx="286" formatCode="0.0">
                  <c:v>4689.8100000000004</c:v>
                </c:pt>
                <c:pt idx="287" formatCode="0.0">
                  <c:v>4706.0600000000004</c:v>
                </c:pt>
                <c:pt idx="288" formatCode="0.0">
                  <c:v>4722.32</c:v>
                </c:pt>
                <c:pt idx="289" formatCode="0.0">
                  <c:v>4738.57</c:v>
                </c:pt>
                <c:pt idx="290" formatCode="0.0">
                  <c:v>4754.83</c:v>
                </c:pt>
                <c:pt idx="291" formatCode="0.0">
                  <c:v>4771.05</c:v>
                </c:pt>
                <c:pt idx="292" formatCode="0.0">
                  <c:v>4787.24</c:v>
                </c:pt>
                <c:pt idx="293" formatCode="0.0">
                  <c:v>4803.43</c:v>
                </c:pt>
                <c:pt idx="294" formatCode="0.0">
                  <c:v>4819.63</c:v>
                </c:pt>
                <c:pt idx="295" formatCode="0.0">
                  <c:v>4835.82</c:v>
                </c:pt>
                <c:pt idx="296" formatCode="0.0">
                  <c:v>4852.01</c:v>
                </c:pt>
                <c:pt idx="297" formatCode="0.0">
                  <c:v>4868.16</c:v>
                </c:pt>
                <c:pt idx="298" formatCode="0.0">
                  <c:v>4884.2299999999996</c:v>
                </c:pt>
                <c:pt idx="299" formatCode="0.0">
                  <c:v>4900.3100000000004</c:v>
                </c:pt>
                <c:pt idx="300" formatCode="0.0">
                  <c:v>4916.38</c:v>
                </c:pt>
                <c:pt idx="301" formatCode="0.0">
                  <c:v>4932.46</c:v>
                </c:pt>
                <c:pt idx="302" formatCode="0.0">
                  <c:v>4948.53</c:v>
                </c:pt>
                <c:pt idx="303" formatCode="0.0">
                  <c:v>4964.57</c:v>
                </c:pt>
                <c:pt idx="304" formatCode="0.0">
                  <c:v>4980.51</c:v>
                </c:pt>
                <c:pt idx="305" formatCode="0.0">
                  <c:v>4996.4399999999996</c:v>
                </c:pt>
                <c:pt idx="306" formatCode="0.0">
                  <c:v>5012.38</c:v>
                </c:pt>
                <c:pt idx="307" formatCode="0.0">
                  <c:v>5028.3100000000004</c:v>
                </c:pt>
                <c:pt idx="308" formatCode="0.0">
                  <c:v>5044.24</c:v>
                </c:pt>
                <c:pt idx="309" formatCode="0.0">
                  <c:v>5060.16</c:v>
                </c:pt>
                <c:pt idx="310" formatCode="0.0">
                  <c:v>5075.96</c:v>
                </c:pt>
                <c:pt idx="311" formatCode="0.0">
                  <c:v>5091.76</c:v>
                </c:pt>
                <c:pt idx="312" formatCode="0.0">
                  <c:v>5107.55</c:v>
                </c:pt>
                <c:pt idx="313" formatCode="0.0">
                  <c:v>5123.3500000000004</c:v>
                </c:pt>
                <c:pt idx="314" formatCode="0.0">
                  <c:v>5139.1499999999996</c:v>
                </c:pt>
                <c:pt idx="315" formatCode="0.0">
                  <c:v>5154.95</c:v>
                </c:pt>
                <c:pt idx="316" formatCode="0.0">
                  <c:v>5170.6400000000003</c:v>
                </c:pt>
                <c:pt idx="317" formatCode="0.0">
                  <c:v>5186.34</c:v>
                </c:pt>
                <c:pt idx="318" formatCode="0.0">
                  <c:v>5202.04</c:v>
                </c:pt>
                <c:pt idx="319" formatCode="0.0">
                  <c:v>5217.74</c:v>
                </c:pt>
                <c:pt idx="320" formatCode="0.0">
                  <c:v>5233.43</c:v>
                </c:pt>
                <c:pt idx="321" formatCode="0.0">
                  <c:v>5249.13</c:v>
                </c:pt>
                <c:pt idx="322" formatCode="0.0">
                  <c:v>5264.8</c:v>
                </c:pt>
                <c:pt idx="323" formatCode="0.0">
                  <c:v>5280.47</c:v>
                </c:pt>
                <c:pt idx="324" formatCode="0.0">
                  <c:v>5296.13</c:v>
                </c:pt>
                <c:pt idx="325" formatCode="0.0">
                  <c:v>5311.8</c:v>
                </c:pt>
                <c:pt idx="326" formatCode="0.0">
                  <c:v>5327.47</c:v>
                </c:pt>
                <c:pt idx="327" formatCode="0.0">
                  <c:v>5343.13</c:v>
                </c:pt>
                <c:pt idx="328" formatCode="0.0">
                  <c:v>5358.73</c:v>
                </c:pt>
                <c:pt idx="329" formatCode="0.0">
                  <c:v>5374.31</c:v>
                </c:pt>
                <c:pt idx="330" formatCode="0.0">
                  <c:v>5389.89</c:v>
                </c:pt>
                <c:pt idx="331" formatCode="0.0">
                  <c:v>5405.46</c:v>
                </c:pt>
                <c:pt idx="332" formatCode="0.0">
                  <c:v>5421.04</c:v>
                </c:pt>
                <c:pt idx="333" formatCode="0.0">
                  <c:v>5436.62</c:v>
                </c:pt>
                <c:pt idx="334" formatCode="0.0">
                  <c:v>5452.06</c:v>
                </c:pt>
                <c:pt idx="335" formatCode="0.0">
                  <c:v>5467.45</c:v>
                </c:pt>
                <c:pt idx="336" formatCode="0.0">
                  <c:v>5482.84</c:v>
                </c:pt>
                <c:pt idx="337" formatCode="0.0">
                  <c:v>5498.23</c:v>
                </c:pt>
                <c:pt idx="338" formatCode="0.0">
                  <c:v>5513.62</c:v>
                </c:pt>
                <c:pt idx="339" formatCode="0.0">
                  <c:v>5529.01</c:v>
                </c:pt>
                <c:pt idx="340" formatCode="0.0">
                  <c:v>5544.28</c:v>
                </c:pt>
                <c:pt idx="341" formatCode="0.0">
                  <c:v>5559.48</c:v>
                </c:pt>
                <c:pt idx="342" formatCode="0.0">
                  <c:v>5574.67</c:v>
                </c:pt>
                <c:pt idx="343" formatCode="0.0">
                  <c:v>5589.87</c:v>
                </c:pt>
                <c:pt idx="344" formatCode="0.0">
                  <c:v>5605.06</c:v>
                </c:pt>
                <c:pt idx="345" formatCode="0.0">
                  <c:v>5620.26</c:v>
                </c:pt>
                <c:pt idx="346" formatCode="0.0">
                  <c:v>5635.41</c:v>
                </c:pt>
                <c:pt idx="347" formatCode="0.0">
                  <c:v>5650.53</c:v>
                </c:pt>
                <c:pt idx="348" formatCode="0.0">
                  <c:v>5665.64</c:v>
                </c:pt>
                <c:pt idx="349" formatCode="0.0">
                  <c:v>5680.75</c:v>
                </c:pt>
                <c:pt idx="350" formatCode="0.0">
                  <c:v>5695.87</c:v>
                </c:pt>
                <c:pt idx="351" formatCode="0.0">
                  <c:v>5710.98</c:v>
                </c:pt>
                <c:pt idx="352" formatCode="0.0">
                  <c:v>5726.14</c:v>
                </c:pt>
                <c:pt idx="353" formatCode="0.0">
                  <c:v>5741.35</c:v>
                </c:pt>
                <c:pt idx="354" formatCode="0.0">
                  <c:v>5756.56</c:v>
                </c:pt>
                <c:pt idx="355" formatCode="0.0">
                  <c:v>5771.77</c:v>
                </c:pt>
                <c:pt idx="356" formatCode="0.0">
                  <c:v>5786.98</c:v>
                </c:pt>
                <c:pt idx="357" formatCode="0.0">
                  <c:v>5802.19</c:v>
                </c:pt>
                <c:pt idx="358" formatCode="0.0">
                  <c:v>5817.42</c:v>
                </c:pt>
                <c:pt idx="359" formatCode="0.0">
                  <c:v>5832.71</c:v>
                </c:pt>
                <c:pt idx="360" formatCode="0.0">
                  <c:v>5848</c:v>
                </c:pt>
                <c:pt idx="361" formatCode="0.0">
                  <c:v>5863.29</c:v>
                </c:pt>
                <c:pt idx="362" formatCode="0.0">
                  <c:v>5878.58</c:v>
                </c:pt>
                <c:pt idx="363" formatCode="0.0">
                  <c:v>5893.87</c:v>
                </c:pt>
                <c:pt idx="364" formatCode="0.0">
                  <c:v>5909.16</c:v>
                </c:pt>
                <c:pt idx="365" formatCode="0.0">
                  <c:v>5924.44</c:v>
                </c:pt>
                <c:pt idx="366" formatCode="0.0">
                  <c:v>5939.73</c:v>
                </c:pt>
                <c:pt idx="367" formatCode="0.0">
                  <c:v>5955.02</c:v>
                </c:pt>
                <c:pt idx="368" formatCode="0.0">
                  <c:v>5970.31</c:v>
                </c:pt>
                <c:pt idx="369" formatCode="0.0">
                  <c:v>5985.6</c:v>
                </c:pt>
                <c:pt idx="370" formatCode="0.0">
                  <c:v>6000.88</c:v>
                </c:pt>
                <c:pt idx="371" formatCode="0.0">
                  <c:v>6016.12</c:v>
                </c:pt>
                <c:pt idx="372" formatCode="0.0">
                  <c:v>6031.35</c:v>
                </c:pt>
                <c:pt idx="373" formatCode="0.0">
                  <c:v>6046.59</c:v>
                </c:pt>
                <c:pt idx="374" formatCode="0.0">
                  <c:v>6061.83</c:v>
                </c:pt>
                <c:pt idx="375" formatCode="0.0">
                  <c:v>6077.06</c:v>
                </c:pt>
                <c:pt idx="376" formatCode="0.0">
                  <c:v>6092.3</c:v>
                </c:pt>
                <c:pt idx="377" formatCode="0.0">
                  <c:v>6107.45</c:v>
                </c:pt>
                <c:pt idx="378" formatCode="0.0">
                  <c:v>6122.61</c:v>
                </c:pt>
                <c:pt idx="379" formatCode="0.0">
                  <c:v>6137.76</c:v>
                </c:pt>
                <c:pt idx="380" formatCode="0.0">
                  <c:v>6152.92</c:v>
                </c:pt>
                <c:pt idx="381" formatCode="0.0">
                  <c:v>6168.07</c:v>
                </c:pt>
                <c:pt idx="382" formatCode="0.0">
                  <c:v>6183.23</c:v>
                </c:pt>
                <c:pt idx="383" formatCode="0.0">
                  <c:v>6198.33</c:v>
                </c:pt>
                <c:pt idx="384" formatCode="0.0">
                  <c:v>6213.43</c:v>
                </c:pt>
                <c:pt idx="385" formatCode="0.0">
                  <c:v>6228.53</c:v>
                </c:pt>
                <c:pt idx="386" formatCode="0.0">
                  <c:v>6243.63</c:v>
                </c:pt>
                <c:pt idx="387" formatCode="0.0">
                  <c:v>6258.73</c:v>
                </c:pt>
                <c:pt idx="388" formatCode="0.0">
                  <c:v>6273.83</c:v>
                </c:pt>
                <c:pt idx="389" formatCode="0.0">
                  <c:v>6288.93</c:v>
                </c:pt>
                <c:pt idx="390" formatCode="0.0">
                  <c:v>6304.04</c:v>
                </c:pt>
                <c:pt idx="391" formatCode="0.0">
                  <c:v>6319.14</c:v>
                </c:pt>
                <c:pt idx="392" formatCode="0.0">
                  <c:v>6334.24</c:v>
                </c:pt>
                <c:pt idx="393" formatCode="0.0">
                  <c:v>6349.34</c:v>
                </c:pt>
                <c:pt idx="394" formatCode="0.0">
                  <c:v>6364.44</c:v>
                </c:pt>
                <c:pt idx="395" formatCode="0.0">
                  <c:v>6379.55</c:v>
                </c:pt>
                <c:pt idx="396" formatCode="0.0">
                  <c:v>6394.67</c:v>
                </c:pt>
                <c:pt idx="397" formatCode="0.0">
                  <c:v>6409.78</c:v>
                </c:pt>
                <c:pt idx="398" formatCode="0.0">
                  <c:v>6424.9</c:v>
                </c:pt>
                <c:pt idx="399" formatCode="0.0">
                  <c:v>6440.01</c:v>
                </c:pt>
                <c:pt idx="400" formatCode="0.0">
                  <c:v>6455.13</c:v>
                </c:pt>
                <c:pt idx="401" formatCode="0.0">
                  <c:v>6470.25</c:v>
                </c:pt>
                <c:pt idx="402" formatCode="0.0">
                  <c:v>6485.38</c:v>
                </c:pt>
                <c:pt idx="403" formatCode="0.0">
                  <c:v>6500.5</c:v>
                </c:pt>
                <c:pt idx="404" formatCode="0.0">
                  <c:v>6515.63</c:v>
                </c:pt>
                <c:pt idx="405" formatCode="0.0">
                  <c:v>6530.76</c:v>
                </c:pt>
                <c:pt idx="406" formatCode="0.0">
                  <c:v>6545.89</c:v>
                </c:pt>
                <c:pt idx="407" formatCode="0.0">
                  <c:v>6561.03</c:v>
                </c:pt>
                <c:pt idx="408" formatCode="0.0">
                  <c:v>6576.19</c:v>
                </c:pt>
                <c:pt idx="409" formatCode="0.0">
                  <c:v>6591.34</c:v>
                </c:pt>
                <c:pt idx="410" formatCode="0.0">
                  <c:v>6606.5</c:v>
                </c:pt>
                <c:pt idx="411" formatCode="0.0">
                  <c:v>6621.65</c:v>
                </c:pt>
                <c:pt idx="412" formatCode="0.0">
                  <c:v>6636.81</c:v>
                </c:pt>
                <c:pt idx="413" formatCode="0.0">
                  <c:v>6651.96</c:v>
                </c:pt>
                <c:pt idx="414" formatCode="0.0">
                  <c:v>6667.1</c:v>
                </c:pt>
                <c:pt idx="415" formatCode="0.0">
                  <c:v>6682.24</c:v>
                </c:pt>
                <c:pt idx="416" formatCode="0.0">
                  <c:v>6697.38</c:v>
                </c:pt>
                <c:pt idx="417" formatCode="0.0">
                  <c:v>6712.53</c:v>
                </c:pt>
                <c:pt idx="418" formatCode="0.0">
                  <c:v>6727.67</c:v>
                </c:pt>
                <c:pt idx="419" formatCode="0.0">
                  <c:v>6742.79</c:v>
                </c:pt>
                <c:pt idx="420" formatCode="0.0">
                  <c:v>6757.89</c:v>
                </c:pt>
                <c:pt idx="421" formatCode="0.0">
                  <c:v>6772.99</c:v>
                </c:pt>
                <c:pt idx="422" formatCode="0.0">
                  <c:v>6788.09</c:v>
                </c:pt>
                <c:pt idx="423" formatCode="0.0">
                  <c:v>6803.19</c:v>
                </c:pt>
                <c:pt idx="424" formatCode="0.0">
                  <c:v>6818.29</c:v>
                </c:pt>
                <c:pt idx="425" formatCode="0.0">
                  <c:v>6833.41</c:v>
                </c:pt>
                <c:pt idx="426" formatCode="0.0">
                  <c:v>6848.57</c:v>
                </c:pt>
                <c:pt idx="427" formatCode="0.0">
                  <c:v>6863.72</c:v>
                </c:pt>
                <c:pt idx="428" formatCode="0.0">
                  <c:v>6878.88</c:v>
                </c:pt>
                <c:pt idx="429" formatCode="0.0">
                  <c:v>6894.03</c:v>
                </c:pt>
                <c:pt idx="430" formatCode="0.0">
                  <c:v>6909.19</c:v>
                </c:pt>
                <c:pt idx="431" formatCode="0.0">
                  <c:v>6924.36</c:v>
                </c:pt>
                <c:pt idx="432" formatCode="0.0">
                  <c:v>6939.62</c:v>
                </c:pt>
                <c:pt idx="433" formatCode="0.0">
                  <c:v>6954.89</c:v>
                </c:pt>
                <c:pt idx="434" formatCode="0.0">
                  <c:v>6970.15</c:v>
                </c:pt>
                <c:pt idx="435" formatCode="0.0">
                  <c:v>6985.41</c:v>
                </c:pt>
                <c:pt idx="436" formatCode="0.0">
                  <c:v>7000.68</c:v>
                </c:pt>
                <c:pt idx="437" formatCode="0.0">
                  <c:v>7015.94</c:v>
                </c:pt>
                <c:pt idx="438" formatCode="0.0">
                  <c:v>7031.23</c:v>
                </c:pt>
                <c:pt idx="439" formatCode="0.0">
                  <c:v>7046.52</c:v>
                </c:pt>
                <c:pt idx="440" formatCode="0.0">
                  <c:v>7061.81</c:v>
                </c:pt>
                <c:pt idx="441" formatCode="0.0">
                  <c:v>7077.1</c:v>
                </c:pt>
                <c:pt idx="442" formatCode="0.0">
                  <c:v>7092.39</c:v>
                </c:pt>
                <c:pt idx="443" formatCode="0.0">
                  <c:v>7107.67</c:v>
                </c:pt>
                <c:pt idx="444" formatCode="0.0">
                  <c:v>7122.99</c:v>
                </c:pt>
                <c:pt idx="445" formatCode="0.0">
                  <c:v>7138.3</c:v>
                </c:pt>
                <c:pt idx="446" formatCode="0.0">
                  <c:v>7153.62</c:v>
                </c:pt>
                <c:pt idx="447" formatCode="0.0">
                  <c:v>7168.93</c:v>
                </c:pt>
                <c:pt idx="448" formatCode="0.0">
                  <c:v>7184.25</c:v>
                </c:pt>
                <c:pt idx="449" formatCode="0.0">
                  <c:v>7199.56</c:v>
                </c:pt>
                <c:pt idx="450" formatCode="0.0">
                  <c:v>7214.89</c:v>
                </c:pt>
                <c:pt idx="451" formatCode="0.0">
                  <c:v>7230.22</c:v>
                </c:pt>
                <c:pt idx="452" formatCode="0.0">
                  <c:v>7245.54</c:v>
                </c:pt>
                <c:pt idx="453" formatCode="0.0">
                  <c:v>7260.87</c:v>
                </c:pt>
                <c:pt idx="454" formatCode="0.0">
                  <c:v>7276.2</c:v>
                </c:pt>
                <c:pt idx="455" formatCode="0.0">
                  <c:v>7291.53</c:v>
                </c:pt>
                <c:pt idx="456" formatCode="0.0">
                  <c:v>7306.81</c:v>
                </c:pt>
                <c:pt idx="457" formatCode="0.0">
                  <c:v>7322.09</c:v>
                </c:pt>
                <c:pt idx="458" formatCode="0.0">
                  <c:v>7337.36</c:v>
                </c:pt>
                <c:pt idx="459" formatCode="0.0">
                  <c:v>7352.64</c:v>
                </c:pt>
                <c:pt idx="460" formatCode="0.0">
                  <c:v>7367.92</c:v>
                </c:pt>
                <c:pt idx="461" formatCode="0.0">
                  <c:v>7383.19</c:v>
                </c:pt>
                <c:pt idx="462" formatCode="0.0">
                  <c:v>7398.44</c:v>
                </c:pt>
                <c:pt idx="463" formatCode="0.0">
                  <c:v>7413.68</c:v>
                </c:pt>
                <c:pt idx="464" formatCode="0.0">
                  <c:v>7428.91</c:v>
                </c:pt>
                <c:pt idx="465" formatCode="0.0">
                  <c:v>7444.15</c:v>
                </c:pt>
                <c:pt idx="466" formatCode="0.0">
                  <c:v>7459.39</c:v>
                </c:pt>
                <c:pt idx="467" formatCode="0.0">
                  <c:v>7474.62</c:v>
                </c:pt>
                <c:pt idx="468" formatCode="0.0">
                  <c:v>7489.86</c:v>
                </c:pt>
                <c:pt idx="469" formatCode="0.0">
                  <c:v>7505.09</c:v>
                </c:pt>
                <c:pt idx="470" formatCode="0.0">
                  <c:v>7520.33</c:v>
                </c:pt>
                <c:pt idx="471" formatCode="0.0">
                  <c:v>7535.57</c:v>
                </c:pt>
                <c:pt idx="472" formatCode="0.0">
                  <c:v>7550.8</c:v>
                </c:pt>
                <c:pt idx="473" formatCode="0.0">
                  <c:v>7566.04</c:v>
                </c:pt>
                <c:pt idx="474" formatCode="0.0">
                  <c:v>7581.28</c:v>
                </c:pt>
                <c:pt idx="475" formatCode="0.0">
                  <c:v>7596.51</c:v>
                </c:pt>
                <c:pt idx="476" formatCode="0.0">
                  <c:v>7611.75</c:v>
                </c:pt>
                <c:pt idx="477" formatCode="0.0">
                  <c:v>7626.99</c:v>
                </c:pt>
                <c:pt idx="478" formatCode="0.0">
                  <c:v>7642.22</c:v>
                </c:pt>
                <c:pt idx="479" formatCode="0.0">
                  <c:v>7657.46</c:v>
                </c:pt>
                <c:pt idx="480" formatCode="0.0">
                  <c:v>7672.69</c:v>
                </c:pt>
                <c:pt idx="481" formatCode="0.0">
                  <c:v>7687.91</c:v>
                </c:pt>
                <c:pt idx="482" formatCode="0.0">
                  <c:v>7703.14</c:v>
                </c:pt>
                <c:pt idx="483" formatCode="0.0">
                  <c:v>7718.36</c:v>
                </c:pt>
                <c:pt idx="484" formatCode="0.0">
                  <c:v>7733.58</c:v>
                </c:pt>
                <c:pt idx="485" formatCode="0.0">
                  <c:v>7748.8</c:v>
                </c:pt>
                <c:pt idx="486" formatCode="0.0">
                  <c:v>7764.03</c:v>
                </c:pt>
                <c:pt idx="487" formatCode="0.0">
                  <c:v>7779.25</c:v>
                </c:pt>
                <c:pt idx="488" formatCode="0.0">
                  <c:v>7794.47</c:v>
                </c:pt>
                <c:pt idx="489" formatCode="0.0">
                  <c:v>7809.7</c:v>
                </c:pt>
                <c:pt idx="490" formatCode="0.0">
                  <c:v>7824.92</c:v>
                </c:pt>
                <c:pt idx="491" formatCode="0.0">
                  <c:v>7840.14</c:v>
                </c:pt>
                <c:pt idx="492" formatCode="0.0">
                  <c:v>7855.36</c:v>
                </c:pt>
                <c:pt idx="493" formatCode="0.0">
                  <c:v>7870.56</c:v>
                </c:pt>
                <c:pt idx="494" formatCode="0.0">
                  <c:v>7885.75</c:v>
                </c:pt>
                <c:pt idx="495" formatCode="0.0">
                  <c:v>7900.95</c:v>
                </c:pt>
                <c:pt idx="496" formatCode="0.0">
                  <c:v>7916.14</c:v>
                </c:pt>
                <c:pt idx="497" formatCode="0.0">
                  <c:v>7931.34</c:v>
                </c:pt>
                <c:pt idx="498" formatCode="0.0">
                  <c:v>7946.53</c:v>
                </c:pt>
                <c:pt idx="499" formatCode="0.0">
                  <c:v>7961.67</c:v>
                </c:pt>
                <c:pt idx="500" formatCode="0.0">
                  <c:v>7976.81</c:v>
                </c:pt>
                <c:pt idx="501" formatCode="0.0">
                  <c:v>7991.96</c:v>
                </c:pt>
                <c:pt idx="502" formatCode="0.0">
                  <c:v>8007.1</c:v>
                </c:pt>
                <c:pt idx="503" formatCode="0.0">
                  <c:v>8022.24</c:v>
                </c:pt>
                <c:pt idx="504" formatCode="0.0">
                  <c:v>8037.38</c:v>
                </c:pt>
                <c:pt idx="505" formatCode="0.0">
                  <c:v>8052.51</c:v>
                </c:pt>
                <c:pt idx="506" formatCode="0.0">
                  <c:v>8067.64</c:v>
                </c:pt>
                <c:pt idx="507" formatCode="0.0">
                  <c:v>8082.76</c:v>
                </c:pt>
                <c:pt idx="508" formatCode="0.0">
                  <c:v>8097.89</c:v>
                </c:pt>
                <c:pt idx="509" formatCode="0.0">
                  <c:v>8113.02</c:v>
                </c:pt>
                <c:pt idx="510" formatCode="0.0">
                  <c:v>8128.15</c:v>
                </c:pt>
                <c:pt idx="511" formatCode="0.0">
                  <c:v>8143.25</c:v>
                </c:pt>
                <c:pt idx="512" formatCode="0.0">
                  <c:v>8158.35</c:v>
                </c:pt>
                <c:pt idx="513" formatCode="0.0">
                  <c:v>8173.45</c:v>
                </c:pt>
                <c:pt idx="514" formatCode="0.0">
                  <c:v>8188.55</c:v>
                </c:pt>
                <c:pt idx="515" formatCode="0.0">
                  <c:v>8203.65</c:v>
                </c:pt>
                <c:pt idx="516" formatCode="0.0">
                  <c:v>8218.75</c:v>
                </c:pt>
                <c:pt idx="517" formatCode="0.0">
                  <c:v>8233.82</c:v>
                </c:pt>
                <c:pt idx="518" formatCode="0.0">
                  <c:v>8248.8700000000008</c:v>
                </c:pt>
                <c:pt idx="519" formatCode="0.0">
                  <c:v>8263.93</c:v>
                </c:pt>
                <c:pt idx="520" formatCode="0.0">
                  <c:v>8278.99</c:v>
                </c:pt>
                <c:pt idx="521" formatCode="0.0">
                  <c:v>8294.0499999999993</c:v>
                </c:pt>
                <c:pt idx="522" formatCode="0.0">
                  <c:v>8309.1</c:v>
                </c:pt>
                <c:pt idx="523" formatCode="0.0">
                  <c:v>8324.14</c:v>
                </c:pt>
                <c:pt idx="524" formatCode="0.0">
                  <c:v>8339.17</c:v>
                </c:pt>
                <c:pt idx="525" formatCode="0.0">
                  <c:v>8354.2000000000007</c:v>
                </c:pt>
                <c:pt idx="526" formatCode="0.0">
                  <c:v>8369.23</c:v>
                </c:pt>
                <c:pt idx="527" formatCode="0.0">
                  <c:v>8384.26</c:v>
                </c:pt>
                <c:pt idx="528" formatCode="0.0">
                  <c:v>8399.2900000000009</c:v>
                </c:pt>
                <c:pt idx="529" formatCode="0.0">
                  <c:v>8414.31</c:v>
                </c:pt>
                <c:pt idx="530" formatCode="0.0">
                  <c:v>8429.32</c:v>
                </c:pt>
                <c:pt idx="531" formatCode="0.0">
                  <c:v>8444.34</c:v>
                </c:pt>
                <c:pt idx="532" formatCode="0.0">
                  <c:v>8459.35</c:v>
                </c:pt>
                <c:pt idx="533" formatCode="0.0">
                  <c:v>8474.3700000000008</c:v>
                </c:pt>
                <c:pt idx="534" formatCode="0.0">
                  <c:v>8489.3799999999992</c:v>
                </c:pt>
                <c:pt idx="535" formatCode="0.0">
                  <c:v>8504.42</c:v>
                </c:pt>
                <c:pt idx="536" formatCode="0.0">
                  <c:v>8519.4599999999991</c:v>
                </c:pt>
                <c:pt idx="537" formatCode="0.0">
                  <c:v>8534.5</c:v>
                </c:pt>
                <c:pt idx="538" formatCode="0.0">
                  <c:v>8549.5499999999993</c:v>
                </c:pt>
                <c:pt idx="539" formatCode="0.0">
                  <c:v>8564.59</c:v>
                </c:pt>
                <c:pt idx="540" formatCode="0.0">
                  <c:v>8579.6299999999992</c:v>
                </c:pt>
                <c:pt idx="541" formatCode="0.0">
                  <c:v>8594.68</c:v>
                </c:pt>
                <c:pt idx="542" formatCode="0.0">
                  <c:v>8609.7199999999993</c:v>
                </c:pt>
                <c:pt idx="543" formatCode="0.0">
                  <c:v>8624.76</c:v>
                </c:pt>
                <c:pt idx="544" formatCode="0.0">
                  <c:v>8639.81</c:v>
                </c:pt>
                <c:pt idx="545" formatCode="0.0">
                  <c:v>8654.85</c:v>
                </c:pt>
                <c:pt idx="546" formatCode="0.0">
                  <c:v>8669.89</c:v>
                </c:pt>
                <c:pt idx="547" formatCode="0.0">
                  <c:v>8684.93</c:v>
                </c:pt>
                <c:pt idx="548" formatCode="0.0">
                  <c:v>8699.94</c:v>
                </c:pt>
                <c:pt idx="549" formatCode="0.0">
                  <c:v>8714.9599999999991</c:v>
                </c:pt>
                <c:pt idx="550" formatCode="0.0">
                  <c:v>8729.9699999999993</c:v>
                </c:pt>
                <c:pt idx="551" formatCode="0.0">
                  <c:v>8744.99</c:v>
                </c:pt>
                <c:pt idx="552" formatCode="0.0">
                  <c:v>8760</c:v>
                </c:pt>
                <c:pt idx="553" formatCode="0.0">
                  <c:v>8775.01</c:v>
                </c:pt>
                <c:pt idx="554" formatCode="0.0">
                  <c:v>8790</c:v>
                </c:pt>
                <c:pt idx="555" formatCode="0.0">
                  <c:v>8804.98</c:v>
                </c:pt>
                <c:pt idx="556" formatCode="0.0">
                  <c:v>8819.9699999999993</c:v>
                </c:pt>
                <c:pt idx="557" formatCode="0.0">
                  <c:v>8834.9500000000007</c:v>
                </c:pt>
                <c:pt idx="558" formatCode="0.0">
                  <c:v>8849.94</c:v>
                </c:pt>
                <c:pt idx="559" formatCode="0.0">
                  <c:v>8864.92</c:v>
                </c:pt>
                <c:pt idx="560" formatCode="0.0">
                  <c:v>8879.86</c:v>
                </c:pt>
                <c:pt idx="561" formatCode="0.0">
                  <c:v>8894.7999999999993</c:v>
                </c:pt>
                <c:pt idx="562" formatCode="0.0">
                  <c:v>8909.74</c:v>
                </c:pt>
                <c:pt idx="563" formatCode="0.0">
                  <c:v>8924.69</c:v>
                </c:pt>
                <c:pt idx="564" formatCode="0.0">
                  <c:v>8939.6299999999992</c:v>
                </c:pt>
                <c:pt idx="565" formatCode="0.0">
                  <c:v>8954.57</c:v>
                </c:pt>
                <c:pt idx="566" formatCode="0.0">
                  <c:v>8969.51</c:v>
                </c:pt>
                <c:pt idx="567" formatCode="0.0">
                  <c:v>8984.4500000000007</c:v>
                </c:pt>
                <c:pt idx="568" formatCode="0.0">
                  <c:v>8999.4</c:v>
                </c:pt>
                <c:pt idx="569" formatCode="0.0">
                  <c:v>9014.34</c:v>
                </c:pt>
                <c:pt idx="570" formatCode="0.0">
                  <c:v>9029.2800000000007</c:v>
                </c:pt>
                <c:pt idx="571" formatCode="0.0">
                  <c:v>9044.2199999999993</c:v>
                </c:pt>
                <c:pt idx="572" formatCode="0.0">
                  <c:v>9059.2099999999991</c:v>
                </c:pt>
                <c:pt idx="573" formatCode="0.0">
                  <c:v>9074.19</c:v>
                </c:pt>
                <c:pt idx="574" formatCode="0.0">
                  <c:v>9089.18</c:v>
                </c:pt>
                <c:pt idx="575" formatCode="0.0">
                  <c:v>9104.17</c:v>
                </c:pt>
                <c:pt idx="576" formatCode="0.0">
                  <c:v>9119.15</c:v>
                </c:pt>
                <c:pt idx="577" formatCode="0.0">
                  <c:v>9134.14</c:v>
                </c:pt>
                <c:pt idx="578" formatCode="0.0">
                  <c:v>9149.16</c:v>
                </c:pt>
                <c:pt idx="579" formatCode="0.0">
                  <c:v>9164.19</c:v>
                </c:pt>
                <c:pt idx="580" formatCode="0.0">
                  <c:v>9179.2199999999993</c:v>
                </c:pt>
                <c:pt idx="581" formatCode="0.0">
                  <c:v>9194.25</c:v>
                </c:pt>
                <c:pt idx="582" formatCode="0.0">
                  <c:v>9209.2800000000007</c:v>
                </c:pt>
                <c:pt idx="583" formatCode="0.0">
                  <c:v>9224.31</c:v>
                </c:pt>
                <c:pt idx="584" formatCode="0.0">
                  <c:v>9239.36</c:v>
                </c:pt>
                <c:pt idx="585" formatCode="0.0">
                  <c:v>9254.42</c:v>
                </c:pt>
                <c:pt idx="586" formatCode="0.0">
                  <c:v>9269.48</c:v>
                </c:pt>
                <c:pt idx="587" formatCode="0.0">
                  <c:v>9284.5400000000009</c:v>
                </c:pt>
                <c:pt idx="588" formatCode="0.0">
                  <c:v>9299.59</c:v>
                </c:pt>
                <c:pt idx="589" formatCode="0.0">
                  <c:v>9314.65</c:v>
                </c:pt>
                <c:pt idx="590" formatCode="0.0">
                  <c:v>9329.73</c:v>
                </c:pt>
                <c:pt idx="591" formatCode="0.0">
                  <c:v>9344.81</c:v>
                </c:pt>
                <c:pt idx="592" formatCode="0.0">
                  <c:v>9359.9</c:v>
                </c:pt>
                <c:pt idx="593" formatCode="0.0">
                  <c:v>9374.99</c:v>
                </c:pt>
                <c:pt idx="594" formatCode="0.0">
                  <c:v>9390.07</c:v>
                </c:pt>
                <c:pt idx="595" formatCode="0.0">
                  <c:v>9405.16</c:v>
                </c:pt>
                <c:pt idx="596" formatCode="0.0">
                  <c:v>9420.26</c:v>
                </c:pt>
                <c:pt idx="597" formatCode="0.0">
                  <c:v>9435.3799999999992</c:v>
                </c:pt>
                <c:pt idx="598" formatCode="0.0">
                  <c:v>9450.49</c:v>
                </c:pt>
                <c:pt idx="599" formatCode="0.0">
                  <c:v>9465.6</c:v>
                </c:pt>
                <c:pt idx="600" formatCode="0.0">
                  <c:v>9480.7199999999993</c:v>
                </c:pt>
                <c:pt idx="601" formatCode="0.0">
                  <c:v>9495.83</c:v>
                </c:pt>
                <c:pt idx="602" formatCode="0.0">
                  <c:v>9510.9599999999991</c:v>
                </c:pt>
                <c:pt idx="603" formatCode="0.0">
                  <c:v>9526.1</c:v>
                </c:pt>
                <c:pt idx="604" formatCode="0.0">
                  <c:v>9541.24</c:v>
                </c:pt>
                <c:pt idx="605" formatCode="0.0">
                  <c:v>9556.39</c:v>
                </c:pt>
                <c:pt idx="606" formatCode="0.0">
                  <c:v>9571.5300000000007</c:v>
                </c:pt>
                <c:pt idx="607" formatCode="0.0">
                  <c:v>9586.67</c:v>
                </c:pt>
                <c:pt idx="608" formatCode="0.0">
                  <c:v>9601.92</c:v>
                </c:pt>
                <c:pt idx="609" formatCode="0.0">
                  <c:v>9617.33</c:v>
                </c:pt>
                <c:pt idx="610" formatCode="0.0">
                  <c:v>9632.74</c:v>
                </c:pt>
                <c:pt idx="611" formatCode="0.0">
                  <c:v>9648.15</c:v>
                </c:pt>
                <c:pt idx="612" formatCode="0.0">
                  <c:v>9663.56</c:v>
                </c:pt>
                <c:pt idx="613" formatCode="0.0">
                  <c:v>9678.9699999999993</c:v>
                </c:pt>
                <c:pt idx="614" formatCode="0.0">
                  <c:v>9694.3799999999992</c:v>
                </c:pt>
                <c:pt idx="615" formatCode="0.0">
                  <c:v>9709.7900000000009</c:v>
                </c:pt>
                <c:pt idx="616" formatCode="0.0">
                  <c:v>9725.2000000000007</c:v>
                </c:pt>
                <c:pt idx="617" formatCode="0.0">
                  <c:v>9740.61</c:v>
                </c:pt>
                <c:pt idx="618" formatCode="0.0">
                  <c:v>9756.02</c:v>
                </c:pt>
                <c:pt idx="619" formatCode="0.0">
                  <c:v>9771.43</c:v>
                </c:pt>
                <c:pt idx="620" formatCode="0.0">
                  <c:v>9786.7900000000009</c:v>
                </c:pt>
                <c:pt idx="621" formatCode="0.0">
                  <c:v>9801.9599999999991</c:v>
                </c:pt>
                <c:pt idx="622" formatCode="0.0">
                  <c:v>9817.1299999999992</c:v>
                </c:pt>
                <c:pt idx="623" formatCode="0.0">
                  <c:v>9832.2999999999993</c:v>
                </c:pt>
                <c:pt idx="624" formatCode="0.0">
                  <c:v>9847.4699999999993</c:v>
                </c:pt>
                <c:pt idx="625" formatCode="0.0">
                  <c:v>9862.64</c:v>
                </c:pt>
                <c:pt idx="626" formatCode="0.0">
                  <c:v>9877.81</c:v>
                </c:pt>
                <c:pt idx="627" formatCode="0.0">
                  <c:v>9893.02</c:v>
                </c:pt>
                <c:pt idx="628" formatCode="0.0">
                  <c:v>9908.23</c:v>
                </c:pt>
                <c:pt idx="629" formatCode="0.0">
                  <c:v>9923.44</c:v>
                </c:pt>
                <c:pt idx="630" formatCode="0.0">
                  <c:v>9938.65</c:v>
                </c:pt>
                <c:pt idx="631" formatCode="0.0">
                  <c:v>9953.86</c:v>
                </c:pt>
                <c:pt idx="632" formatCode="0.0">
                  <c:v>9969.07</c:v>
                </c:pt>
                <c:pt idx="633" formatCode="0.0">
                  <c:v>9984.39</c:v>
                </c:pt>
                <c:pt idx="634" formatCode="0.0">
                  <c:v>9999.7000000000007</c:v>
                </c:pt>
                <c:pt idx="635" formatCode="0.0">
                  <c:v>10015.01</c:v>
                </c:pt>
                <c:pt idx="636" formatCode="0.0">
                  <c:v>10030.33</c:v>
                </c:pt>
                <c:pt idx="637" formatCode="0.0">
                  <c:v>10045.64</c:v>
                </c:pt>
                <c:pt idx="638" formatCode="0.0">
                  <c:v>10060.959999999999</c:v>
                </c:pt>
                <c:pt idx="639" formatCode="0.0">
                  <c:v>10076.34</c:v>
                </c:pt>
                <c:pt idx="640" formatCode="0.0">
                  <c:v>10091.73</c:v>
                </c:pt>
                <c:pt idx="641" formatCode="0.0">
                  <c:v>10107.120000000001</c:v>
                </c:pt>
                <c:pt idx="642" formatCode="0.0">
                  <c:v>10122.51</c:v>
                </c:pt>
                <c:pt idx="643" formatCode="0.0">
                  <c:v>10137.9</c:v>
                </c:pt>
                <c:pt idx="644" formatCode="0.0">
                  <c:v>10153.290000000001</c:v>
                </c:pt>
                <c:pt idx="645" formatCode="0.0">
                  <c:v>10168.700000000001</c:v>
                </c:pt>
                <c:pt idx="646" formatCode="0.0">
                  <c:v>10184.120000000001</c:v>
                </c:pt>
                <c:pt idx="647" formatCode="0.0">
                  <c:v>10199.530000000001</c:v>
                </c:pt>
                <c:pt idx="648" formatCode="0.0">
                  <c:v>10214.950000000001</c:v>
                </c:pt>
                <c:pt idx="649" formatCode="0.0">
                  <c:v>10230.36</c:v>
                </c:pt>
                <c:pt idx="650" formatCode="0.0">
                  <c:v>10245.780000000001</c:v>
                </c:pt>
                <c:pt idx="651" formatCode="0.0">
                  <c:v>10261.25</c:v>
                </c:pt>
                <c:pt idx="652" formatCode="0.0">
                  <c:v>10276.73</c:v>
                </c:pt>
                <c:pt idx="653" formatCode="0.0">
                  <c:v>10292.219999999999</c:v>
                </c:pt>
                <c:pt idx="654" formatCode="0.0">
                  <c:v>10307.709999999999</c:v>
                </c:pt>
                <c:pt idx="655" formatCode="0.0">
                  <c:v>10323.19</c:v>
                </c:pt>
                <c:pt idx="656" formatCode="0.0">
                  <c:v>10338.68</c:v>
                </c:pt>
                <c:pt idx="657" formatCode="0.0">
                  <c:v>10354.209999999999</c:v>
                </c:pt>
                <c:pt idx="658" formatCode="0.0">
                  <c:v>10369.77</c:v>
                </c:pt>
                <c:pt idx="659" formatCode="0.0">
                  <c:v>10385.32</c:v>
                </c:pt>
                <c:pt idx="660" formatCode="0.0">
                  <c:v>10400.879999999999</c:v>
                </c:pt>
                <c:pt idx="661" formatCode="0.0">
                  <c:v>10416.44</c:v>
                </c:pt>
                <c:pt idx="662" formatCode="0.0">
                  <c:v>10431.99</c:v>
                </c:pt>
                <c:pt idx="663" formatCode="0.0">
                  <c:v>10447.6</c:v>
                </c:pt>
                <c:pt idx="664" formatCode="0.0">
                  <c:v>10463.24</c:v>
                </c:pt>
                <c:pt idx="665" formatCode="0.0">
                  <c:v>10478.89</c:v>
                </c:pt>
                <c:pt idx="666" formatCode="0.0">
                  <c:v>10494.53</c:v>
                </c:pt>
                <c:pt idx="667" formatCode="0.0">
                  <c:v>10510.18</c:v>
                </c:pt>
                <c:pt idx="668" formatCode="0.0">
                  <c:v>10525.82</c:v>
                </c:pt>
                <c:pt idx="669" formatCode="0.0">
                  <c:v>10541.46</c:v>
                </c:pt>
                <c:pt idx="670" formatCode="0.0">
                  <c:v>10557.11</c:v>
                </c:pt>
                <c:pt idx="671" formatCode="0.0">
                  <c:v>10572.75</c:v>
                </c:pt>
                <c:pt idx="672" formatCode="0.0">
                  <c:v>10588.4</c:v>
                </c:pt>
                <c:pt idx="673" formatCode="0.0">
                  <c:v>10604.04</c:v>
                </c:pt>
                <c:pt idx="674" formatCode="0.0">
                  <c:v>10619.69</c:v>
                </c:pt>
                <c:pt idx="675" formatCode="0.0">
                  <c:v>10635.37</c:v>
                </c:pt>
                <c:pt idx="676" formatCode="0.0">
                  <c:v>10651.13</c:v>
                </c:pt>
                <c:pt idx="677" formatCode="0.0">
                  <c:v>10666.89</c:v>
                </c:pt>
                <c:pt idx="678" formatCode="0.0">
                  <c:v>10682.65</c:v>
                </c:pt>
                <c:pt idx="679" formatCode="0.0">
                  <c:v>10698.41</c:v>
                </c:pt>
                <c:pt idx="680" formatCode="0.0">
                  <c:v>10714.16</c:v>
                </c:pt>
                <c:pt idx="681" formatCode="0.0">
                  <c:v>10729.94</c:v>
                </c:pt>
                <c:pt idx="682" formatCode="0.0">
                  <c:v>10745.78</c:v>
                </c:pt>
                <c:pt idx="683" formatCode="0.0">
                  <c:v>10761.62</c:v>
                </c:pt>
                <c:pt idx="684" formatCode="0.0">
                  <c:v>10777.46</c:v>
                </c:pt>
                <c:pt idx="685" formatCode="0.0">
                  <c:v>10793.29</c:v>
                </c:pt>
                <c:pt idx="686" formatCode="0.0">
                  <c:v>10809.13</c:v>
                </c:pt>
                <c:pt idx="687" formatCode="0.0">
                  <c:v>10824.97</c:v>
                </c:pt>
                <c:pt idx="688" formatCode="0.0">
                  <c:v>10840.81</c:v>
                </c:pt>
                <c:pt idx="689" formatCode="0.0">
                  <c:v>10856.64</c:v>
                </c:pt>
                <c:pt idx="690" formatCode="0.0">
                  <c:v>10872.48</c:v>
                </c:pt>
                <c:pt idx="691" formatCode="0.0">
                  <c:v>10888.32</c:v>
                </c:pt>
                <c:pt idx="692" formatCode="0.0">
                  <c:v>10904.16</c:v>
                </c:pt>
                <c:pt idx="693" formatCode="0.0">
                  <c:v>10920</c:v>
                </c:pt>
                <c:pt idx="694" formatCode="0.0">
                  <c:v>10935.88</c:v>
                </c:pt>
                <c:pt idx="695" formatCode="0.0">
                  <c:v>10951.76</c:v>
                </c:pt>
                <c:pt idx="696" formatCode="0.0">
                  <c:v>10967.64</c:v>
                </c:pt>
                <c:pt idx="697" formatCode="0.0">
                  <c:v>10983.52</c:v>
                </c:pt>
                <c:pt idx="698" formatCode="0.0">
                  <c:v>10999.4</c:v>
                </c:pt>
                <c:pt idx="699" formatCode="0.0">
                  <c:v>11015.29</c:v>
                </c:pt>
                <c:pt idx="700" formatCode="0.0">
                  <c:v>11031.17</c:v>
                </c:pt>
                <c:pt idx="701" formatCode="0.0">
                  <c:v>11047.05</c:v>
                </c:pt>
                <c:pt idx="702" formatCode="0.0">
                  <c:v>11062.93</c:v>
                </c:pt>
                <c:pt idx="703" formatCode="0.0">
                  <c:v>11078.81</c:v>
                </c:pt>
                <c:pt idx="704" formatCode="0.0">
                  <c:v>11094.7</c:v>
                </c:pt>
                <c:pt idx="705" formatCode="0.0">
                  <c:v>11110.58</c:v>
                </c:pt>
                <c:pt idx="706" formatCode="0.0">
                  <c:v>11126.51</c:v>
                </c:pt>
                <c:pt idx="707" formatCode="0.0">
                  <c:v>11142.45</c:v>
                </c:pt>
                <c:pt idx="708" formatCode="0.0">
                  <c:v>11158.4</c:v>
                </c:pt>
                <c:pt idx="709" formatCode="0.0">
                  <c:v>11174.34</c:v>
                </c:pt>
                <c:pt idx="710" formatCode="0.0">
                  <c:v>11190.28</c:v>
                </c:pt>
                <c:pt idx="711" formatCode="0.0">
                  <c:v>11206.22</c:v>
                </c:pt>
                <c:pt idx="712" formatCode="0.0">
                  <c:v>11222.16</c:v>
                </c:pt>
                <c:pt idx="713" formatCode="0.0">
                  <c:v>11238.11</c:v>
                </c:pt>
                <c:pt idx="714" formatCode="0.0">
                  <c:v>11254.05</c:v>
                </c:pt>
                <c:pt idx="715" formatCode="0.0">
                  <c:v>11269.99</c:v>
                </c:pt>
                <c:pt idx="716" formatCode="0.0">
                  <c:v>11285.93</c:v>
                </c:pt>
                <c:pt idx="717" formatCode="0.0">
                  <c:v>11301.88</c:v>
                </c:pt>
                <c:pt idx="718" formatCode="0.0">
                  <c:v>11317.86</c:v>
                </c:pt>
                <c:pt idx="719" formatCode="0.0">
                  <c:v>11333.87</c:v>
                </c:pt>
                <c:pt idx="720" formatCode="0.0">
                  <c:v>11349.88</c:v>
                </c:pt>
                <c:pt idx="721" formatCode="0.0">
                  <c:v>11365.88</c:v>
                </c:pt>
                <c:pt idx="722" formatCode="0.0">
                  <c:v>11381.89</c:v>
                </c:pt>
                <c:pt idx="723" formatCode="0.0">
                  <c:v>11397.9</c:v>
                </c:pt>
                <c:pt idx="724" formatCode="0.0">
                  <c:v>11413.91</c:v>
                </c:pt>
                <c:pt idx="725" formatCode="0.0">
                  <c:v>11429.91</c:v>
                </c:pt>
                <c:pt idx="726" formatCode="0.0">
                  <c:v>11445.92</c:v>
                </c:pt>
                <c:pt idx="727" formatCode="0.0">
                  <c:v>11461.93</c:v>
                </c:pt>
                <c:pt idx="728" formatCode="0.0">
                  <c:v>11477.94</c:v>
                </c:pt>
                <c:pt idx="729" formatCode="0.0">
                  <c:v>11493.94</c:v>
                </c:pt>
                <c:pt idx="730" formatCode="0.0">
                  <c:v>11509.96</c:v>
                </c:pt>
                <c:pt idx="731" formatCode="0.0">
                  <c:v>11525.98</c:v>
                </c:pt>
                <c:pt idx="732" formatCode="0.0">
                  <c:v>11542.01</c:v>
                </c:pt>
                <c:pt idx="733" formatCode="0.0">
                  <c:v>11558.03</c:v>
                </c:pt>
                <c:pt idx="734" formatCode="0.0">
                  <c:v>11574.05</c:v>
                </c:pt>
                <c:pt idx="735" formatCode="0.0">
                  <c:v>11590.07</c:v>
                </c:pt>
                <c:pt idx="736" formatCode="0.0">
                  <c:v>11606.1</c:v>
                </c:pt>
                <c:pt idx="737" formatCode="0.0">
                  <c:v>11622.12</c:v>
                </c:pt>
                <c:pt idx="738" formatCode="0.0">
                  <c:v>11638.14</c:v>
                </c:pt>
                <c:pt idx="739" formatCode="0.0">
                  <c:v>11654.17</c:v>
                </c:pt>
                <c:pt idx="740" formatCode="0.0">
                  <c:v>11670.19</c:v>
                </c:pt>
                <c:pt idx="741" formatCode="0.0">
                  <c:v>11686.21</c:v>
                </c:pt>
                <c:pt idx="742" formatCode="0.0">
                  <c:v>11702.24</c:v>
                </c:pt>
                <c:pt idx="743" formatCode="0.0">
                  <c:v>11718.26</c:v>
                </c:pt>
                <c:pt idx="744" formatCode="0.0">
                  <c:v>11734.28</c:v>
                </c:pt>
                <c:pt idx="745" formatCode="0.0">
                  <c:v>11750.31</c:v>
                </c:pt>
                <c:pt idx="746" formatCode="0.0">
                  <c:v>11766.33</c:v>
                </c:pt>
                <c:pt idx="747" formatCode="0.0">
                  <c:v>11782.35</c:v>
                </c:pt>
                <c:pt idx="748" formatCode="0.0">
                  <c:v>11798.38</c:v>
                </c:pt>
                <c:pt idx="749" formatCode="0.0">
                  <c:v>11814.4</c:v>
                </c:pt>
                <c:pt idx="750" formatCode="0.0">
                  <c:v>11830.42</c:v>
                </c:pt>
                <c:pt idx="751" formatCode="0.0">
                  <c:v>11846.44</c:v>
                </c:pt>
                <c:pt idx="752" formatCode="0.0">
                  <c:v>11862.47</c:v>
                </c:pt>
                <c:pt idx="753" formatCode="0.0">
                  <c:v>11878.49</c:v>
                </c:pt>
                <c:pt idx="754" formatCode="0.0">
                  <c:v>11894.51</c:v>
                </c:pt>
                <c:pt idx="755" formatCode="0.0">
                  <c:v>11910.54</c:v>
                </c:pt>
                <c:pt idx="756" formatCode="0.0">
                  <c:v>11926.56</c:v>
                </c:pt>
                <c:pt idx="757" formatCode="0.0">
                  <c:v>11942.58</c:v>
                </c:pt>
                <c:pt idx="758" formatCode="0.0">
                  <c:v>11958.61</c:v>
                </c:pt>
                <c:pt idx="759" formatCode="0.0">
                  <c:v>11974.63</c:v>
                </c:pt>
                <c:pt idx="760" formatCode="0.0">
                  <c:v>11990.65</c:v>
                </c:pt>
                <c:pt idx="761" formatCode="0.0">
                  <c:v>12006.68</c:v>
                </c:pt>
                <c:pt idx="762" formatCode="0.0">
                  <c:v>12022.7</c:v>
                </c:pt>
                <c:pt idx="763" formatCode="0.0">
                  <c:v>12038.72</c:v>
                </c:pt>
                <c:pt idx="764" formatCode="0.0">
                  <c:v>12054.74</c:v>
                </c:pt>
                <c:pt idx="765" formatCode="0.0">
                  <c:v>12070.77</c:v>
                </c:pt>
                <c:pt idx="766" formatCode="0.0">
                  <c:v>12086.79</c:v>
                </c:pt>
                <c:pt idx="767" formatCode="0.0">
                  <c:v>12102.81</c:v>
                </c:pt>
                <c:pt idx="768" formatCode="0.0">
                  <c:v>12118.84</c:v>
                </c:pt>
                <c:pt idx="769" formatCode="0.0">
                  <c:v>12134.86</c:v>
                </c:pt>
                <c:pt idx="770" formatCode="0.0">
                  <c:v>12150.88</c:v>
                </c:pt>
                <c:pt idx="771" formatCode="0.0">
                  <c:v>12166.91</c:v>
                </c:pt>
                <c:pt idx="772" formatCode="0.0">
                  <c:v>12182.93</c:v>
                </c:pt>
                <c:pt idx="773" formatCode="0.0">
                  <c:v>12198.95</c:v>
                </c:pt>
                <c:pt idx="774" formatCode="0.0">
                  <c:v>12214.98</c:v>
                </c:pt>
                <c:pt idx="775" formatCode="0.0">
                  <c:v>12231</c:v>
                </c:pt>
                <c:pt idx="776" formatCode="0.0">
                  <c:v>12247.02</c:v>
                </c:pt>
                <c:pt idx="777" formatCode="0.0">
                  <c:v>12263.04</c:v>
                </c:pt>
                <c:pt idx="778" formatCode="0.0">
                  <c:v>12279.07</c:v>
                </c:pt>
                <c:pt idx="779" formatCode="0.0">
                  <c:v>12295.09</c:v>
                </c:pt>
                <c:pt idx="780" formatCode="0.0">
                  <c:v>12311.11</c:v>
                </c:pt>
                <c:pt idx="781" formatCode="0.0">
                  <c:v>12327.14</c:v>
                </c:pt>
                <c:pt idx="782" formatCode="0.0">
                  <c:v>12343.16</c:v>
                </c:pt>
                <c:pt idx="783" formatCode="0.0">
                  <c:v>12359.18</c:v>
                </c:pt>
                <c:pt idx="784" formatCode="0.0">
                  <c:v>12375.21</c:v>
                </c:pt>
                <c:pt idx="785" formatCode="0.0">
                  <c:v>12391.23</c:v>
                </c:pt>
                <c:pt idx="786" formatCode="0.0">
                  <c:v>12407.25</c:v>
                </c:pt>
                <c:pt idx="787" formatCode="0.0">
                  <c:v>12423.27</c:v>
                </c:pt>
                <c:pt idx="788" formatCode="0.0">
                  <c:v>12439.3</c:v>
                </c:pt>
                <c:pt idx="789" formatCode="0.0">
                  <c:v>12455.32</c:v>
                </c:pt>
                <c:pt idx="790" formatCode="0.0">
                  <c:v>12471.34</c:v>
                </c:pt>
                <c:pt idx="791" formatCode="0.0">
                  <c:v>12487.37</c:v>
                </c:pt>
                <c:pt idx="792" formatCode="0.0">
                  <c:v>12503.39</c:v>
                </c:pt>
                <c:pt idx="793" formatCode="0.0">
                  <c:v>12519.41</c:v>
                </c:pt>
                <c:pt idx="794" formatCode="0.0">
                  <c:v>12535.44</c:v>
                </c:pt>
                <c:pt idx="795" formatCode="0.0">
                  <c:v>12551.46</c:v>
                </c:pt>
                <c:pt idx="796" formatCode="0.0">
                  <c:v>12567.48</c:v>
                </c:pt>
                <c:pt idx="797" formatCode="0.0">
                  <c:v>12583.51</c:v>
                </c:pt>
                <c:pt idx="798" formatCode="0.0">
                  <c:v>12599.53</c:v>
                </c:pt>
                <c:pt idx="799" formatCode="0.0">
                  <c:v>12615.55</c:v>
                </c:pt>
                <c:pt idx="800" formatCode="0.0">
                  <c:v>12631.57</c:v>
                </c:pt>
                <c:pt idx="801" formatCode="0.0">
                  <c:v>12647.6</c:v>
                </c:pt>
                <c:pt idx="802" formatCode="0.0">
                  <c:v>12663.62</c:v>
                </c:pt>
                <c:pt idx="803" formatCode="0.0">
                  <c:v>12679.64</c:v>
                </c:pt>
                <c:pt idx="804" formatCode="0.0">
                  <c:v>12695.67</c:v>
                </c:pt>
                <c:pt idx="805" formatCode="0.0">
                  <c:v>12711.69</c:v>
                </c:pt>
                <c:pt idx="806" formatCode="0.0">
                  <c:v>12727.71</c:v>
                </c:pt>
                <c:pt idx="807" formatCode="0.0">
                  <c:v>12743.74</c:v>
                </c:pt>
                <c:pt idx="808" formatCode="0.0">
                  <c:v>12759.76</c:v>
                </c:pt>
                <c:pt idx="809" formatCode="0.0">
                  <c:v>12775.78</c:v>
                </c:pt>
                <c:pt idx="810" formatCode="0.0">
                  <c:v>12791.8</c:v>
                </c:pt>
                <c:pt idx="811" formatCode="0.0">
                  <c:v>12807.83</c:v>
                </c:pt>
                <c:pt idx="812" formatCode="0.0">
                  <c:v>12823.85</c:v>
                </c:pt>
                <c:pt idx="813" formatCode="0.0">
                  <c:v>12839.87</c:v>
                </c:pt>
                <c:pt idx="814" formatCode="0.0">
                  <c:v>12855.9</c:v>
                </c:pt>
                <c:pt idx="815" formatCode="0.0">
                  <c:v>12871.92</c:v>
                </c:pt>
                <c:pt idx="816" formatCode="0.0">
                  <c:v>12887.94</c:v>
                </c:pt>
                <c:pt idx="817" formatCode="0.0">
                  <c:v>12903.97</c:v>
                </c:pt>
                <c:pt idx="818" formatCode="0.0">
                  <c:v>12919.99</c:v>
                </c:pt>
                <c:pt idx="819" formatCode="0.0">
                  <c:v>12936.01</c:v>
                </c:pt>
                <c:pt idx="820" formatCode="0.0">
                  <c:v>12952.04</c:v>
                </c:pt>
                <c:pt idx="821" formatCode="0.0">
                  <c:v>12968.06</c:v>
                </c:pt>
                <c:pt idx="822" formatCode="0.0">
                  <c:v>12984.08</c:v>
                </c:pt>
                <c:pt idx="823" formatCode="0.0">
                  <c:v>13000.1</c:v>
                </c:pt>
                <c:pt idx="824" formatCode="0.0">
                  <c:v>13016.13</c:v>
                </c:pt>
                <c:pt idx="825" formatCode="0.0">
                  <c:v>13032.15</c:v>
                </c:pt>
                <c:pt idx="826" formatCode="0.0">
                  <c:v>13048.17</c:v>
                </c:pt>
                <c:pt idx="827" formatCode="0.0">
                  <c:v>13064.2</c:v>
                </c:pt>
                <c:pt idx="828" formatCode="0.0">
                  <c:v>13080.22</c:v>
                </c:pt>
                <c:pt idx="829" formatCode="0.0">
                  <c:v>13096.24</c:v>
                </c:pt>
                <c:pt idx="830" formatCode="0.0">
                  <c:v>13112.27</c:v>
                </c:pt>
                <c:pt idx="831" formatCode="0.0">
                  <c:v>13128.29</c:v>
                </c:pt>
                <c:pt idx="832" formatCode="0.0">
                  <c:v>13144.31</c:v>
                </c:pt>
                <c:pt idx="833" formatCode="0.0">
                  <c:v>13160.33</c:v>
                </c:pt>
                <c:pt idx="834" formatCode="0.0">
                  <c:v>13176.36</c:v>
                </c:pt>
                <c:pt idx="835" formatCode="0.0">
                  <c:v>13192.38</c:v>
                </c:pt>
                <c:pt idx="836" formatCode="0.0">
                  <c:v>13208.4</c:v>
                </c:pt>
                <c:pt idx="837" formatCode="0.0">
                  <c:v>13224.43</c:v>
                </c:pt>
                <c:pt idx="838" formatCode="0.0">
                  <c:v>13240.45</c:v>
                </c:pt>
                <c:pt idx="839" formatCode="0.0">
                  <c:v>13256.47</c:v>
                </c:pt>
                <c:pt idx="840" formatCode="0.0">
                  <c:v>13272.5</c:v>
                </c:pt>
                <c:pt idx="841" formatCode="0.0">
                  <c:v>13288.52</c:v>
                </c:pt>
                <c:pt idx="842" formatCode="0.0">
                  <c:v>13304.54</c:v>
                </c:pt>
                <c:pt idx="843" formatCode="0.0">
                  <c:v>13320.57</c:v>
                </c:pt>
                <c:pt idx="844" formatCode="0.0">
                  <c:v>13336.59</c:v>
                </c:pt>
                <c:pt idx="845" formatCode="0.0">
                  <c:v>13352.61</c:v>
                </c:pt>
                <c:pt idx="846" formatCode="0.0">
                  <c:v>13368.63</c:v>
                </c:pt>
                <c:pt idx="847" formatCode="0.0">
                  <c:v>13384.66</c:v>
                </c:pt>
                <c:pt idx="848" formatCode="0.0">
                  <c:v>13400.68</c:v>
                </c:pt>
                <c:pt idx="849" formatCode="0.0">
                  <c:v>13416.7</c:v>
                </c:pt>
                <c:pt idx="850" formatCode="0.0">
                  <c:v>13432.73</c:v>
                </c:pt>
                <c:pt idx="851" formatCode="0.0">
                  <c:v>13448.75</c:v>
                </c:pt>
                <c:pt idx="852" formatCode="0.0">
                  <c:v>13464.77</c:v>
                </c:pt>
                <c:pt idx="853" formatCode="0.0">
                  <c:v>13480.8</c:v>
                </c:pt>
                <c:pt idx="854" formatCode="0.0">
                  <c:v>13496.82</c:v>
                </c:pt>
                <c:pt idx="855" formatCode="0.0">
                  <c:v>13512.84</c:v>
                </c:pt>
                <c:pt idx="856" formatCode="0.0">
                  <c:v>13528.87</c:v>
                </c:pt>
                <c:pt idx="857" formatCode="0.0">
                  <c:v>13544.89</c:v>
                </c:pt>
                <c:pt idx="858" formatCode="0.0">
                  <c:v>13560.91</c:v>
                </c:pt>
                <c:pt idx="859" formatCode="0.0">
                  <c:v>13576.93</c:v>
                </c:pt>
                <c:pt idx="860" formatCode="0.0">
                  <c:v>13592.96</c:v>
                </c:pt>
                <c:pt idx="861" formatCode="0.0">
                  <c:v>13608.98</c:v>
                </c:pt>
                <c:pt idx="862" formatCode="0.0">
                  <c:v>13625</c:v>
                </c:pt>
                <c:pt idx="863" formatCode="0.0">
                  <c:v>13641.03</c:v>
                </c:pt>
                <c:pt idx="864" formatCode="0.0">
                  <c:v>13657.05</c:v>
                </c:pt>
                <c:pt idx="865" formatCode="0.0">
                  <c:v>13673.07</c:v>
                </c:pt>
                <c:pt idx="866" formatCode="0.0">
                  <c:v>13689.1</c:v>
                </c:pt>
                <c:pt idx="867" formatCode="0.0">
                  <c:v>13705.12</c:v>
                </c:pt>
                <c:pt idx="868" formatCode="0.0">
                  <c:v>13721.14</c:v>
                </c:pt>
                <c:pt idx="869" formatCode="0.0">
                  <c:v>13737.16</c:v>
                </c:pt>
                <c:pt idx="870" formatCode="0.0">
                  <c:v>13753.19</c:v>
                </c:pt>
                <c:pt idx="871" formatCode="0.0">
                  <c:v>13769.21</c:v>
                </c:pt>
                <c:pt idx="872" formatCode="0.0">
                  <c:v>13785.23</c:v>
                </c:pt>
                <c:pt idx="873" formatCode="0.0">
                  <c:v>13801.26</c:v>
                </c:pt>
                <c:pt idx="874" formatCode="0.0">
                  <c:v>13817.28</c:v>
                </c:pt>
                <c:pt idx="875" formatCode="0.0">
                  <c:v>13833.3</c:v>
                </c:pt>
                <c:pt idx="876" formatCode="0.0">
                  <c:v>13849.33</c:v>
                </c:pt>
                <c:pt idx="877" formatCode="0.0">
                  <c:v>13865.35</c:v>
                </c:pt>
                <c:pt idx="878" formatCode="0.0">
                  <c:v>13881.37</c:v>
                </c:pt>
                <c:pt idx="879" formatCode="0.0">
                  <c:v>13897.4</c:v>
                </c:pt>
                <c:pt idx="880" formatCode="0.0">
                  <c:v>13913.42</c:v>
                </c:pt>
                <c:pt idx="881" formatCode="0.0">
                  <c:v>13929.44</c:v>
                </c:pt>
                <c:pt idx="882" formatCode="0.0">
                  <c:v>13945.46</c:v>
                </c:pt>
                <c:pt idx="883" formatCode="0.0">
                  <c:v>13961.49</c:v>
                </c:pt>
                <c:pt idx="884" formatCode="0.0">
                  <c:v>13977.51</c:v>
                </c:pt>
                <c:pt idx="885" formatCode="0.0">
                  <c:v>13993.53</c:v>
                </c:pt>
                <c:pt idx="886" formatCode="0.0">
                  <c:v>14009.56</c:v>
                </c:pt>
                <c:pt idx="887" formatCode="0.0">
                  <c:v>14025.58</c:v>
                </c:pt>
                <c:pt idx="888" formatCode="0.0">
                  <c:v>14041.6</c:v>
                </c:pt>
                <c:pt idx="889" formatCode="0.0">
                  <c:v>14057.63</c:v>
                </c:pt>
                <c:pt idx="890" formatCode="0.0">
                  <c:v>14073.65</c:v>
                </c:pt>
                <c:pt idx="891" formatCode="0.0">
                  <c:v>14089.67</c:v>
                </c:pt>
                <c:pt idx="892" formatCode="0.0">
                  <c:v>14105.69</c:v>
                </c:pt>
                <c:pt idx="893" formatCode="0.0">
                  <c:v>14121.72</c:v>
                </c:pt>
                <c:pt idx="894" formatCode="0.0">
                  <c:v>14137.74</c:v>
                </c:pt>
                <c:pt idx="895" formatCode="0.0">
                  <c:v>14153.76</c:v>
                </c:pt>
                <c:pt idx="896" formatCode="0.0">
                  <c:v>14169.79</c:v>
                </c:pt>
                <c:pt idx="897" formatCode="0.0">
                  <c:v>14185.81</c:v>
                </c:pt>
                <c:pt idx="898" formatCode="0.0">
                  <c:v>14201.83</c:v>
                </c:pt>
                <c:pt idx="899" formatCode="0.0">
                  <c:v>14217.86</c:v>
                </c:pt>
                <c:pt idx="900" formatCode="0.0">
                  <c:v>14233.88</c:v>
                </c:pt>
                <c:pt idx="901" formatCode="0.0">
                  <c:v>14249.9</c:v>
                </c:pt>
                <c:pt idx="902" formatCode="0.0">
                  <c:v>14265.93</c:v>
                </c:pt>
                <c:pt idx="903" formatCode="0.0">
                  <c:v>14281.95</c:v>
                </c:pt>
                <c:pt idx="904" formatCode="0.0">
                  <c:v>14297.97</c:v>
                </c:pt>
                <c:pt idx="905" formatCode="0.0">
                  <c:v>14313.99</c:v>
                </c:pt>
                <c:pt idx="906" formatCode="0.0">
                  <c:v>14330.02</c:v>
                </c:pt>
                <c:pt idx="907" formatCode="0.0">
                  <c:v>14346.04</c:v>
                </c:pt>
                <c:pt idx="908" formatCode="0.0">
                  <c:v>14362.06</c:v>
                </c:pt>
                <c:pt idx="909" formatCode="0.0">
                  <c:v>14378.09</c:v>
                </c:pt>
                <c:pt idx="910" formatCode="0.0">
                  <c:v>14394.11</c:v>
                </c:pt>
                <c:pt idx="911" formatCode="0.0">
                  <c:v>14410.13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1-4157-8078-F0D74C559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5728"/>
        <c:axId val="195147648"/>
      </c:scatterChart>
      <c:valAx>
        <c:axId val="1951457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2-Way Time (ms)</a:t>
                </a:r>
              </a:p>
            </c:rich>
          </c:tx>
          <c:layout>
            <c:manualLayout>
              <c:xMode val="edge"/>
              <c:yMode val="edge"/>
              <c:x val="0.36621480884556534"/>
              <c:y val="1.604278074866312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7648"/>
        <c:crosses val="autoZero"/>
        <c:crossBetween val="midCat"/>
      </c:valAx>
      <c:valAx>
        <c:axId val="1951476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6.1652281134402026E-3"/>
              <c:y val="0.46880645266935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5728"/>
        <c:crosses val="autoZero"/>
        <c:crossBetween val="midCat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939619600570858"/>
          <c:y val="0.34759414431484853"/>
          <c:w val="0.15659692353498977"/>
          <c:h val="7.664902849710630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Depth Prediction Error</a:t>
            </a:r>
          </a:p>
        </c:rich>
      </c:tx>
      <c:layout>
        <c:manualLayout>
          <c:xMode val="edge"/>
          <c:yMode val="edge"/>
          <c:x val="0.33046708841984479"/>
          <c:y val="3.96039603960396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9270636943488"/>
          <c:y val="0.17821799410000996"/>
          <c:w val="0.76658522642407023"/>
          <c:h val="0.72277297607226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'NunR-005'!$D$2</c:f>
              <c:strCache>
                <c:ptCount val="1"/>
                <c:pt idx="0">
                  <c:v>NunR-005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'NunR-005'!$D$15:$D$926</c:f>
              <c:numCache>
                <c:formatCode>0.00</c:formatCode>
                <c:ptCount val="912"/>
                <c:pt idx="0">
                  <c:v>0</c:v>
                </c:pt>
                <c:pt idx="1">
                  <c:v>15.74</c:v>
                </c:pt>
                <c:pt idx="2">
                  <c:v>32.15</c:v>
                </c:pt>
                <c:pt idx="3">
                  <c:v>48.55</c:v>
                </c:pt>
                <c:pt idx="4">
                  <c:v>64.95</c:v>
                </c:pt>
                <c:pt idx="5">
                  <c:v>81.36</c:v>
                </c:pt>
                <c:pt idx="6">
                  <c:v>97.76</c:v>
                </c:pt>
                <c:pt idx="7">
                  <c:v>114.17</c:v>
                </c:pt>
                <c:pt idx="8">
                  <c:v>130.57</c:v>
                </c:pt>
                <c:pt idx="9">
                  <c:v>146.97999999999999</c:v>
                </c:pt>
                <c:pt idx="10">
                  <c:v>163.38</c:v>
                </c:pt>
                <c:pt idx="11">
                  <c:v>179.78</c:v>
                </c:pt>
                <c:pt idx="12">
                  <c:v>196.19</c:v>
                </c:pt>
                <c:pt idx="13">
                  <c:v>212.59</c:v>
                </c:pt>
                <c:pt idx="14">
                  <c:v>229</c:v>
                </c:pt>
                <c:pt idx="15">
                  <c:v>245.4</c:v>
                </c:pt>
                <c:pt idx="16">
                  <c:v>261.8</c:v>
                </c:pt>
                <c:pt idx="17">
                  <c:v>278.20999999999998</c:v>
                </c:pt>
                <c:pt idx="18">
                  <c:v>294.61</c:v>
                </c:pt>
                <c:pt idx="19">
                  <c:v>311.02</c:v>
                </c:pt>
                <c:pt idx="20">
                  <c:v>327.42</c:v>
                </c:pt>
                <c:pt idx="21">
                  <c:v>343.82</c:v>
                </c:pt>
                <c:pt idx="22">
                  <c:v>360.23</c:v>
                </c:pt>
                <c:pt idx="23">
                  <c:v>376.63</c:v>
                </c:pt>
                <c:pt idx="24">
                  <c:v>393.04</c:v>
                </c:pt>
                <c:pt idx="25">
                  <c:v>409.44</c:v>
                </c:pt>
                <c:pt idx="26">
                  <c:v>425.84</c:v>
                </c:pt>
                <c:pt idx="27">
                  <c:v>442.25</c:v>
                </c:pt>
                <c:pt idx="28">
                  <c:v>458.65</c:v>
                </c:pt>
                <c:pt idx="29">
                  <c:v>475.06</c:v>
                </c:pt>
                <c:pt idx="30">
                  <c:v>491.46</c:v>
                </c:pt>
                <c:pt idx="31">
                  <c:v>507.86</c:v>
                </c:pt>
                <c:pt idx="32">
                  <c:v>524.27</c:v>
                </c:pt>
                <c:pt idx="33">
                  <c:v>540.66999999999996</c:v>
                </c:pt>
                <c:pt idx="34">
                  <c:v>557.08000000000004</c:v>
                </c:pt>
                <c:pt idx="35">
                  <c:v>573.48</c:v>
                </c:pt>
                <c:pt idx="36">
                  <c:v>589.89</c:v>
                </c:pt>
                <c:pt idx="37">
                  <c:v>606.29</c:v>
                </c:pt>
                <c:pt idx="38">
                  <c:v>622.69000000000005</c:v>
                </c:pt>
                <c:pt idx="39">
                  <c:v>639.1</c:v>
                </c:pt>
                <c:pt idx="40">
                  <c:v>655.5</c:v>
                </c:pt>
                <c:pt idx="41">
                  <c:v>671.91</c:v>
                </c:pt>
                <c:pt idx="42">
                  <c:v>688.31</c:v>
                </c:pt>
                <c:pt idx="43">
                  <c:v>704.71</c:v>
                </c:pt>
                <c:pt idx="44">
                  <c:v>721.12</c:v>
                </c:pt>
                <c:pt idx="45">
                  <c:v>737.52</c:v>
                </c:pt>
                <c:pt idx="46">
                  <c:v>753.93</c:v>
                </c:pt>
                <c:pt idx="47">
                  <c:v>770.33</c:v>
                </c:pt>
                <c:pt idx="48">
                  <c:v>786.74</c:v>
                </c:pt>
                <c:pt idx="49">
                  <c:v>803.14</c:v>
                </c:pt>
                <c:pt idx="50">
                  <c:v>819.54</c:v>
                </c:pt>
                <c:pt idx="51">
                  <c:v>835.95</c:v>
                </c:pt>
                <c:pt idx="52">
                  <c:v>852.35</c:v>
                </c:pt>
                <c:pt idx="53">
                  <c:v>868.76</c:v>
                </c:pt>
                <c:pt idx="54">
                  <c:v>885.16</c:v>
                </c:pt>
                <c:pt idx="55">
                  <c:v>901.56</c:v>
                </c:pt>
                <c:pt idx="56">
                  <c:v>917.97</c:v>
                </c:pt>
                <c:pt idx="57">
                  <c:v>934.37</c:v>
                </c:pt>
                <c:pt idx="58">
                  <c:v>950.78</c:v>
                </c:pt>
                <c:pt idx="59">
                  <c:v>967.18</c:v>
                </c:pt>
                <c:pt idx="60">
                  <c:v>983.58</c:v>
                </c:pt>
                <c:pt idx="61">
                  <c:v>999.99</c:v>
                </c:pt>
                <c:pt idx="62">
                  <c:v>1016.39</c:v>
                </c:pt>
                <c:pt idx="63" formatCode="0.0">
                  <c:v>1032.8</c:v>
                </c:pt>
                <c:pt idx="64" formatCode="0.0">
                  <c:v>1049.2</c:v>
                </c:pt>
                <c:pt idx="65" formatCode="0.0">
                  <c:v>1065.5999999999999</c:v>
                </c:pt>
                <c:pt idx="66" formatCode="0.0">
                  <c:v>1082.01</c:v>
                </c:pt>
                <c:pt idx="67" formatCode="0.0">
                  <c:v>1098.4100000000001</c:v>
                </c:pt>
                <c:pt idx="68" formatCode="0.0">
                  <c:v>1114.82</c:v>
                </c:pt>
                <c:pt idx="69" formatCode="0.0">
                  <c:v>1131.22</c:v>
                </c:pt>
                <c:pt idx="70" formatCode="0.0">
                  <c:v>1147.6199999999999</c:v>
                </c:pt>
                <c:pt idx="71" formatCode="0.0">
                  <c:v>1164.03</c:v>
                </c:pt>
                <c:pt idx="72" formatCode="0.0">
                  <c:v>1180.43</c:v>
                </c:pt>
                <c:pt idx="73" formatCode="0.0">
                  <c:v>1196.8399999999999</c:v>
                </c:pt>
                <c:pt idx="74" formatCode="0.0">
                  <c:v>1213.24</c:v>
                </c:pt>
                <c:pt idx="75" formatCode="0.0">
                  <c:v>1229.6400000000001</c:v>
                </c:pt>
                <c:pt idx="76" formatCode="0.0">
                  <c:v>1246.05</c:v>
                </c:pt>
                <c:pt idx="77" formatCode="0.0">
                  <c:v>1262.45</c:v>
                </c:pt>
                <c:pt idx="78" formatCode="0.0">
                  <c:v>1278.8599999999999</c:v>
                </c:pt>
                <c:pt idx="79" formatCode="0.0">
                  <c:v>1295.26</c:v>
                </c:pt>
                <c:pt idx="80" formatCode="0.0">
                  <c:v>1311.66</c:v>
                </c:pt>
                <c:pt idx="81" formatCode="0.0">
                  <c:v>1328.07</c:v>
                </c:pt>
                <c:pt idx="82" formatCode="0.0">
                  <c:v>1344.47</c:v>
                </c:pt>
                <c:pt idx="83" formatCode="0.0">
                  <c:v>1360.88</c:v>
                </c:pt>
                <c:pt idx="84" formatCode="0.0">
                  <c:v>1377.28</c:v>
                </c:pt>
                <c:pt idx="85" formatCode="0.0">
                  <c:v>1393.68</c:v>
                </c:pt>
                <c:pt idx="86" formatCode="0.0">
                  <c:v>1410.09</c:v>
                </c:pt>
                <c:pt idx="87" formatCode="0.0">
                  <c:v>1426.49</c:v>
                </c:pt>
                <c:pt idx="88" formatCode="0.0">
                  <c:v>1442.9</c:v>
                </c:pt>
                <c:pt idx="89" formatCode="0.0">
                  <c:v>1459.3</c:v>
                </c:pt>
                <c:pt idx="90" formatCode="0.0">
                  <c:v>1475.71</c:v>
                </c:pt>
                <c:pt idx="91" formatCode="0.0">
                  <c:v>1492.11</c:v>
                </c:pt>
                <c:pt idx="92" formatCode="0.0">
                  <c:v>1508.51</c:v>
                </c:pt>
                <c:pt idx="93" formatCode="0.0">
                  <c:v>1524.92</c:v>
                </c:pt>
                <c:pt idx="94" formatCode="0.0">
                  <c:v>1541.32</c:v>
                </c:pt>
                <c:pt idx="95" formatCode="0.0">
                  <c:v>1557.73</c:v>
                </c:pt>
                <c:pt idx="96" formatCode="0.0">
                  <c:v>1574.13</c:v>
                </c:pt>
                <c:pt idx="97" formatCode="0.0">
                  <c:v>1590.53</c:v>
                </c:pt>
                <c:pt idx="98" formatCode="0.0">
                  <c:v>1606.94</c:v>
                </c:pt>
                <c:pt idx="99" formatCode="0.0">
                  <c:v>1623.34</c:v>
                </c:pt>
                <c:pt idx="100" formatCode="0.0">
                  <c:v>1639.75</c:v>
                </c:pt>
                <c:pt idx="101" formatCode="0.0">
                  <c:v>1656.15</c:v>
                </c:pt>
                <c:pt idx="102" formatCode="0.0">
                  <c:v>1672.55</c:v>
                </c:pt>
                <c:pt idx="103" formatCode="0.0">
                  <c:v>1688.96</c:v>
                </c:pt>
                <c:pt idx="104" formatCode="0.0">
                  <c:v>1705.36</c:v>
                </c:pt>
                <c:pt idx="105" formatCode="0.0">
                  <c:v>1721.77</c:v>
                </c:pt>
                <c:pt idx="106" formatCode="0.0">
                  <c:v>1738.17</c:v>
                </c:pt>
                <c:pt idx="107" formatCode="0.0">
                  <c:v>1754.57</c:v>
                </c:pt>
                <c:pt idx="108" formatCode="0.0">
                  <c:v>1770.98</c:v>
                </c:pt>
                <c:pt idx="109" formatCode="0.0">
                  <c:v>1787.38</c:v>
                </c:pt>
                <c:pt idx="110" formatCode="0.0">
                  <c:v>1803.79</c:v>
                </c:pt>
                <c:pt idx="111" formatCode="0.0">
                  <c:v>1820.19</c:v>
                </c:pt>
                <c:pt idx="112" formatCode="0.0">
                  <c:v>1836.59</c:v>
                </c:pt>
                <c:pt idx="113" formatCode="0.0">
                  <c:v>1853</c:v>
                </c:pt>
                <c:pt idx="114" formatCode="0.0">
                  <c:v>1869.4</c:v>
                </c:pt>
                <c:pt idx="115" formatCode="0.0">
                  <c:v>1885.81</c:v>
                </c:pt>
                <c:pt idx="116" formatCode="0.0">
                  <c:v>1902.21</c:v>
                </c:pt>
                <c:pt idx="117" formatCode="0.0">
                  <c:v>1918.61</c:v>
                </c:pt>
                <c:pt idx="118" formatCode="0.0">
                  <c:v>1935.02</c:v>
                </c:pt>
                <c:pt idx="119" formatCode="0.0">
                  <c:v>1951.42</c:v>
                </c:pt>
                <c:pt idx="120" formatCode="0.0">
                  <c:v>1967.83</c:v>
                </c:pt>
                <c:pt idx="121" formatCode="0.0">
                  <c:v>1984.23</c:v>
                </c:pt>
                <c:pt idx="122" formatCode="0.0">
                  <c:v>2000.63</c:v>
                </c:pt>
                <c:pt idx="123" formatCode="0.0">
                  <c:v>2017.04</c:v>
                </c:pt>
                <c:pt idx="124" formatCode="0.0">
                  <c:v>2033.44</c:v>
                </c:pt>
                <c:pt idx="125" formatCode="0.0">
                  <c:v>2049.85</c:v>
                </c:pt>
                <c:pt idx="126" formatCode="0.0">
                  <c:v>2066.25</c:v>
                </c:pt>
                <c:pt idx="127" formatCode="0.0">
                  <c:v>2082.65</c:v>
                </c:pt>
                <c:pt idx="128" formatCode="0.0">
                  <c:v>2099.06</c:v>
                </c:pt>
                <c:pt idx="129" formatCode="0.0">
                  <c:v>2115.46</c:v>
                </c:pt>
                <c:pt idx="130" formatCode="0.0">
                  <c:v>2131.87</c:v>
                </c:pt>
                <c:pt idx="131" formatCode="0.0">
                  <c:v>2148.27</c:v>
                </c:pt>
                <c:pt idx="132" formatCode="0.0">
                  <c:v>2164.6799999999998</c:v>
                </c:pt>
                <c:pt idx="133" formatCode="0.0">
                  <c:v>2181.08</c:v>
                </c:pt>
                <c:pt idx="134" formatCode="0.0">
                  <c:v>2197.48</c:v>
                </c:pt>
                <c:pt idx="135" formatCode="0.0">
                  <c:v>2213.89</c:v>
                </c:pt>
                <c:pt idx="136" formatCode="0.0">
                  <c:v>2230.29</c:v>
                </c:pt>
                <c:pt idx="137" formatCode="0.0">
                  <c:v>2246.6999999999998</c:v>
                </c:pt>
                <c:pt idx="138" formatCode="0.0">
                  <c:v>2263.1</c:v>
                </c:pt>
                <c:pt idx="139" formatCode="0.0">
                  <c:v>2279.5</c:v>
                </c:pt>
                <c:pt idx="140" formatCode="0.0">
                  <c:v>2295.91</c:v>
                </c:pt>
                <c:pt idx="141" formatCode="0.0">
                  <c:v>2312.31</c:v>
                </c:pt>
                <c:pt idx="142" formatCode="0.0">
                  <c:v>2328.7199999999998</c:v>
                </c:pt>
                <c:pt idx="143" formatCode="0.0">
                  <c:v>2345.12</c:v>
                </c:pt>
                <c:pt idx="144" formatCode="0.0">
                  <c:v>2361.52</c:v>
                </c:pt>
                <c:pt idx="145" formatCode="0.0">
                  <c:v>2377.9299999999998</c:v>
                </c:pt>
                <c:pt idx="146" formatCode="0.0">
                  <c:v>2394.33</c:v>
                </c:pt>
                <c:pt idx="147" formatCode="0.0">
                  <c:v>2410.7399999999998</c:v>
                </c:pt>
                <c:pt idx="148" formatCode="0.0">
                  <c:v>2427.14</c:v>
                </c:pt>
                <c:pt idx="149" formatCode="0.0">
                  <c:v>2443.54</c:v>
                </c:pt>
                <c:pt idx="150" formatCode="0.0">
                  <c:v>2459.9499999999998</c:v>
                </c:pt>
                <c:pt idx="151" formatCode="0.0">
                  <c:v>2476.35</c:v>
                </c:pt>
                <c:pt idx="152" formatCode="0.0">
                  <c:v>2492.75</c:v>
                </c:pt>
                <c:pt idx="153" formatCode="0.0">
                  <c:v>2509.16</c:v>
                </c:pt>
                <c:pt idx="154" formatCode="0.0">
                  <c:v>2525.56</c:v>
                </c:pt>
                <c:pt idx="155" formatCode="0.0">
                  <c:v>2541.96</c:v>
                </c:pt>
                <c:pt idx="156" formatCode="0.0">
                  <c:v>2558.37</c:v>
                </c:pt>
                <c:pt idx="157" formatCode="0.0">
                  <c:v>2574.77</c:v>
                </c:pt>
                <c:pt idx="158" formatCode="0.0">
                  <c:v>2591.1799999999998</c:v>
                </c:pt>
                <c:pt idx="159" formatCode="0.0">
                  <c:v>2607.58</c:v>
                </c:pt>
                <c:pt idx="160" formatCode="0.0">
                  <c:v>2623.98</c:v>
                </c:pt>
                <c:pt idx="161" formatCode="0.0">
                  <c:v>2640.39</c:v>
                </c:pt>
                <c:pt idx="162" formatCode="0.0">
                  <c:v>2656.79</c:v>
                </c:pt>
                <c:pt idx="163" formatCode="0.0">
                  <c:v>2673.19</c:v>
                </c:pt>
                <c:pt idx="164" formatCode="0.0">
                  <c:v>2689.6</c:v>
                </c:pt>
                <c:pt idx="165" formatCode="0.0">
                  <c:v>2706</c:v>
                </c:pt>
                <c:pt idx="166" formatCode="0.0">
                  <c:v>2722.4</c:v>
                </c:pt>
                <c:pt idx="167" formatCode="0.0">
                  <c:v>2738.81</c:v>
                </c:pt>
                <c:pt idx="168" formatCode="0.0">
                  <c:v>2755.21</c:v>
                </c:pt>
                <c:pt idx="169" formatCode="0.0">
                  <c:v>2771.61</c:v>
                </c:pt>
                <c:pt idx="170" formatCode="0.0">
                  <c:v>2788.02</c:v>
                </c:pt>
                <c:pt idx="171" formatCode="0.0">
                  <c:v>2804.42</c:v>
                </c:pt>
                <c:pt idx="172" formatCode="0.0">
                  <c:v>2820.82</c:v>
                </c:pt>
                <c:pt idx="173" formatCode="0.0">
                  <c:v>2837.23</c:v>
                </c:pt>
                <c:pt idx="174" formatCode="0.0">
                  <c:v>2853.63</c:v>
                </c:pt>
                <c:pt idx="175" formatCode="0.0">
                  <c:v>2870.03</c:v>
                </c:pt>
                <c:pt idx="176" formatCode="0.0">
                  <c:v>2886.44</c:v>
                </c:pt>
                <c:pt idx="177" formatCode="0.0">
                  <c:v>2902.84</c:v>
                </c:pt>
                <c:pt idx="178" formatCode="0.0">
                  <c:v>2919.24</c:v>
                </c:pt>
                <c:pt idx="179" formatCode="0.0">
                  <c:v>2935.65</c:v>
                </c:pt>
                <c:pt idx="180" formatCode="0.0">
                  <c:v>2952.05</c:v>
                </c:pt>
                <c:pt idx="181" formatCode="0.0">
                  <c:v>2968.45</c:v>
                </c:pt>
                <c:pt idx="182" formatCode="0.0">
                  <c:v>2984.86</c:v>
                </c:pt>
                <c:pt idx="183" formatCode="0.0">
                  <c:v>3001.26</c:v>
                </c:pt>
                <c:pt idx="184" formatCode="0.0">
                  <c:v>3017.66</c:v>
                </c:pt>
                <c:pt idx="185" formatCode="0.0">
                  <c:v>3034.07</c:v>
                </c:pt>
                <c:pt idx="186" formatCode="0.0">
                  <c:v>3050.47</c:v>
                </c:pt>
                <c:pt idx="187" formatCode="0.0">
                  <c:v>3066.87</c:v>
                </c:pt>
                <c:pt idx="188" formatCode="0.0">
                  <c:v>3083.28</c:v>
                </c:pt>
                <c:pt idx="189" formatCode="0.0">
                  <c:v>3099.68</c:v>
                </c:pt>
                <c:pt idx="190" formatCode="0.0">
                  <c:v>3116.09</c:v>
                </c:pt>
                <c:pt idx="191" formatCode="0.0">
                  <c:v>3132.49</c:v>
                </c:pt>
                <c:pt idx="192" formatCode="0.0">
                  <c:v>3148.89</c:v>
                </c:pt>
                <c:pt idx="193" formatCode="0.0">
                  <c:v>3165.3</c:v>
                </c:pt>
                <c:pt idx="194" formatCode="0.0">
                  <c:v>3181.7</c:v>
                </c:pt>
                <c:pt idx="195" formatCode="0.0">
                  <c:v>3198.1</c:v>
                </c:pt>
                <c:pt idx="196" formatCode="0.0">
                  <c:v>3214.51</c:v>
                </c:pt>
                <c:pt idx="197" formatCode="0.0">
                  <c:v>3230.91</c:v>
                </c:pt>
                <c:pt idx="198" formatCode="0.0">
                  <c:v>3247.31</c:v>
                </c:pt>
                <c:pt idx="199" formatCode="0.0">
                  <c:v>3263.72</c:v>
                </c:pt>
                <c:pt idx="200" formatCode="0.0">
                  <c:v>3280.12</c:v>
                </c:pt>
                <c:pt idx="201" formatCode="0.0">
                  <c:v>3296.52</c:v>
                </c:pt>
                <c:pt idx="202" formatCode="0.0">
                  <c:v>3312.93</c:v>
                </c:pt>
                <c:pt idx="203" formatCode="0.0">
                  <c:v>3329.33</c:v>
                </c:pt>
                <c:pt idx="204" formatCode="0.0">
                  <c:v>3345.73</c:v>
                </c:pt>
                <c:pt idx="205" formatCode="0.0">
                  <c:v>3362.13</c:v>
                </c:pt>
                <c:pt idx="206" formatCode="0.0">
                  <c:v>3378.54</c:v>
                </c:pt>
                <c:pt idx="207" formatCode="0.0">
                  <c:v>3394.94</c:v>
                </c:pt>
                <c:pt idx="208" formatCode="0.0">
                  <c:v>3411.34</c:v>
                </c:pt>
                <c:pt idx="209" formatCode="0.0">
                  <c:v>3427.74</c:v>
                </c:pt>
                <c:pt idx="210" formatCode="0.0">
                  <c:v>3444.15</c:v>
                </c:pt>
                <c:pt idx="211" formatCode="0.0">
                  <c:v>3460.55</c:v>
                </c:pt>
                <c:pt idx="212" formatCode="0.0">
                  <c:v>3476.95</c:v>
                </c:pt>
                <c:pt idx="213" formatCode="0.0">
                  <c:v>3493.35</c:v>
                </c:pt>
                <c:pt idx="214" formatCode="0.0">
                  <c:v>3509.76</c:v>
                </c:pt>
                <c:pt idx="215" formatCode="0.0">
                  <c:v>3526.16</c:v>
                </c:pt>
                <c:pt idx="216" formatCode="0.0">
                  <c:v>3542.56</c:v>
                </c:pt>
                <c:pt idx="217" formatCode="0.0">
                  <c:v>3558.97</c:v>
                </c:pt>
                <c:pt idx="218" formatCode="0.0">
                  <c:v>3575.37</c:v>
                </c:pt>
                <c:pt idx="219" formatCode="0.0">
                  <c:v>3591.77</c:v>
                </c:pt>
                <c:pt idx="220" formatCode="0.0">
                  <c:v>3608.17</c:v>
                </c:pt>
                <c:pt idx="221" formatCode="0.0">
                  <c:v>3624.58</c:v>
                </c:pt>
                <c:pt idx="222" formatCode="0.0">
                  <c:v>3640.98</c:v>
                </c:pt>
                <c:pt idx="223" formatCode="0.0">
                  <c:v>3657.38</c:v>
                </c:pt>
                <c:pt idx="224" formatCode="0.0">
                  <c:v>3673.78</c:v>
                </c:pt>
                <c:pt idx="225" formatCode="0.0">
                  <c:v>3690.19</c:v>
                </c:pt>
                <c:pt idx="226" formatCode="0.0">
                  <c:v>3706.59</c:v>
                </c:pt>
                <c:pt idx="227" formatCode="0.0">
                  <c:v>3722.99</c:v>
                </c:pt>
                <c:pt idx="228" formatCode="0.0">
                  <c:v>3739.4</c:v>
                </c:pt>
                <c:pt idx="229" formatCode="0.0">
                  <c:v>3755.8</c:v>
                </c:pt>
                <c:pt idx="230" formatCode="0.0">
                  <c:v>3772.2</c:v>
                </c:pt>
                <c:pt idx="231" formatCode="0.0">
                  <c:v>3788.6</c:v>
                </c:pt>
                <c:pt idx="232" formatCode="0.0">
                  <c:v>3805</c:v>
                </c:pt>
                <c:pt idx="233" formatCode="0.0">
                  <c:v>3821.41</c:v>
                </c:pt>
                <c:pt idx="234" formatCode="0.0">
                  <c:v>3837.81</c:v>
                </c:pt>
                <c:pt idx="235" formatCode="0.0">
                  <c:v>3854.21</c:v>
                </c:pt>
                <c:pt idx="236" formatCode="0.0">
                  <c:v>3870.61</c:v>
                </c:pt>
                <c:pt idx="237" formatCode="0.0">
                  <c:v>3887.01</c:v>
                </c:pt>
                <c:pt idx="238" formatCode="0.0">
                  <c:v>3903.41</c:v>
                </c:pt>
                <c:pt idx="239" formatCode="0.0">
                  <c:v>3919.82</c:v>
                </c:pt>
                <c:pt idx="240" formatCode="0.0">
                  <c:v>3936.22</c:v>
                </c:pt>
                <c:pt idx="241" formatCode="0.0">
                  <c:v>3952.62</c:v>
                </c:pt>
                <c:pt idx="242" formatCode="0.0">
                  <c:v>3969.02</c:v>
                </c:pt>
                <c:pt idx="243" formatCode="0.0">
                  <c:v>3985.42</c:v>
                </c:pt>
                <c:pt idx="244" formatCode="0.0">
                  <c:v>4001.83</c:v>
                </c:pt>
                <c:pt idx="245" formatCode="0.0">
                  <c:v>4018.23</c:v>
                </c:pt>
                <c:pt idx="246" formatCode="0.0">
                  <c:v>4034.63</c:v>
                </c:pt>
                <c:pt idx="247" formatCode="0.0">
                  <c:v>4051.03</c:v>
                </c:pt>
                <c:pt idx="248" formatCode="0.0">
                  <c:v>4067.44</c:v>
                </c:pt>
                <c:pt idx="249" formatCode="0.0">
                  <c:v>4083.84</c:v>
                </c:pt>
                <c:pt idx="250" formatCode="0.0">
                  <c:v>4100.24</c:v>
                </c:pt>
                <c:pt idx="251" formatCode="0.0">
                  <c:v>4116.6499999999996</c:v>
                </c:pt>
                <c:pt idx="252" formatCode="0.0">
                  <c:v>4133.05</c:v>
                </c:pt>
                <c:pt idx="253" formatCode="0.0">
                  <c:v>4149.45</c:v>
                </c:pt>
                <c:pt idx="254" formatCode="0.0">
                  <c:v>4165.8500000000004</c:v>
                </c:pt>
                <c:pt idx="255" formatCode="0.0">
                  <c:v>4182.26</c:v>
                </c:pt>
                <c:pt idx="256" formatCode="0.0">
                  <c:v>4198.66</c:v>
                </c:pt>
                <c:pt idx="257" formatCode="0.0">
                  <c:v>4215.0600000000004</c:v>
                </c:pt>
                <c:pt idx="258" formatCode="0.0">
                  <c:v>4231.46</c:v>
                </c:pt>
                <c:pt idx="259" formatCode="0.0">
                  <c:v>4247.87</c:v>
                </c:pt>
                <c:pt idx="260" formatCode="0.0">
                  <c:v>4264.2700000000004</c:v>
                </c:pt>
                <c:pt idx="261" formatCode="0.0">
                  <c:v>4280.67</c:v>
                </c:pt>
                <c:pt idx="262" formatCode="0.0">
                  <c:v>4297.07</c:v>
                </c:pt>
                <c:pt idx="263" formatCode="0.0">
                  <c:v>4313.47</c:v>
                </c:pt>
                <c:pt idx="264" formatCode="0.0">
                  <c:v>4329.87</c:v>
                </c:pt>
                <c:pt idx="265" formatCode="0.0">
                  <c:v>4346.2700000000004</c:v>
                </c:pt>
                <c:pt idx="266" formatCode="0.0">
                  <c:v>4362.68</c:v>
                </c:pt>
                <c:pt idx="267" formatCode="0.0">
                  <c:v>4379.08</c:v>
                </c:pt>
                <c:pt idx="268" formatCode="0.0">
                  <c:v>4395.4799999999996</c:v>
                </c:pt>
                <c:pt idx="269" formatCode="0.0">
                  <c:v>4411.88</c:v>
                </c:pt>
                <c:pt idx="270" formatCode="0.0">
                  <c:v>4428.28</c:v>
                </c:pt>
                <c:pt idx="271" formatCode="0.0">
                  <c:v>4444.68</c:v>
                </c:pt>
                <c:pt idx="272" formatCode="0.0">
                  <c:v>4461.08</c:v>
                </c:pt>
                <c:pt idx="273" formatCode="0.0">
                  <c:v>4477.46</c:v>
                </c:pt>
                <c:pt idx="274" formatCode="0.0">
                  <c:v>4493.84</c:v>
                </c:pt>
                <c:pt idx="275" formatCode="0.0">
                  <c:v>4510.22</c:v>
                </c:pt>
                <c:pt idx="276" formatCode="0.0">
                  <c:v>4526.59</c:v>
                </c:pt>
                <c:pt idx="277" formatCode="0.0">
                  <c:v>4542.97</c:v>
                </c:pt>
                <c:pt idx="278" formatCode="0.0">
                  <c:v>4559.34</c:v>
                </c:pt>
                <c:pt idx="279" formatCode="0.0">
                  <c:v>4575.6899999999996</c:v>
                </c:pt>
                <c:pt idx="280" formatCode="0.0">
                  <c:v>4592</c:v>
                </c:pt>
                <c:pt idx="281" formatCode="0.0">
                  <c:v>4608.32</c:v>
                </c:pt>
                <c:pt idx="282" formatCode="0.0">
                  <c:v>4624.6400000000003</c:v>
                </c:pt>
                <c:pt idx="283" formatCode="0.0">
                  <c:v>4640.95</c:v>
                </c:pt>
                <c:pt idx="284" formatCode="0.0">
                  <c:v>4657.2700000000004</c:v>
                </c:pt>
                <c:pt idx="285" formatCode="0.0">
                  <c:v>4673.55</c:v>
                </c:pt>
                <c:pt idx="286" formatCode="0.0">
                  <c:v>4689.8100000000004</c:v>
                </c:pt>
                <c:pt idx="287" formatCode="0.0">
                  <c:v>4706.0600000000004</c:v>
                </c:pt>
                <c:pt idx="288" formatCode="0.0">
                  <c:v>4722.32</c:v>
                </c:pt>
                <c:pt idx="289" formatCode="0.0">
                  <c:v>4738.57</c:v>
                </c:pt>
                <c:pt idx="290" formatCode="0.0">
                  <c:v>4754.83</c:v>
                </c:pt>
                <c:pt idx="291" formatCode="0.0">
                  <c:v>4771.05</c:v>
                </c:pt>
                <c:pt idx="292" formatCode="0.0">
                  <c:v>4787.24</c:v>
                </c:pt>
                <c:pt idx="293" formatCode="0.0">
                  <c:v>4803.43</c:v>
                </c:pt>
                <c:pt idx="294" formatCode="0.0">
                  <c:v>4819.63</c:v>
                </c:pt>
                <c:pt idx="295" formatCode="0.0">
                  <c:v>4835.82</c:v>
                </c:pt>
                <c:pt idx="296" formatCode="0.0">
                  <c:v>4852.01</c:v>
                </c:pt>
                <c:pt idx="297" formatCode="0.0">
                  <c:v>4868.16</c:v>
                </c:pt>
                <c:pt idx="298" formatCode="0.0">
                  <c:v>4884.2299999999996</c:v>
                </c:pt>
                <c:pt idx="299" formatCode="0.0">
                  <c:v>4900.3100000000004</c:v>
                </c:pt>
                <c:pt idx="300" formatCode="0.0">
                  <c:v>4916.38</c:v>
                </c:pt>
                <c:pt idx="301" formatCode="0.0">
                  <c:v>4932.46</c:v>
                </c:pt>
                <c:pt idx="302" formatCode="0.0">
                  <c:v>4948.53</c:v>
                </c:pt>
                <c:pt idx="303" formatCode="0.0">
                  <c:v>4964.57</c:v>
                </c:pt>
                <c:pt idx="304" formatCode="0.0">
                  <c:v>4980.51</c:v>
                </c:pt>
                <c:pt idx="305" formatCode="0.0">
                  <c:v>4996.4399999999996</c:v>
                </c:pt>
                <c:pt idx="306" formatCode="0.0">
                  <c:v>5012.38</c:v>
                </c:pt>
                <c:pt idx="307" formatCode="0.0">
                  <c:v>5028.3100000000004</c:v>
                </c:pt>
                <c:pt idx="308" formatCode="0.0">
                  <c:v>5044.24</c:v>
                </c:pt>
                <c:pt idx="309" formatCode="0.0">
                  <c:v>5060.16</c:v>
                </c:pt>
                <c:pt idx="310" formatCode="0.0">
                  <c:v>5075.96</c:v>
                </c:pt>
                <c:pt idx="311" formatCode="0.0">
                  <c:v>5091.76</c:v>
                </c:pt>
                <c:pt idx="312" formatCode="0.0">
                  <c:v>5107.55</c:v>
                </c:pt>
                <c:pt idx="313" formatCode="0.0">
                  <c:v>5123.3500000000004</c:v>
                </c:pt>
                <c:pt idx="314" formatCode="0.0">
                  <c:v>5139.1499999999996</c:v>
                </c:pt>
                <c:pt idx="315" formatCode="0.0">
                  <c:v>5154.95</c:v>
                </c:pt>
                <c:pt idx="316" formatCode="0.0">
                  <c:v>5170.6400000000003</c:v>
                </c:pt>
                <c:pt idx="317" formatCode="0.0">
                  <c:v>5186.34</c:v>
                </c:pt>
                <c:pt idx="318" formatCode="0.0">
                  <c:v>5202.04</c:v>
                </c:pt>
                <c:pt idx="319" formatCode="0.0">
                  <c:v>5217.74</c:v>
                </c:pt>
                <c:pt idx="320" formatCode="0.0">
                  <c:v>5233.43</c:v>
                </c:pt>
                <c:pt idx="321" formatCode="0.0">
                  <c:v>5249.13</c:v>
                </c:pt>
                <c:pt idx="322" formatCode="0.0">
                  <c:v>5264.8</c:v>
                </c:pt>
                <c:pt idx="323" formatCode="0.0">
                  <c:v>5280.47</c:v>
                </c:pt>
                <c:pt idx="324" formatCode="0.0">
                  <c:v>5296.13</c:v>
                </c:pt>
                <c:pt idx="325" formatCode="0.0">
                  <c:v>5311.8</c:v>
                </c:pt>
                <c:pt idx="326" formatCode="0.0">
                  <c:v>5327.47</c:v>
                </c:pt>
                <c:pt idx="327" formatCode="0.0">
                  <c:v>5343.13</c:v>
                </c:pt>
                <c:pt idx="328" formatCode="0.0">
                  <c:v>5358.73</c:v>
                </c:pt>
                <c:pt idx="329" formatCode="0.0">
                  <c:v>5374.31</c:v>
                </c:pt>
                <c:pt idx="330" formatCode="0.0">
                  <c:v>5389.89</c:v>
                </c:pt>
                <c:pt idx="331" formatCode="0.0">
                  <c:v>5405.46</c:v>
                </c:pt>
                <c:pt idx="332" formatCode="0.0">
                  <c:v>5421.04</c:v>
                </c:pt>
                <c:pt idx="333" formatCode="0.0">
                  <c:v>5436.62</c:v>
                </c:pt>
                <c:pt idx="334" formatCode="0.0">
                  <c:v>5452.06</c:v>
                </c:pt>
                <c:pt idx="335" formatCode="0.0">
                  <c:v>5467.45</c:v>
                </c:pt>
                <c:pt idx="336" formatCode="0.0">
                  <c:v>5482.84</c:v>
                </c:pt>
                <c:pt idx="337" formatCode="0.0">
                  <c:v>5498.23</c:v>
                </c:pt>
                <c:pt idx="338" formatCode="0.0">
                  <c:v>5513.62</c:v>
                </c:pt>
                <c:pt idx="339" formatCode="0.0">
                  <c:v>5529.01</c:v>
                </c:pt>
                <c:pt idx="340" formatCode="0.0">
                  <c:v>5544.28</c:v>
                </c:pt>
                <c:pt idx="341" formatCode="0.0">
                  <c:v>5559.48</c:v>
                </c:pt>
                <c:pt idx="342" formatCode="0.0">
                  <c:v>5574.67</c:v>
                </c:pt>
                <c:pt idx="343" formatCode="0.0">
                  <c:v>5589.87</c:v>
                </c:pt>
                <c:pt idx="344" formatCode="0.0">
                  <c:v>5605.06</c:v>
                </c:pt>
                <c:pt idx="345" formatCode="0.0">
                  <c:v>5620.26</c:v>
                </c:pt>
                <c:pt idx="346" formatCode="0.0">
                  <c:v>5635.41</c:v>
                </c:pt>
                <c:pt idx="347" formatCode="0.0">
                  <c:v>5650.53</c:v>
                </c:pt>
                <c:pt idx="348" formatCode="0.0">
                  <c:v>5665.64</c:v>
                </c:pt>
                <c:pt idx="349" formatCode="0.0">
                  <c:v>5680.75</c:v>
                </c:pt>
                <c:pt idx="350" formatCode="0.0">
                  <c:v>5695.87</c:v>
                </c:pt>
                <c:pt idx="351" formatCode="0.0">
                  <c:v>5710.98</c:v>
                </c:pt>
                <c:pt idx="352" formatCode="0.0">
                  <c:v>5726.14</c:v>
                </c:pt>
                <c:pt idx="353" formatCode="0.0">
                  <c:v>5741.35</c:v>
                </c:pt>
                <c:pt idx="354" formatCode="0.0">
                  <c:v>5756.56</c:v>
                </c:pt>
                <c:pt idx="355" formatCode="0.0">
                  <c:v>5771.77</c:v>
                </c:pt>
                <c:pt idx="356" formatCode="0.0">
                  <c:v>5786.98</c:v>
                </c:pt>
                <c:pt idx="357" formatCode="0.0">
                  <c:v>5802.19</c:v>
                </c:pt>
                <c:pt idx="358" formatCode="0.0">
                  <c:v>5817.42</c:v>
                </c:pt>
                <c:pt idx="359" formatCode="0.0">
                  <c:v>5832.71</c:v>
                </c:pt>
                <c:pt idx="360" formatCode="0.0">
                  <c:v>5848</c:v>
                </c:pt>
                <c:pt idx="361" formatCode="0.0">
                  <c:v>5863.29</c:v>
                </c:pt>
                <c:pt idx="362" formatCode="0.0">
                  <c:v>5878.58</c:v>
                </c:pt>
                <c:pt idx="363" formatCode="0.0">
                  <c:v>5893.87</c:v>
                </c:pt>
                <c:pt idx="364" formatCode="0.0">
                  <c:v>5909.16</c:v>
                </c:pt>
                <c:pt idx="365" formatCode="0.0">
                  <c:v>5924.44</c:v>
                </c:pt>
                <c:pt idx="366" formatCode="0.0">
                  <c:v>5939.73</c:v>
                </c:pt>
                <c:pt idx="367" formatCode="0.0">
                  <c:v>5955.02</c:v>
                </c:pt>
                <c:pt idx="368" formatCode="0.0">
                  <c:v>5970.31</c:v>
                </c:pt>
                <c:pt idx="369" formatCode="0.0">
                  <c:v>5985.6</c:v>
                </c:pt>
                <c:pt idx="370" formatCode="0.0">
                  <c:v>6000.88</c:v>
                </c:pt>
                <c:pt idx="371" formatCode="0.0">
                  <c:v>6016.12</c:v>
                </c:pt>
                <c:pt idx="372" formatCode="0.0">
                  <c:v>6031.35</c:v>
                </c:pt>
                <c:pt idx="373" formatCode="0.0">
                  <c:v>6046.59</c:v>
                </c:pt>
                <c:pt idx="374" formatCode="0.0">
                  <c:v>6061.83</c:v>
                </c:pt>
                <c:pt idx="375" formatCode="0.0">
                  <c:v>6077.06</c:v>
                </c:pt>
                <c:pt idx="376" formatCode="0.0">
                  <c:v>6092.3</c:v>
                </c:pt>
                <c:pt idx="377" formatCode="0.0">
                  <c:v>6107.45</c:v>
                </c:pt>
                <c:pt idx="378" formatCode="0.0">
                  <c:v>6122.61</c:v>
                </c:pt>
                <c:pt idx="379" formatCode="0.0">
                  <c:v>6137.76</c:v>
                </c:pt>
                <c:pt idx="380" formatCode="0.0">
                  <c:v>6152.92</c:v>
                </c:pt>
                <c:pt idx="381" formatCode="0.0">
                  <c:v>6168.07</c:v>
                </c:pt>
                <c:pt idx="382" formatCode="0.0">
                  <c:v>6183.23</c:v>
                </c:pt>
                <c:pt idx="383" formatCode="0.0">
                  <c:v>6198.33</c:v>
                </c:pt>
                <c:pt idx="384" formatCode="0.0">
                  <c:v>6213.43</c:v>
                </c:pt>
                <c:pt idx="385" formatCode="0.0">
                  <c:v>6228.53</c:v>
                </c:pt>
                <c:pt idx="386" formatCode="0.0">
                  <c:v>6243.63</c:v>
                </c:pt>
                <c:pt idx="387" formatCode="0.0">
                  <c:v>6258.73</c:v>
                </c:pt>
                <c:pt idx="388" formatCode="0.0">
                  <c:v>6273.83</c:v>
                </c:pt>
                <c:pt idx="389" formatCode="0.0">
                  <c:v>6288.93</c:v>
                </c:pt>
                <c:pt idx="390" formatCode="0.0">
                  <c:v>6304.04</c:v>
                </c:pt>
                <c:pt idx="391" formatCode="0.0">
                  <c:v>6319.14</c:v>
                </c:pt>
                <c:pt idx="392" formatCode="0.0">
                  <c:v>6334.24</c:v>
                </c:pt>
                <c:pt idx="393" formatCode="0.0">
                  <c:v>6349.34</c:v>
                </c:pt>
                <c:pt idx="394" formatCode="0.0">
                  <c:v>6364.44</c:v>
                </c:pt>
                <c:pt idx="395" formatCode="0.0">
                  <c:v>6379.55</c:v>
                </c:pt>
                <c:pt idx="396" formatCode="0.0">
                  <c:v>6394.67</c:v>
                </c:pt>
                <c:pt idx="397" formatCode="0.0">
                  <c:v>6409.78</c:v>
                </c:pt>
                <c:pt idx="398" formatCode="0.0">
                  <c:v>6424.9</c:v>
                </c:pt>
                <c:pt idx="399" formatCode="0.0">
                  <c:v>6440.01</c:v>
                </c:pt>
                <c:pt idx="400" formatCode="0.0">
                  <c:v>6455.13</c:v>
                </c:pt>
                <c:pt idx="401" formatCode="0.0">
                  <c:v>6470.25</c:v>
                </c:pt>
                <c:pt idx="402" formatCode="0.0">
                  <c:v>6485.38</c:v>
                </c:pt>
                <c:pt idx="403" formatCode="0.0">
                  <c:v>6500.5</c:v>
                </c:pt>
                <c:pt idx="404" formatCode="0.0">
                  <c:v>6515.63</c:v>
                </c:pt>
                <c:pt idx="405" formatCode="0.0">
                  <c:v>6530.76</c:v>
                </c:pt>
                <c:pt idx="406" formatCode="0.0">
                  <c:v>6545.89</c:v>
                </c:pt>
                <c:pt idx="407" formatCode="0.0">
                  <c:v>6561.03</c:v>
                </c:pt>
                <c:pt idx="408" formatCode="0.0">
                  <c:v>6576.19</c:v>
                </c:pt>
                <c:pt idx="409" formatCode="0.0">
                  <c:v>6591.34</c:v>
                </c:pt>
                <c:pt idx="410" formatCode="0.0">
                  <c:v>6606.5</c:v>
                </c:pt>
                <c:pt idx="411" formatCode="0.0">
                  <c:v>6621.65</c:v>
                </c:pt>
                <c:pt idx="412" formatCode="0.0">
                  <c:v>6636.81</c:v>
                </c:pt>
                <c:pt idx="413" formatCode="0.0">
                  <c:v>6651.96</c:v>
                </c:pt>
                <c:pt idx="414" formatCode="0.0">
                  <c:v>6667.1</c:v>
                </c:pt>
                <c:pt idx="415" formatCode="0.0">
                  <c:v>6682.24</c:v>
                </c:pt>
                <c:pt idx="416" formatCode="0.0">
                  <c:v>6697.38</c:v>
                </c:pt>
                <c:pt idx="417" formatCode="0.0">
                  <c:v>6712.53</c:v>
                </c:pt>
                <c:pt idx="418" formatCode="0.0">
                  <c:v>6727.67</c:v>
                </c:pt>
                <c:pt idx="419" formatCode="0.0">
                  <c:v>6742.79</c:v>
                </c:pt>
                <c:pt idx="420" formatCode="0.0">
                  <c:v>6757.89</c:v>
                </c:pt>
                <c:pt idx="421" formatCode="0.0">
                  <c:v>6772.99</c:v>
                </c:pt>
                <c:pt idx="422" formatCode="0.0">
                  <c:v>6788.09</c:v>
                </c:pt>
                <c:pt idx="423" formatCode="0.0">
                  <c:v>6803.19</c:v>
                </c:pt>
                <c:pt idx="424" formatCode="0.0">
                  <c:v>6818.29</c:v>
                </c:pt>
                <c:pt idx="425" formatCode="0.0">
                  <c:v>6833.41</c:v>
                </c:pt>
                <c:pt idx="426" formatCode="0.0">
                  <c:v>6848.57</c:v>
                </c:pt>
                <c:pt idx="427" formatCode="0.0">
                  <c:v>6863.72</c:v>
                </c:pt>
                <c:pt idx="428" formatCode="0.0">
                  <c:v>6878.88</c:v>
                </c:pt>
                <c:pt idx="429" formatCode="0.0">
                  <c:v>6894.03</c:v>
                </c:pt>
                <c:pt idx="430" formatCode="0.0">
                  <c:v>6909.19</c:v>
                </c:pt>
                <c:pt idx="431" formatCode="0.0">
                  <c:v>6924.36</c:v>
                </c:pt>
                <c:pt idx="432" formatCode="0.0">
                  <c:v>6939.62</c:v>
                </c:pt>
                <c:pt idx="433" formatCode="0.0">
                  <c:v>6954.89</c:v>
                </c:pt>
                <c:pt idx="434" formatCode="0.0">
                  <c:v>6970.15</c:v>
                </c:pt>
                <c:pt idx="435" formatCode="0.0">
                  <c:v>6985.41</c:v>
                </c:pt>
                <c:pt idx="436" formatCode="0.0">
                  <c:v>7000.68</c:v>
                </c:pt>
                <c:pt idx="437" formatCode="0.0">
                  <c:v>7015.94</c:v>
                </c:pt>
                <c:pt idx="438" formatCode="0.0">
                  <c:v>7031.23</c:v>
                </c:pt>
                <c:pt idx="439" formatCode="0.0">
                  <c:v>7046.52</c:v>
                </c:pt>
                <c:pt idx="440" formatCode="0.0">
                  <c:v>7061.81</c:v>
                </c:pt>
                <c:pt idx="441" formatCode="0.0">
                  <c:v>7077.1</c:v>
                </c:pt>
                <c:pt idx="442" formatCode="0.0">
                  <c:v>7092.39</c:v>
                </c:pt>
                <c:pt idx="443" formatCode="0.0">
                  <c:v>7107.67</c:v>
                </c:pt>
                <c:pt idx="444" formatCode="0.0">
                  <c:v>7122.99</c:v>
                </c:pt>
                <c:pt idx="445" formatCode="0.0">
                  <c:v>7138.3</c:v>
                </c:pt>
                <c:pt idx="446" formatCode="0.0">
                  <c:v>7153.62</c:v>
                </c:pt>
                <c:pt idx="447" formatCode="0.0">
                  <c:v>7168.93</c:v>
                </c:pt>
                <c:pt idx="448" formatCode="0.0">
                  <c:v>7184.25</c:v>
                </c:pt>
                <c:pt idx="449" formatCode="0.0">
                  <c:v>7199.56</c:v>
                </c:pt>
                <c:pt idx="450" formatCode="0.0">
                  <c:v>7214.89</c:v>
                </c:pt>
                <c:pt idx="451" formatCode="0.0">
                  <c:v>7230.22</c:v>
                </c:pt>
                <c:pt idx="452" formatCode="0.0">
                  <c:v>7245.54</c:v>
                </c:pt>
                <c:pt idx="453" formatCode="0.0">
                  <c:v>7260.87</c:v>
                </c:pt>
                <c:pt idx="454" formatCode="0.0">
                  <c:v>7276.2</c:v>
                </c:pt>
                <c:pt idx="455" formatCode="0.0">
                  <c:v>7291.53</c:v>
                </c:pt>
                <c:pt idx="456" formatCode="0.0">
                  <c:v>7306.81</c:v>
                </c:pt>
                <c:pt idx="457" formatCode="0.0">
                  <c:v>7322.09</c:v>
                </c:pt>
                <c:pt idx="458" formatCode="0.0">
                  <c:v>7337.36</c:v>
                </c:pt>
                <c:pt idx="459" formatCode="0.0">
                  <c:v>7352.64</c:v>
                </c:pt>
                <c:pt idx="460" formatCode="0.0">
                  <c:v>7367.92</c:v>
                </c:pt>
                <c:pt idx="461" formatCode="0.0">
                  <c:v>7383.19</c:v>
                </c:pt>
                <c:pt idx="462" formatCode="0.0">
                  <c:v>7398.44</c:v>
                </c:pt>
                <c:pt idx="463" formatCode="0.0">
                  <c:v>7413.68</c:v>
                </c:pt>
                <c:pt idx="464" formatCode="0.0">
                  <c:v>7428.91</c:v>
                </c:pt>
                <c:pt idx="465" formatCode="0.0">
                  <c:v>7444.15</c:v>
                </c:pt>
                <c:pt idx="466" formatCode="0.0">
                  <c:v>7459.39</c:v>
                </c:pt>
                <c:pt idx="467" formatCode="0.0">
                  <c:v>7474.62</c:v>
                </c:pt>
                <c:pt idx="468" formatCode="0.0">
                  <c:v>7489.86</c:v>
                </c:pt>
                <c:pt idx="469" formatCode="0.0">
                  <c:v>7505.09</c:v>
                </c:pt>
                <c:pt idx="470" formatCode="0.0">
                  <c:v>7520.33</c:v>
                </c:pt>
                <c:pt idx="471" formatCode="0.0">
                  <c:v>7535.57</c:v>
                </c:pt>
                <c:pt idx="472" formatCode="0.0">
                  <c:v>7550.8</c:v>
                </c:pt>
                <c:pt idx="473" formatCode="0.0">
                  <c:v>7566.04</c:v>
                </c:pt>
                <c:pt idx="474" formatCode="0.0">
                  <c:v>7581.28</c:v>
                </c:pt>
                <c:pt idx="475" formatCode="0.0">
                  <c:v>7596.51</c:v>
                </c:pt>
                <c:pt idx="476" formatCode="0.0">
                  <c:v>7611.75</c:v>
                </c:pt>
                <c:pt idx="477" formatCode="0.0">
                  <c:v>7626.99</c:v>
                </c:pt>
                <c:pt idx="478" formatCode="0.0">
                  <c:v>7642.22</c:v>
                </c:pt>
                <c:pt idx="479" formatCode="0.0">
                  <c:v>7657.46</c:v>
                </c:pt>
                <c:pt idx="480" formatCode="0.0">
                  <c:v>7672.69</c:v>
                </c:pt>
                <c:pt idx="481" formatCode="0.0">
                  <c:v>7687.91</c:v>
                </c:pt>
                <c:pt idx="482" formatCode="0.0">
                  <c:v>7703.14</c:v>
                </c:pt>
                <c:pt idx="483" formatCode="0.0">
                  <c:v>7718.36</c:v>
                </c:pt>
                <c:pt idx="484" formatCode="0.0">
                  <c:v>7733.58</c:v>
                </c:pt>
                <c:pt idx="485" formatCode="0.0">
                  <c:v>7748.8</c:v>
                </c:pt>
                <c:pt idx="486" formatCode="0.0">
                  <c:v>7764.03</c:v>
                </c:pt>
                <c:pt idx="487" formatCode="0.0">
                  <c:v>7779.25</c:v>
                </c:pt>
                <c:pt idx="488" formatCode="0.0">
                  <c:v>7794.47</c:v>
                </c:pt>
                <c:pt idx="489" formatCode="0.0">
                  <c:v>7809.7</c:v>
                </c:pt>
                <c:pt idx="490" formatCode="0.0">
                  <c:v>7824.92</c:v>
                </c:pt>
                <c:pt idx="491" formatCode="0.0">
                  <c:v>7840.14</c:v>
                </c:pt>
                <c:pt idx="492" formatCode="0.0">
                  <c:v>7855.36</c:v>
                </c:pt>
                <c:pt idx="493" formatCode="0.0">
                  <c:v>7870.56</c:v>
                </c:pt>
                <c:pt idx="494" formatCode="0.0">
                  <c:v>7885.75</c:v>
                </c:pt>
                <c:pt idx="495" formatCode="0.0">
                  <c:v>7900.95</c:v>
                </c:pt>
                <c:pt idx="496" formatCode="0.0">
                  <c:v>7916.14</c:v>
                </c:pt>
                <c:pt idx="497" formatCode="0.0">
                  <c:v>7931.34</c:v>
                </c:pt>
                <c:pt idx="498" formatCode="0.0">
                  <c:v>7946.53</c:v>
                </c:pt>
                <c:pt idx="499" formatCode="0.0">
                  <c:v>7961.67</c:v>
                </c:pt>
                <c:pt idx="500" formatCode="0.0">
                  <c:v>7976.81</c:v>
                </c:pt>
                <c:pt idx="501" formatCode="0.0">
                  <c:v>7991.96</c:v>
                </c:pt>
                <c:pt idx="502" formatCode="0.0">
                  <c:v>8007.1</c:v>
                </c:pt>
                <c:pt idx="503" formatCode="0.0">
                  <c:v>8022.24</c:v>
                </c:pt>
                <c:pt idx="504" formatCode="0.0">
                  <c:v>8037.38</c:v>
                </c:pt>
                <c:pt idx="505" formatCode="0.0">
                  <c:v>8052.51</c:v>
                </c:pt>
                <c:pt idx="506" formatCode="0.0">
                  <c:v>8067.64</c:v>
                </c:pt>
                <c:pt idx="507" formatCode="0.0">
                  <c:v>8082.76</c:v>
                </c:pt>
                <c:pt idx="508" formatCode="0.0">
                  <c:v>8097.89</c:v>
                </c:pt>
                <c:pt idx="509" formatCode="0.0">
                  <c:v>8113.02</c:v>
                </c:pt>
                <c:pt idx="510" formatCode="0.0">
                  <c:v>8128.15</c:v>
                </c:pt>
                <c:pt idx="511" formatCode="0.0">
                  <c:v>8143.25</c:v>
                </c:pt>
                <c:pt idx="512" formatCode="0.0">
                  <c:v>8158.35</c:v>
                </c:pt>
                <c:pt idx="513" formatCode="0.0">
                  <c:v>8173.45</c:v>
                </c:pt>
                <c:pt idx="514" formatCode="0.0">
                  <c:v>8188.55</c:v>
                </c:pt>
                <c:pt idx="515" formatCode="0.0">
                  <c:v>8203.65</c:v>
                </c:pt>
                <c:pt idx="516" formatCode="0.0">
                  <c:v>8218.75</c:v>
                </c:pt>
                <c:pt idx="517" formatCode="0.0">
                  <c:v>8233.82</c:v>
                </c:pt>
                <c:pt idx="518" formatCode="0.0">
                  <c:v>8248.8700000000008</c:v>
                </c:pt>
                <c:pt idx="519" formatCode="0.0">
                  <c:v>8263.93</c:v>
                </c:pt>
                <c:pt idx="520" formatCode="0.0">
                  <c:v>8278.99</c:v>
                </c:pt>
                <c:pt idx="521" formatCode="0.0">
                  <c:v>8294.0499999999993</c:v>
                </c:pt>
                <c:pt idx="522" formatCode="0.0">
                  <c:v>8309.1</c:v>
                </c:pt>
                <c:pt idx="523" formatCode="0.0">
                  <c:v>8324.14</c:v>
                </c:pt>
                <c:pt idx="524" formatCode="0.0">
                  <c:v>8339.17</c:v>
                </c:pt>
                <c:pt idx="525" formatCode="0.0">
                  <c:v>8354.2000000000007</c:v>
                </c:pt>
                <c:pt idx="526" formatCode="0.0">
                  <c:v>8369.23</c:v>
                </c:pt>
                <c:pt idx="527" formatCode="0.0">
                  <c:v>8384.26</c:v>
                </c:pt>
                <c:pt idx="528" formatCode="0.0">
                  <c:v>8399.2900000000009</c:v>
                </c:pt>
                <c:pt idx="529" formatCode="0.0">
                  <c:v>8414.31</c:v>
                </c:pt>
                <c:pt idx="530" formatCode="0.0">
                  <c:v>8429.32</c:v>
                </c:pt>
                <c:pt idx="531" formatCode="0.0">
                  <c:v>8444.34</c:v>
                </c:pt>
                <c:pt idx="532" formatCode="0.0">
                  <c:v>8459.35</c:v>
                </c:pt>
                <c:pt idx="533" formatCode="0.0">
                  <c:v>8474.3700000000008</c:v>
                </c:pt>
                <c:pt idx="534" formatCode="0.0">
                  <c:v>8489.3799999999992</c:v>
                </c:pt>
                <c:pt idx="535" formatCode="0.0">
                  <c:v>8504.42</c:v>
                </c:pt>
                <c:pt idx="536" formatCode="0.0">
                  <c:v>8519.4599999999991</c:v>
                </c:pt>
                <c:pt idx="537" formatCode="0.0">
                  <c:v>8534.5</c:v>
                </c:pt>
                <c:pt idx="538" formatCode="0.0">
                  <c:v>8549.5499999999993</c:v>
                </c:pt>
                <c:pt idx="539" formatCode="0.0">
                  <c:v>8564.59</c:v>
                </c:pt>
                <c:pt idx="540" formatCode="0.0">
                  <c:v>8579.6299999999992</c:v>
                </c:pt>
                <c:pt idx="541" formatCode="0.0">
                  <c:v>8594.68</c:v>
                </c:pt>
                <c:pt idx="542" formatCode="0.0">
                  <c:v>8609.7199999999993</c:v>
                </c:pt>
                <c:pt idx="543" formatCode="0.0">
                  <c:v>8624.76</c:v>
                </c:pt>
                <c:pt idx="544" formatCode="0.0">
                  <c:v>8639.81</c:v>
                </c:pt>
                <c:pt idx="545" formatCode="0.0">
                  <c:v>8654.85</c:v>
                </c:pt>
                <c:pt idx="546" formatCode="0.0">
                  <c:v>8669.89</c:v>
                </c:pt>
                <c:pt idx="547" formatCode="0.0">
                  <c:v>8684.93</c:v>
                </c:pt>
                <c:pt idx="548" formatCode="0.0">
                  <c:v>8699.94</c:v>
                </c:pt>
                <c:pt idx="549" formatCode="0.0">
                  <c:v>8714.9599999999991</c:v>
                </c:pt>
                <c:pt idx="550" formatCode="0.0">
                  <c:v>8729.9699999999993</c:v>
                </c:pt>
                <c:pt idx="551" formatCode="0.0">
                  <c:v>8744.99</c:v>
                </c:pt>
                <c:pt idx="552" formatCode="0.0">
                  <c:v>8760</c:v>
                </c:pt>
                <c:pt idx="553" formatCode="0.0">
                  <c:v>8775.01</c:v>
                </c:pt>
                <c:pt idx="554" formatCode="0.0">
                  <c:v>8790</c:v>
                </c:pt>
                <c:pt idx="555" formatCode="0.0">
                  <c:v>8804.98</c:v>
                </c:pt>
                <c:pt idx="556" formatCode="0.0">
                  <c:v>8819.9699999999993</c:v>
                </c:pt>
                <c:pt idx="557" formatCode="0.0">
                  <c:v>8834.9500000000007</c:v>
                </c:pt>
                <c:pt idx="558" formatCode="0.0">
                  <c:v>8849.94</c:v>
                </c:pt>
                <c:pt idx="559" formatCode="0.0">
                  <c:v>8864.92</c:v>
                </c:pt>
                <c:pt idx="560" formatCode="0.0">
                  <c:v>8879.86</c:v>
                </c:pt>
                <c:pt idx="561" formatCode="0.0">
                  <c:v>8894.7999999999993</c:v>
                </c:pt>
                <c:pt idx="562" formatCode="0.0">
                  <c:v>8909.74</c:v>
                </c:pt>
                <c:pt idx="563" formatCode="0.0">
                  <c:v>8924.69</c:v>
                </c:pt>
                <c:pt idx="564" formatCode="0.0">
                  <c:v>8939.6299999999992</c:v>
                </c:pt>
                <c:pt idx="565" formatCode="0.0">
                  <c:v>8954.57</c:v>
                </c:pt>
                <c:pt idx="566" formatCode="0.0">
                  <c:v>8969.51</c:v>
                </c:pt>
                <c:pt idx="567" formatCode="0.0">
                  <c:v>8984.4500000000007</c:v>
                </c:pt>
                <c:pt idx="568" formatCode="0.0">
                  <c:v>8999.4</c:v>
                </c:pt>
                <c:pt idx="569" formatCode="0.0">
                  <c:v>9014.34</c:v>
                </c:pt>
                <c:pt idx="570" formatCode="0.0">
                  <c:v>9029.2800000000007</c:v>
                </c:pt>
                <c:pt idx="571" formatCode="0.0">
                  <c:v>9044.2199999999993</c:v>
                </c:pt>
                <c:pt idx="572" formatCode="0.0">
                  <c:v>9059.2099999999991</c:v>
                </c:pt>
                <c:pt idx="573" formatCode="0.0">
                  <c:v>9074.19</c:v>
                </c:pt>
                <c:pt idx="574" formatCode="0.0">
                  <c:v>9089.18</c:v>
                </c:pt>
                <c:pt idx="575" formatCode="0.0">
                  <c:v>9104.17</c:v>
                </c:pt>
                <c:pt idx="576" formatCode="0.0">
                  <c:v>9119.15</c:v>
                </c:pt>
                <c:pt idx="577" formatCode="0.0">
                  <c:v>9134.14</c:v>
                </c:pt>
                <c:pt idx="578" formatCode="0.0">
                  <c:v>9149.16</c:v>
                </c:pt>
                <c:pt idx="579" formatCode="0.0">
                  <c:v>9164.19</c:v>
                </c:pt>
                <c:pt idx="580" formatCode="0.0">
                  <c:v>9179.2199999999993</c:v>
                </c:pt>
                <c:pt idx="581" formatCode="0.0">
                  <c:v>9194.25</c:v>
                </c:pt>
                <c:pt idx="582" formatCode="0.0">
                  <c:v>9209.2800000000007</c:v>
                </c:pt>
                <c:pt idx="583" formatCode="0.0">
                  <c:v>9224.31</c:v>
                </c:pt>
                <c:pt idx="584" formatCode="0.0">
                  <c:v>9239.36</c:v>
                </c:pt>
                <c:pt idx="585" formatCode="0.0">
                  <c:v>9254.42</c:v>
                </c:pt>
                <c:pt idx="586" formatCode="0.0">
                  <c:v>9269.48</c:v>
                </c:pt>
                <c:pt idx="587" formatCode="0.0">
                  <c:v>9284.5400000000009</c:v>
                </c:pt>
                <c:pt idx="588" formatCode="0.0">
                  <c:v>9299.59</c:v>
                </c:pt>
                <c:pt idx="589" formatCode="0.0">
                  <c:v>9314.65</c:v>
                </c:pt>
                <c:pt idx="590" formatCode="0.0">
                  <c:v>9329.73</c:v>
                </c:pt>
                <c:pt idx="591" formatCode="0.0">
                  <c:v>9344.81</c:v>
                </c:pt>
                <c:pt idx="592" formatCode="0.0">
                  <c:v>9359.9</c:v>
                </c:pt>
                <c:pt idx="593" formatCode="0.0">
                  <c:v>9374.99</c:v>
                </c:pt>
                <c:pt idx="594" formatCode="0.0">
                  <c:v>9390.07</c:v>
                </c:pt>
                <c:pt idx="595" formatCode="0.0">
                  <c:v>9405.16</c:v>
                </c:pt>
                <c:pt idx="596" formatCode="0.0">
                  <c:v>9420.26</c:v>
                </c:pt>
                <c:pt idx="597" formatCode="0.0">
                  <c:v>9435.3799999999992</c:v>
                </c:pt>
                <c:pt idx="598" formatCode="0.0">
                  <c:v>9450.49</c:v>
                </c:pt>
                <c:pt idx="599" formatCode="0.0">
                  <c:v>9465.6</c:v>
                </c:pt>
                <c:pt idx="600" formatCode="0.0">
                  <c:v>9480.7199999999993</c:v>
                </c:pt>
                <c:pt idx="601" formatCode="0.0">
                  <c:v>9495.83</c:v>
                </c:pt>
                <c:pt idx="602" formatCode="0.0">
                  <c:v>9510.9599999999991</c:v>
                </c:pt>
                <c:pt idx="603" formatCode="0.0">
                  <c:v>9526.1</c:v>
                </c:pt>
                <c:pt idx="604" formatCode="0.0">
                  <c:v>9541.24</c:v>
                </c:pt>
                <c:pt idx="605" formatCode="0.0">
                  <c:v>9556.39</c:v>
                </c:pt>
                <c:pt idx="606" formatCode="0.0">
                  <c:v>9571.5300000000007</c:v>
                </c:pt>
                <c:pt idx="607" formatCode="0.0">
                  <c:v>9586.67</c:v>
                </c:pt>
                <c:pt idx="608" formatCode="0.0">
                  <c:v>9601.92</c:v>
                </c:pt>
                <c:pt idx="609" formatCode="0.0">
                  <c:v>9617.33</c:v>
                </c:pt>
                <c:pt idx="610" formatCode="0.0">
                  <c:v>9632.74</c:v>
                </c:pt>
                <c:pt idx="611" formatCode="0.0">
                  <c:v>9648.15</c:v>
                </c:pt>
                <c:pt idx="612" formatCode="0.0">
                  <c:v>9663.56</c:v>
                </c:pt>
                <c:pt idx="613" formatCode="0.0">
                  <c:v>9678.9699999999993</c:v>
                </c:pt>
                <c:pt idx="614" formatCode="0.0">
                  <c:v>9694.3799999999992</c:v>
                </c:pt>
                <c:pt idx="615" formatCode="0.0">
                  <c:v>9709.7900000000009</c:v>
                </c:pt>
                <c:pt idx="616" formatCode="0.0">
                  <c:v>9725.2000000000007</c:v>
                </c:pt>
                <c:pt idx="617" formatCode="0.0">
                  <c:v>9740.61</c:v>
                </c:pt>
                <c:pt idx="618" formatCode="0.0">
                  <c:v>9756.02</c:v>
                </c:pt>
                <c:pt idx="619" formatCode="0.0">
                  <c:v>9771.43</c:v>
                </c:pt>
                <c:pt idx="620" formatCode="0.0">
                  <c:v>9786.7900000000009</c:v>
                </c:pt>
                <c:pt idx="621" formatCode="0.0">
                  <c:v>9801.9599999999991</c:v>
                </c:pt>
                <c:pt idx="622" formatCode="0.0">
                  <c:v>9817.1299999999992</c:v>
                </c:pt>
                <c:pt idx="623" formatCode="0.0">
                  <c:v>9832.2999999999993</c:v>
                </c:pt>
                <c:pt idx="624" formatCode="0.0">
                  <c:v>9847.4699999999993</c:v>
                </c:pt>
                <c:pt idx="625" formatCode="0.0">
                  <c:v>9862.64</c:v>
                </c:pt>
                <c:pt idx="626" formatCode="0.0">
                  <c:v>9877.81</c:v>
                </c:pt>
                <c:pt idx="627" formatCode="0.0">
                  <c:v>9893.02</c:v>
                </c:pt>
                <c:pt idx="628" formatCode="0.0">
                  <c:v>9908.23</c:v>
                </c:pt>
                <c:pt idx="629" formatCode="0.0">
                  <c:v>9923.44</c:v>
                </c:pt>
                <c:pt idx="630" formatCode="0.0">
                  <c:v>9938.65</c:v>
                </c:pt>
                <c:pt idx="631" formatCode="0.0">
                  <c:v>9953.86</c:v>
                </c:pt>
                <c:pt idx="632" formatCode="0.0">
                  <c:v>9969.07</c:v>
                </c:pt>
                <c:pt idx="633" formatCode="0.0">
                  <c:v>9984.39</c:v>
                </c:pt>
                <c:pt idx="634" formatCode="0.0">
                  <c:v>9999.7000000000007</c:v>
                </c:pt>
                <c:pt idx="635" formatCode="0.0">
                  <c:v>10015.01</c:v>
                </c:pt>
                <c:pt idx="636" formatCode="0.0">
                  <c:v>10030.33</c:v>
                </c:pt>
                <c:pt idx="637" formatCode="0.0">
                  <c:v>10045.64</c:v>
                </c:pt>
                <c:pt idx="638" formatCode="0.0">
                  <c:v>10060.959999999999</c:v>
                </c:pt>
                <c:pt idx="639" formatCode="0.0">
                  <c:v>10076.34</c:v>
                </c:pt>
                <c:pt idx="640" formatCode="0.0">
                  <c:v>10091.73</c:v>
                </c:pt>
                <c:pt idx="641" formatCode="0.0">
                  <c:v>10107.120000000001</c:v>
                </c:pt>
                <c:pt idx="642" formatCode="0.0">
                  <c:v>10122.51</c:v>
                </c:pt>
                <c:pt idx="643" formatCode="0.0">
                  <c:v>10137.9</c:v>
                </c:pt>
                <c:pt idx="644" formatCode="0.0">
                  <c:v>10153.290000000001</c:v>
                </c:pt>
                <c:pt idx="645" formatCode="0.0">
                  <c:v>10168.700000000001</c:v>
                </c:pt>
                <c:pt idx="646" formatCode="0.0">
                  <c:v>10184.120000000001</c:v>
                </c:pt>
                <c:pt idx="647" formatCode="0.0">
                  <c:v>10199.530000000001</c:v>
                </c:pt>
                <c:pt idx="648" formatCode="0.0">
                  <c:v>10214.950000000001</c:v>
                </c:pt>
                <c:pt idx="649" formatCode="0.0">
                  <c:v>10230.36</c:v>
                </c:pt>
                <c:pt idx="650" formatCode="0.0">
                  <c:v>10245.780000000001</c:v>
                </c:pt>
                <c:pt idx="651" formatCode="0.0">
                  <c:v>10261.25</c:v>
                </c:pt>
                <c:pt idx="652" formatCode="0.0">
                  <c:v>10276.73</c:v>
                </c:pt>
                <c:pt idx="653" formatCode="0.0">
                  <c:v>10292.219999999999</c:v>
                </c:pt>
                <c:pt idx="654" formatCode="0.0">
                  <c:v>10307.709999999999</c:v>
                </c:pt>
                <c:pt idx="655" formatCode="0.0">
                  <c:v>10323.19</c:v>
                </c:pt>
                <c:pt idx="656" formatCode="0.0">
                  <c:v>10338.68</c:v>
                </c:pt>
                <c:pt idx="657" formatCode="0.0">
                  <c:v>10354.209999999999</c:v>
                </c:pt>
                <c:pt idx="658" formatCode="0.0">
                  <c:v>10369.77</c:v>
                </c:pt>
                <c:pt idx="659" formatCode="0.0">
                  <c:v>10385.32</c:v>
                </c:pt>
                <c:pt idx="660" formatCode="0.0">
                  <c:v>10400.879999999999</c:v>
                </c:pt>
                <c:pt idx="661" formatCode="0.0">
                  <c:v>10416.44</c:v>
                </c:pt>
                <c:pt idx="662" formatCode="0.0">
                  <c:v>10431.99</c:v>
                </c:pt>
                <c:pt idx="663" formatCode="0.0">
                  <c:v>10447.6</c:v>
                </c:pt>
                <c:pt idx="664" formatCode="0.0">
                  <c:v>10463.24</c:v>
                </c:pt>
                <c:pt idx="665" formatCode="0.0">
                  <c:v>10478.89</c:v>
                </c:pt>
                <c:pt idx="666" formatCode="0.0">
                  <c:v>10494.53</c:v>
                </c:pt>
                <c:pt idx="667" formatCode="0.0">
                  <c:v>10510.18</c:v>
                </c:pt>
                <c:pt idx="668" formatCode="0.0">
                  <c:v>10525.82</c:v>
                </c:pt>
                <c:pt idx="669" formatCode="0.0">
                  <c:v>10541.46</c:v>
                </c:pt>
                <c:pt idx="670" formatCode="0.0">
                  <c:v>10557.11</c:v>
                </c:pt>
                <c:pt idx="671" formatCode="0.0">
                  <c:v>10572.75</c:v>
                </c:pt>
                <c:pt idx="672" formatCode="0.0">
                  <c:v>10588.4</c:v>
                </c:pt>
                <c:pt idx="673" formatCode="0.0">
                  <c:v>10604.04</c:v>
                </c:pt>
                <c:pt idx="674" formatCode="0.0">
                  <c:v>10619.69</c:v>
                </c:pt>
                <c:pt idx="675" formatCode="0.0">
                  <c:v>10635.37</c:v>
                </c:pt>
                <c:pt idx="676" formatCode="0.0">
                  <c:v>10651.13</c:v>
                </c:pt>
                <c:pt idx="677" formatCode="0.0">
                  <c:v>10666.89</c:v>
                </c:pt>
                <c:pt idx="678" formatCode="0.0">
                  <c:v>10682.65</c:v>
                </c:pt>
                <c:pt idx="679" formatCode="0.0">
                  <c:v>10698.41</c:v>
                </c:pt>
                <c:pt idx="680" formatCode="0.0">
                  <c:v>10714.16</c:v>
                </c:pt>
                <c:pt idx="681" formatCode="0.0">
                  <c:v>10729.94</c:v>
                </c:pt>
                <c:pt idx="682" formatCode="0.0">
                  <c:v>10745.78</c:v>
                </c:pt>
                <c:pt idx="683" formatCode="0.0">
                  <c:v>10761.62</c:v>
                </c:pt>
                <c:pt idx="684" formatCode="0.0">
                  <c:v>10777.46</c:v>
                </c:pt>
                <c:pt idx="685" formatCode="0.0">
                  <c:v>10793.29</c:v>
                </c:pt>
                <c:pt idx="686" formatCode="0.0">
                  <c:v>10809.13</c:v>
                </c:pt>
                <c:pt idx="687" formatCode="0.0">
                  <c:v>10824.97</c:v>
                </c:pt>
                <c:pt idx="688" formatCode="0.0">
                  <c:v>10840.81</c:v>
                </c:pt>
                <c:pt idx="689" formatCode="0.0">
                  <c:v>10856.64</c:v>
                </c:pt>
                <c:pt idx="690" formatCode="0.0">
                  <c:v>10872.48</c:v>
                </c:pt>
                <c:pt idx="691" formatCode="0.0">
                  <c:v>10888.32</c:v>
                </c:pt>
                <c:pt idx="692" formatCode="0.0">
                  <c:v>10904.16</c:v>
                </c:pt>
                <c:pt idx="693" formatCode="0.0">
                  <c:v>10920</c:v>
                </c:pt>
                <c:pt idx="694" formatCode="0.0">
                  <c:v>10935.88</c:v>
                </c:pt>
                <c:pt idx="695" formatCode="0.0">
                  <c:v>10951.76</c:v>
                </c:pt>
                <c:pt idx="696" formatCode="0.0">
                  <c:v>10967.64</c:v>
                </c:pt>
                <c:pt idx="697" formatCode="0.0">
                  <c:v>10983.52</c:v>
                </c:pt>
                <c:pt idx="698" formatCode="0.0">
                  <c:v>10999.4</c:v>
                </c:pt>
                <c:pt idx="699" formatCode="0.0">
                  <c:v>11015.29</c:v>
                </c:pt>
                <c:pt idx="700" formatCode="0.0">
                  <c:v>11031.17</c:v>
                </c:pt>
                <c:pt idx="701" formatCode="0.0">
                  <c:v>11047.05</c:v>
                </c:pt>
                <c:pt idx="702" formatCode="0.0">
                  <c:v>11062.93</c:v>
                </c:pt>
                <c:pt idx="703" formatCode="0.0">
                  <c:v>11078.81</c:v>
                </c:pt>
                <c:pt idx="704" formatCode="0.0">
                  <c:v>11094.7</c:v>
                </c:pt>
                <c:pt idx="705" formatCode="0.0">
                  <c:v>11110.58</c:v>
                </c:pt>
                <c:pt idx="706" formatCode="0.0">
                  <c:v>11126.51</c:v>
                </c:pt>
                <c:pt idx="707" formatCode="0.0">
                  <c:v>11142.45</c:v>
                </c:pt>
                <c:pt idx="708" formatCode="0.0">
                  <c:v>11158.4</c:v>
                </c:pt>
                <c:pt idx="709" formatCode="0.0">
                  <c:v>11174.34</c:v>
                </c:pt>
                <c:pt idx="710" formatCode="0.0">
                  <c:v>11190.28</c:v>
                </c:pt>
                <c:pt idx="711" formatCode="0.0">
                  <c:v>11206.22</c:v>
                </c:pt>
                <c:pt idx="712" formatCode="0.0">
                  <c:v>11222.16</c:v>
                </c:pt>
                <c:pt idx="713" formatCode="0.0">
                  <c:v>11238.11</c:v>
                </c:pt>
                <c:pt idx="714" formatCode="0.0">
                  <c:v>11254.05</c:v>
                </c:pt>
                <c:pt idx="715" formatCode="0.0">
                  <c:v>11269.99</c:v>
                </c:pt>
                <c:pt idx="716" formatCode="0.0">
                  <c:v>11285.93</c:v>
                </c:pt>
                <c:pt idx="717" formatCode="0.0">
                  <c:v>11301.88</c:v>
                </c:pt>
                <c:pt idx="718" formatCode="0.0">
                  <c:v>11317.86</c:v>
                </c:pt>
                <c:pt idx="719" formatCode="0.0">
                  <c:v>11333.87</c:v>
                </c:pt>
                <c:pt idx="720" formatCode="0.0">
                  <c:v>11349.88</c:v>
                </c:pt>
                <c:pt idx="721" formatCode="0.0">
                  <c:v>11365.88</c:v>
                </c:pt>
                <c:pt idx="722" formatCode="0.0">
                  <c:v>11381.89</c:v>
                </c:pt>
                <c:pt idx="723" formatCode="0.0">
                  <c:v>11397.9</c:v>
                </c:pt>
                <c:pt idx="724" formatCode="0.0">
                  <c:v>11413.91</c:v>
                </c:pt>
                <c:pt idx="725" formatCode="0.0">
                  <c:v>11429.91</c:v>
                </c:pt>
                <c:pt idx="726" formatCode="0.0">
                  <c:v>11445.92</c:v>
                </c:pt>
                <c:pt idx="727" formatCode="0.0">
                  <c:v>11461.93</c:v>
                </c:pt>
                <c:pt idx="728" formatCode="0.0">
                  <c:v>11477.94</c:v>
                </c:pt>
                <c:pt idx="729" formatCode="0.0">
                  <c:v>11493.94</c:v>
                </c:pt>
                <c:pt idx="730" formatCode="0.0">
                  <c:v>11509.96</c:v>
                </c:pt>
                <c:pt idx="731" formatCode="0.0">
                  <c:v>11525.98</c:v>
                </c:pt>
                <c:pt idx="732" formatCode="0.0">
                  <c:v>11542.01</c:v>
                </c:pt>
                <c:pt idx="733" formatCode="0.0">
                  <c:v>11558.03</c:v>
                </c:pt>
                <c:pt idx="734" formatCode="0.0">
                  <c:v>11574.05</c:v>
                </c:pt>
                <c:pt idx="735" formatCode="0.0">
                  <c:v>11590.07</c:v>
                </c:pt>
                <c:pt idx="736" formatCode="0.0">
                  <c:v>11606.1</c:v>
                </c:pt>
                <c:pt idx="737" formatCode="0.0">
                  <c:v>11622.12</c:v>
                </c:pt>
                <c:pt idx="738" formatCode="0.0">
                  <c:v>11638.14</c:v>
                </c:pt>
                <c:pt idx="739" formatCode="0.0">
                  <c:v>11654.17</c:v>
                </c:pt>
                <c:pt idx="740" formatCode="0.0">
                  <c:v>11670.19</c:v>
                </c:pt>
                <c:pt idx="741" formatCode="0.0">
                  <c:v>11686.21</c:v>
                </c:pt>
                <c:pt idx="742" formatCode="0.0">
                  <c:v>11702.24</c:v>
                </c:pt>
                <c:pt idx="743" formatCode="0.0">
                  <c:v>11718.26</c:v>
                </c:pt>
                <c:pt idx="744" formatCode="0.0">
                  <c:v>11734.28</c:v>
                </c:pt>
                <c:pt idx="745" formatCode="0.0">
                  <c:v>11750.31</c:v>
                </c:pt>
                <c:pt idx="746" formatCode="0.0">
                  <c:v>11766.33</c:v>
                </c:pt>
                <c:pt idx="747" formatCode="0.0">
                  <c:v>11782.35</c:v>
                </c:pt>
                <c:pt idx="748" formatCode="0.0">
                  <c:v>11798.38</c:v>
                </c:pt>
                <c:pt idx="749" formatCode="0.0">
                  <c:v>11814.4</c:v>
                </c:pt>
                <c:pt idx="750" formatCode="0.0">
                  <c:v>11830.42</c:v>
                </c:pt>
                <c:pt idx="751" formatCode="0.0">
                  <c:v>11846.44</c:v>
                </c:pt>
                <c:pt idx="752" formatCode="0.0">
                  <c:v>11862.47</c:v>
                </c:pt>
                <c:pt idx="753" formatCode="0.0">
                  <c:v>11878.49</c:v>
                </c:pt>
                <c:pt idx="754" formatCode="0.0">
                  <c:v>11894.51</c:v>
                </c:pt>
                <c:pt idx="755" formatCode="0.0">
                  <c:v>11910.54</c:v>
                </c:pt>
                <c:pt idx="756" formatCode="0.0">
                  <c:v>11926.56</c:v>
                </c:pt>
                <c:pt idx="757" formatCode="0.0">
                  <c:v>11942.58</c:v>
                </c:pt>
                <c:pt idx="758" formatCode="0.0">
                  <c:v>11958.61</c:v>
                </c:pt>
                <c:pt idx="759" formatCode="0.0">
                  <c:v>11974.63</c:v>
                </c:pt>
                <c:pt idx="760" formatCode="0.0">
                  <c:v>11990.65</c:v>
                </c:pt>
                <c:pt idx="761" formatCode="0.0">
                  <c:v>12006.68</c:v>
                </c:pt>
                <c:pt idx="762" formatCode="0.0">
                  <c:v>12022.7</c:v>
                </c:pt>
                <c:pt idx="763" formatCode="0.0">
                  <c:v>12038.72</c:v>
                </c:pt>
                <c:pt idx="764" formatCode="0.0">
                  <c:v>12054.74</c:v>
                </c:pt>
                <c:pt idx="765" formatCode="0.0">
                  <c:v>12070.77</c:v>
                </c:pt>
                <c:pt idx="766" formatCode="0.0">
                  <c:v>12086.79</c:v>
                </c:pt>
                <c:pt idx="767" formatCode="0.0">
                  <c:v>12102.81</c:v>
                </c:pt>
                <c:pt idx="768" formatCode="0.0">
                  <c:v>12118.84</c:v>
                </c:pt>
                <c:pt idx="769" formatCode="0.0">
                  <c:v>12134.86</c:v>
                </c:pt>
                <c:pt idx="770" formatCode="0.0">
                  <c:v>12150.88</c:v>
                </c:pt>
                <c:pt idx="771" formatCode="0.0">
                  <c:v>12166.91</c:v>
                </c:pt>
                <c:pt idx="772" formatCode="0.0">
                  <c:v>12182.93</c:v>
                </c:pt>
                <c:pt idx="773" formatCode="0.0">
                  <c:v>12198.95</c:v>
                </c:pt>
                <c:pt idx="774" formatCode="0.0">
                  <c:v>12214.98</c:v>
                </c:pt>
                <c:pt idx="775" formatCode="0.0">
                  <c:v>12231</c:v>
                </c:pt>
                <c:pt idx="776" formatCode="0.0">
                  <c:v>12247.02</c:v>
                </c:pt>
                <c:pt idx="777" formatCode="0.0">
                  <c:v>12263.04</c:v>
                </c:pt>
                <c:pt idx="778" formatCode="0.0">
                  <c:v>12279.07</c:v>
                </c:pt>
                <c:pt idx="779" formatCode="0.0">
                  <c:v>12295.09</c:v>
                </c:pt>
                <c:pt idx="780" formatCode="0.0">
                  <c:v>12311.11</c:v>
                </c:pt>
                <c:pt idx="781" formatCode="0.0">
                  <c:v>12327.14</c:v>
                </c:pt>
                <c:pt idx="782" formatCode="0.0">
                  <c:v>12343.16</c:v>
                </c:pt>
                <c:pt idx="783" formatCode="0.0">
                  <c:v>12359.18</c:v>
                </c:pt>
                <c:pt idx="784" formatCode="0.0">
                  <c:v>12375.21</c:v>
                </c:pt>
                <c:pt idx="785" formatCode="0.0">
                  <c:v>12391.23</c:v>
                </c:pt>
                <c:pt idx="786" formatCode="0.0">
                  <c:v>12407.25</c:v>
                </c:pt>
                <c:pt idx="787" formatCode="0.0">
                  <c:v>12423.27</c:v>
                </c:pt>
                <c:pt idx="788" formatCode="0.0">
                  <c:v>12439.3</c:v>
                </c:pt>
                <c:pt idx="789" formatCode="0.0">
                  <c:v>12455.32</c:v>
                </c:pt>
                <c:pt idx="790" formatCode="0.0">
                  <c:v>12471.34</c:v>
                </c:pt>
                <c:pt idx="791" formatCode="0.0">
                  <c:v>12487.37</c:v>
                </c:pt>
                <c:pt idx="792" formatCode="0.0">
                  <c:v>12503.39</c:v>
                </c:pt>
                <c:pt idx="793" formatCode="0.0">
                  <c:v>12519.41</c:v>
                </c:pt>
                <c:pt idx="794" formatCode="0.0">
                  <c:v>12535.44</c:v>
                </c:pt>
                <c:pt idx="795" formatCode="0.0">
                  <c:v>12551.46</c:v>
                </c:pt>
                <c:pt idx="796" formatCode="0.0">
                  <c:v>12567.48</c:v>
                </c:pt>
                <c:pt idx="797" formatCode="0.0">
                  <c:v>12583.51</c:v>
                </c:pt>
                <c:pt idx="798" formatCode="0.0">
                  <c:v>12599.53</c:v>
                </c:pt>
                <c:pt idx="799" formatCode="0.0">
                  <c:v>12615.55</c:v>
                </c:pt>
                <c:pt idx="800" formatCode="0.0">
                  <c:v>12631.57</c:v>
                </c:pt>
                <c:pt idx="801" formatCode="0.0">
                  <c:v>12647.6</c:v>
                </c:pt>
                <c:pt idx="802" formatCode="0.0">
                  <c:v>12663.62</c:v>
                </c:pt>
                <c:pt idx="803" formatCode="0.0">
                  <c:v>12679.64</c:v>
                </c:pt>
                <c:pt idx="804" formatCode="0.0">
                  <c:v>12695.67</c:v>
                </c:pt>
                <c:pt idx="805" formatCode="0.0">
                  <c:v>12711.69</c:v>
                </c:pt>
                <c:pt idx="806" formatCode="0.0">
                  <c:v>12727.71</c:v>
                </c:pt>
                <c:pt idx="807" formatCode="0.0">
                  <c:v>12743.74</c:v>
                </c:pt>
                <c:pt idx="808" formatCode="0.0">
                  <c:v>12759.76</c:v>
                </c:pt>
                <c:pt idx="809" formatCode="0.0">
                  <c:v>12775.78</c:v>
                </c:pt>
                <c:pt idx="810" formatCode="0.0">
                  <c:v>12791.8</c:v>
                </c:pt>
                <c:pt idx="811" formatCode="0.0">
                  <c:v>12807.83</c:v>
                </c:pt>
                <c:pt idx="812" formatCode="0.0">
                  <c:v>12823.85</c:v>
                </c:pt>
                <c:pt idx="813" formatCode="0.0">
                  <c:v>12839.87</c:v>
                </c:pt>
                <c:pt idx="814" formatCode="0.0">
                  <c:v>12855.9</c:v>
                </c:pt>
                <c:pt idx="815" formatCode="0.0">
                  <c:v>12871.92</c:v>
                </c:pt>
                <c:pt idx="816" formatCode="0.0">
                  <c:v>12887.94</c:v>
                </c:pt>
                <c:pt idx="817" formatCode="0.0">
                  <c:v>12903.97</c:v>
                </c:pt>
                <c:pt idx="818" formatCode="0.0">
                  <c:v>12919.99</c:v>
                </c:pt>
                <c:pt idx="819" formatCode="0.0">
                  <c:v>12936.01</c:v>
                </c:pt>
                <c:pt idx="820" formatCode="0.0">
                  <c:v>12952.04</c:v>
                </c:pt>
                <c:pt idx="821" formatCode="0.0">
                  <c:v>12968.06</c:v>
                </c:pt>
                <c:pt idx="822" formatCode="0.0">
                  <c:v>12984.08</c:v>
                </c:pt>
                <c:pt idx="823" formatCode="0.0">
                  <c:v>13000.1</c:v>
                </c:pt>
                <c:pt idx="824" formatCode="0.0">
                  <c:v>13016.13</c:v>
                </c:pt>
                <c:pt idx="825" formatCode="0.0">
                  <c:v>13032.15</c:v>
                </c:pt>
                <c:pt idx="826" formatCode="0.0">
                  <c:v>13048.17</c:v>
                </c:pt>
                <c:pt idx="827" formatCode="0.0">
                  <c:v>13064.2</c:v>
                </c:pt>
                <c:pt idx="828" formatCode="0.0">
                  <c:v>13080.22</c:v>
                </c:pt>
                <c:pt idx="829" formatCode="0.0">
                  <c:v>13096.24</c:v>
                </c:pt>
                <c:pt idx="830" formatCode="0.0">
                  <c:v>13112.27</c:v>
                </c:pt>
                <c:pt idx="831" formatCode="0.0">
                  <c:v>13128.29</c:v>
                </c:pt>
                <c:pt idx="832" formatCode="0.0">
                  <c:v>13144.31</c:v>
                </c:pt>
                <c:pt idx="833" formatCode="0.0">
                  <c:v>13160.33</c:v>
                </c:pt>
                <c:pt idx="834" formatCode="0.0">
                  <c:v>13176.36</c:v>
                </c:pt>
                <c:pt idx="835" formatCode="0.0">
                  <c:v>13192.38</c:v>
                </c:pt>
                <c:pt idx="836" formatCode="0.0">
                  <c:v>13208.4</c:v>
                </c:pt>
                <c:pt idx="837" formatCode="0.0">
                  <c:v>13224.43</c:v>
                </c:pt>
                <c:pt idx="838" formatCode="0.0">
                  <c:v>13240.45</c:v>
                </c:pt>
                <c:pt idx="839" formatCode="0.0">
                  <c:v>13256.47</c:v>
                </c:pt>
                <c:pt idx="840" formatCode="0.0">
                  <c:v>13272.5</c:v>
                </c:pt>
                <c:pt idx="841" formatCode="0.0">
                  <c:v>13288.52</c:v>
                </c:pt>
                <c:pt idx="842" formatCode="0.0">
                  <c:v>13304.54</c:v>
                </c:pt>
                <c:pt idx="843" formatCode="0.0">
                  <c:v>13320.57</c:v>
                </c:pt>
                <c:pt idx="844" formatCode="0.0">
                  <c:v>13336.59</c:v>
                </c:pt>
                <c:pt idx="845" formatCode="0.0">
                  <c:v>13352.61</c:v>
                </c:pt>
                <c:pt idx="846" formatCode="0.0">
                  <c:v>13368.63</c:v>
                </c:pt>
                <c:pt idx="847" formatCode="0.0">
                  <c:v>13384.66</c:v>
                </c:pt>
                <c:pt idx="848" formatCode="0.0">
                  <c:v>13400.68</c:v>
                </c:pt>
                <c:pt idx="849" formatCode="0.0">
                  <c:v>13416.7</c:v>
                </c:pt>
                <c:pt idx="850" formatCode="0.0">
                  <c:v>13432.73</c:v>
                </c:pt>
                <c:pt idx="851" formatCode="0.0">
                  <c:v>13448.75</c:v>
                </c:pt>
                <c:pt idx="852" formatCode="0.0">
                  <c:v>13464.77</c:v>
                </c:pt>
                <c:pt idx="853" formatCode="0.0">
                  <c:v>13480.8</c:v>
                </c:pt>
                <c:pt idx="854" formatCode="0.0">
                  <c:v>13496.82</c:v>
                </c:pt>
                <c:pt idx="855" formatCode="0.0">
                  <c:v>13512.84</c:v>
                </c:pt>
                <c:pt idx="856" formatCode="0.0">
                  <c:v>13528.87</c:v>
                </c:pt>
                <c:pt idx="857" formatCode="0.0">
                  <c:v>13544.89</c:v>
                </c:pt>
                <c:pt idx="858" formatCode="0.0">
                  <c:v>13560.91</c:v>
                </c:pt>
                <c:pt idx="859" formatCode="0.0">
                  <c:v>13576.93</c:v>
                </c:pt>
                <c:pt idx="860" formatCode="0.0">
                  <c:v>13592.96</c:v>
                </c:pt>
                <c:pt idx="861" formatCode="0.0">
                  <c:v>13608.98</c:v>
                </c:pt>
                <c:pt idx="862" formatCode="0.0">
                  <c:v>13625</c:v>
                </c:pt>
                <c:pt idx="863" formatCode="0.0">
                  <c:v>13641.03</c:v>
                </c:pt>
                <c:pt idx="864" formatCode="0.0">
                  <c:v>13657.05</c:v>
                </c:pt>
                <c:pt idx="865" formatCode="0.0">
                  <c:v>13673.07</c:v>
                </c:pt>
                <c:pt idx="866" formatCode="0.0">
                  <c:v>13689.1</c:v>
                </c:pt>
                <c:pt idx="867" formatCode="0.0">
                  <c:v>13705.12</c:v>
                </c:pt>
                <c:pt idx="868" formatCode="0.0">
                  <c:v>13721.14</c:v>
                </c:pt>
                <c:pt idx="869" formatCode="0.0">
                  <c:v>13737.16</c:v>
                </c:pt>
                <c:pt idx="870" formatCode="0.0">
                  <c:v>13753.19</c:v>
                </c:pt>
                <c:pt idx="871" formatCode="0.0">
                  <c:v>13769.21</c:v>
                </c:pt>
                <c:pt idx="872" formatCode="0.0">
                  <c:v>13785.23</c:v>
                </c:pt>
                <c:pt idx="873" formatCode="0.0">
                  <c:v>13801.26</c:v>
                </c:pt>
                <c:pt idx="874" formatCode="0.0">
                  <c:v>13817.28</c:v>
                </c:pt>
                <c:pt idx="875" formatCode="0.0">
                  <c:v>13833.3</c:v>
                </c:pt>
                <c:pt idx="876" formatCode="0.0">
                  <c:v>13849.33</c:v>
                </c:pt>
                <c:pt idx="877" formatCode="0.0">
                  <c:v>13865.35</c:v>
                </c:pt>
                <c:pt idx="878" formatCode="0.0">
                  <c:v>13881.37</c:v>
                </c:pt>
                <c:pt idx="879" formatCode="0.0">
                  <c:v>13897.4</c:v>
                </c:pt>
                <c:pt idx="880" formatCode="0.0">
                  <c:v>13913.42</c:v>
                </c:pt>
                <c:pt idx="881" formatCode="0.0">
                  <c:v>13929.44</c:v>
                </c:pt>
                <c:pt idx="882" formatCode="0.0">
                  <c:v>13945.46</c:v>
                </c:pt>
                <c:pt idx="883" formatCode="0.0">
                  <c:v>13961.49</c:v>
                </c:pt>
                <c:pt idx="884" formatCode="0.0">
                  <c:v>13977.51</c:v>
                </c:pt>
                <c:pt idx="885" formatCode="0.0">
                  <c:v>13993.53</c:v>
                </c:pt>
                <c:pt idx="886" formatCode="0.0">
                  <c:v>14009.56</c:v>
                </c:pt>
                <c:pt idx="887" formatCode="0.0">
                  <c:v>14025.58</c:v>
                </c:pt>
                <c:pt idx="888" formatCode="0.0">
                  <c:v>14041.6</c:v>
                </c:pt>
                <c:pt idx="889" formatCode="0.0">
                  <c:v>14057.63</c:v>
                </c:pt>
                <c:pt idx="890" formatCode="0.0">
                  <c:v>14073.65</c:v>
                </c:pt>
                <c:pt idx="891" formatCode="0.0">
                  <c:v>14089.67</c:v>
                </c:pt>
                <c:pt idx="892" formatCode="0.0">
                  <c:v>14105.69</c:v>
                </c:pt>
                <c:pt idx="893" formatCode="0.0">
                  <c:v>14121.72</c:v>
                </c:pt>
                <c:pt idx="894" formatCode="0.0">
                  <c:v>14137.74</c:v>
                </c:pt>
                <c:pt idx="895" formatCode="0.0">
                  <c:v>14153.76</c:v>
                </c:pt>
                <c:pt idx="896" formatCode="0.0">
                  <c:v>14169.79</c:v>
                </c:pt>
                <c:pt idx="897" formatCode="0.0">
                  <c:v>14185.81</c:v>
                </c:pt>
                <c:pt idx="898" formatCode="0.0">
                  <c:v>14201.83</c:v>
                </c:pt>
                <c:pt idx="899" formatCode="0.0">
                  <c:v>14217.86</c:v>
                </c:pt>
                <c:pt idx="900" formatCode="0.0">
                  <c:v>14233.88</c:v>
                </c:pt>
                <c:pt idx="901" formatCode="0.0">
                  <c:v>14249.9</c:v>
                </c:pt>
                <c:pt idx="902" formatCode="0.0">
                  <c:v>14265.93</c:v>
                </c:pt>
                <c:pt idx="903" formatCode="0.0">
                  <c:v>14281.95</c:v>
                </c:pt>
                <c:pt idx="904" formatCode="0.0">
                  <c:v>14297.97</c:v>
                </c:pt>
                <c:pt idx="905" formatCode="0.0">
                  <c:v>14313.99</c:v>
                </c:pt>
                <c:pt idx="906" formatCode="0.0">
                  <c:v>14330.02</c:v>
                </c:pt>
                <c:pt idx="907" formatCode="0.0">
                  <c:v>14346.04</c:v>
                </c:pt>
                <c:pt idx="908" formatCode="0.0">
                  <c:v>14362.06</c:v>
                </c:pt>
                <c:pt idx="909" formatCode="0.0">
                  <c:v>14378.09</c:v>
                </c:pt>
                <c:pt idx="910" formatCode="0.0">
                  <c:v>14394.11</c:v>
                </c:pt>
                <c:pt idx="911" formatCode="0.0">
                  <c:v>14410.13</c:v>
                </c:pt>
              </c:numCache>
            </c:numRef>
          </c:xVal>
          <c:yVal>
            <c:numRef>
              <c:f>'NunR-005'!$H$15:$H$926</c:f>
              <c:numCache>
                <c:formatCode>0</c:formatCode>
                <c:ptCount val="912"/>
                <c:pt idx="0">
                  <c:v>0</c:v>
                </c:pt>
                <c:pt idx="1">
                  <c:v>11.870945361903997</c:v>
                </c:pt>
                <c:pt idx="2">
                  <c:v>24.299169609001616</c:v>
                </c:pt>
                <c:pt idx="3">
                  <c:v>36.802335906852861</c:v>
                </c:pt>
                <c:pt idx="4">
                  <c:v>49.370590501282607</c:v>
                </c:pt>
                <c:pt idx="5">
                  <c:v>48.89303581691901</c:v>
                </c:pt>
                <c:pt idx="6">
                  <c:v>47.063635509885742</c:v>
                </c:pt>
                <c:pt idx="7">
                  <c:v>45.21125590016176</c:v>
                </c:pt>
                <c:pt idx="8">
                  <c:v>43.414734188982749</c:v>
                </c:pt>
                <c:pt idx="9">
                  <c:v>41.624696212800472</c:v>
                </c:pt>
                <c:pt idx="10">
                  <c:v>39.861160577697405</c:v>
                </c:pt>
                <c:pt idx="11">
                  <c:v>38.084586968501668</c:v>
                </c:pt>
                <c:pt idx="12">
                  <c:v>36.344078553057443</c:v>
                </c:pt>
                <c:pt idx="13">
                  <c:v>34.630128385382903</c:v>
                </c:pt>
                <c:pt idx="14">
                  <c:v>32.922755155665413</c:v>
                </c:pt>
                <c:pt idx="15">
                  <c:v>31.241977575193715</c:v>
                </c:pt>
                <c:pt idx="16">
                  <c:v>29.548088300818051</c:v>
                </c:pt>
                <c:pt idx="17">
                  <c:v>27.890524683769797</c:v>
                </c:pt>
                <c:pt idx="18">
                  <c:v>26.259612938764803</c:v>
                </c:pt>
                <c:pt idx="19">
                  <c:v>24.635371861673605</c:v>
                </c:pt>
                <c:pt idx="20">
                  <c:v>23.00795982082127</c:v>
                </c:pt>
                <c:pt idx="21">
                  <c:v>21.427082846943335</c:v>
                </c:pt>
                <c:pt idx="22">
                  <c:v>19.852933017929843</c:v>
                </c:pt>
                <c:pt idx="23">
                  <c:v>18.305529214610317</c:v>
                </c:pt>
                <c:pt idx="24">
                  <c:v>16.7348949097439</c:v>
                </c:pt>
                <c:pt idx="25">
                  <c:v>15.221006028120257</c:v>
                </c:pt>
                <c:pt idx="26">
                  <c:v>13.723919904438105</c:v>
                </c:pt>
                <c:pt idx="27">
                  <c:v>12.233655504880119</c:v>
                </c:pt>
                <c:pt idx="28">
                  <c:v>10.74010079685786</c:v>
                </c:pt>
                <c:pt idx="29">
                  <c:v>9.2835028192298523</c:v>
                </c:pt>
                <c:pt idx="30">
                  <c:v>7.853783554425263</c:v>
                </c:pt>
                <c:pt idx="31">
                  <c:v>6.4409620543575556</c:v>
                </c:pt>
                <c:pt idx="32">
                  <c:v>5.0350573924471291</c:v>
                </c:pt>
                <c:pt idx="33">
                  <c:v>3.6257872755022618</c:v>
                </c:pt>
                <c:pt idx="34">
                  <c:v>2.2537393934879901</c:v>
                </c:pt>
                <c:pt idx="35">
                  <c:v>0.90866566055763087</c:v>
                </c:pt>
                <c:pt idx="36">
                  <c:v>-0.42941476364967457</c:v>
                </c:pt>
                <c:pt idx="37">
                  <c:v>-1.7709210598490017</c:v>
                </c:pt>
                <c:pt idx="38">
                  <c:v>-3.0649916585914525</c:v>
                </c:pt>
                <c:pt idx="39">
                  <c:v>-4.3520113786192951</c:v>
                </c:pt>
                <c:pt idx="40">
                  <c:v>-5.6119609736831535</c:v>
                </c:pt>
                <c:pt idx="41">
                  <c:v>-6.8953971308008022</c:v>
                </c:pt>
                <c:pt idx="42">
                  <c:v>-8.1211831630067763</c:v>
                </c:pt>
                <c:pt idx="43">
                  <c:v>-9.3298412400152984</c:v>
                </c:pt>
                <c:pt idx="44">
                  <c:v>-10.531352028583228</c:v>
                </c:pt>
                <c:pt idx="45">
                  <c:v>-11.705696173634237</c:v>
                </c:pt>
                <c:pt idx="46">
                  <c:v>-12.903603136976699</c:v>
                </c:pt>
                <c:pt idx="47">
                  <c:v>-14.043590550251906</c:v>
                </c:pt>
                <c:pt idx="48">
                  <c:v>-15.176353162794157</c:v>
                </c:pt>
                <c:pt idx="49">
                  <c:v>-16.281871532042715</c:v>
                </c:pt>
                <c:pt idx="50">
                  <c:v>-17.401014028695727</c:v>
                </c:pt>
                <c:pt idx="51">
                  <c:v>-18.482020360622641</c:v>
                </c:pt>
                <c:pt idx="52">
                  <c:v>-19.53572402914449</c:v>
                </c:pt>
                <c:pt idx="53">
                  <c:v>-20.582105503813636</c:v>
                </c:pt>
                <c:pt idx="54">
                  <c:v>-21.632172692139193</c:v>
                </c:pt>
                <c:pt idx="55">
                  <c:v>-22.633886121905107</c:v>
                </c:pt>
                <c:pt idx="56">
                  <c:v>-23.628218673622882</c:v>
                </c:pt>
                <c:pt idx="57">
                  <c:v>-24.595150728557542</c:v>
                </c:pt>
                <c:pt idx="58">
                  <c:v>-25.554662645825829</c:v>
                </c:pt>
                <c:pt idx="59">
                  <c:v>-26.517937659038239</c:v>
                </c:pt>
                <c:pt idx="60">
                  <c:v>-27.432585510026001</c:v>
                </c:pt>
                <c:pt idx="61">
                  <c:v>-28.339754207340093</c:v>
                </c:pt>
                <c:pt idx="62">
                  <c:v>-29.21942402132197</c:v>
                </c:pt>
                <c:pt idx="63">
                  <c:v>-30.122919145693459</c:v>
                </c:pt>
                <c:pt idx="64">
                  <c:v>-30.967567294504875</c:v>
                </c:pt>
                <c:pt idx="65">
                  <c:v>-31.794657277200031</c:v>
                </c:pt>
                <c:pt idx="66">
                  <c:v>-32.614169274925416</c:v>
                </c:pt>
                <c:pt idx="67">
                  <c:v>-33.437569078721936</c:v>
                </c:pt>
                <c:pt idx="68">
                  <c:v>-34.221901099988827</c:v>
                </c:pt>
                <c:pt idx="69">
                  <c:v>-34.978595585522498</c:v>
                </c:pt>
                <c:pt idx="70">
                  <c:v>-35.717632626890691</c:v>
                </c:pt>
                <c:pt idx="71">
                  <c:v>-36.448992293175706</c:v>
                </c:pt>
                <c:pt idx="72">
                  <c:v>-37.184318290496776</c:v>
                </c:pt>
                <c:pt idx="73">
                  <c:v>-37.880299064357359</c:v>
                </c:pt>
                <c:pt idx="74">
                  <c:v>-38.54854257565944</c:v>
                </c:pt>
                <c:pt idx="75">
                  <c:v>-39.199028803401688</c:v>
                </c:pt>
                <c:pt idx="76">
                  <c:v>-39.873544495323813</c:v>
                </c:pt>
                <c:pt idx="77">
                  <c:v>-40.488491904540751</c:v>
                </c:pt>
                <c:pt idx="78">
                  <c:v>-41.095621872006859</c:v>
                </c:pt>
                <c:pt idx="79">
                  <c:v>-41.674914286212925</c:v>
                </c:pt>
                <c:pt idx="80">
                  <c:v>-42.2682995831276</c:v>
                </c:pt>
                <c:pt idx="81">
                  <c:v>-42.821892529785828</c:v>
                </c:pt>
                <c:pt idx="82">
                  <c:v>-43.347587493052288</c:v>
                </c:pt>
                <c:pt idx="83">
                  <c:v>-43.865364270508053</c:v>
                </c:pt>
                <c:pt idx="84">
                  <c:v>-44.387297635884806</c:v>
                </c:pt>
                <c:pt idx="85">
                  <c:v>-44.859213570574639</c:v>
                </c:pt>
                <c:pt idx="86">
                  <c:v>-45.323150616155999</c:v>
                </c:pt>
                <c:pt idx="87">
                  <c:v>-45.75908847888968</c:v>
                </c:pt>
                <c:pt idx="88">
                  <c:v>-46.1870068421224</c:v>
                </c:pt>
                <c:pt idx="89">
                  <c:v>-46.61916183799417</c:v>
                </c:pt>
                <c:pt idx="90">
                  <c:v>-47.011016592716487</c:v>
                </c:pt>
                <c:pt idx="91">
                  <c:v>-47.374790801412928</c:v>
                </c:pt>
                <c:pt idx="92">
                  <c:v>-47.720464055593766</c:v>
                </c:pt>
                <c:pt idx="93">
                  <c:v>-48.090438297428818</c:v>
                </c:pt>
                <c:pt idx="94">
                  <c:v>-48.399884921822832</c:v>
                </c:pt>
                <c:pt idx="95">
                  <c:v>-48.701169269223783</c:v>
                </c:pt>
                <c:pt idx="96">
                  <c:v>-48.974270838885104</c:v>
                </c:pt>
                <c:pt idx="97">
                  <c:v>-49.261738042121351</c:v>
                </c:pt>
                <c:pt idx="98">
                  <c:v>-49.508449223804064</c:v>
                </c:pt>
                <c:pt idx="99">
                  <c:v>-49.726916028065943</c:v>
                </c:pt>
                <c:pt idx="100">
                  <c:v>-49.937117861494698</c:v>
                </c:pt>
                <c:pt idx="101">
                  <c:v>-50.151750266647014</c:v>
                </c:pt>
                <c:pt idx="102">
                  <c:v>-50.315397213653569</c:v>
                </c:pt>
                <c:pt idx="103">
                  <c:v>-50.470717311687849</c:v>
                </c:pt>
                <c:pt idx="104">
                  <c:v>-50.597689874252183</c:v>
                </c:pt>
                <c:pt idx="105">
                  <c:v>-50.71629419148735</c:v>
                </c:pt>
                <c:pt idx="106">
                  <c:v>-50.839410674332157</c:v>
                </c:pt>
                <c:pt idx="107">
                  <c:v>-50.911253415115198</c:v>
                </c:pt>
                <c:pt idx="108">
                  <c:v>-50.97466568255777</c:v>
                </c:pt>
                <c:pt idx="109">
                  <c:v>-51.00962667319277</c:v>
                </c:pt>
                <c:pt idx="110">
                  <c:v>-51.069165429966461</c:v>
                </c:pt>
                <c:pt idx="111">
                  <c:v>-51.067198667792809</c:v>
                </c:pt>
                <c:pt idx="112">
                  <c:v>-51.046718119504931</c:v>
                </c:pt>
                <c:pt idx="113">
                  <c:v>-51.017702887597352</c:v>
                </c:pt>
                <c:pt idx="114">
                  <c:v>-50.993331318895798</c:v>
                </c:pt>
                <c:pt idx="115">
                  <c:v>-50.927221406638182</c:v>
                </c:pt>
                <c:pt idx="116">
                  <c:v>-50.832514018890606</c:v>
                </c:pt>
                <c:pt idx="117">
                  <c:v>-50.719188163677472</c:v>
                </c:pt>
                <c:pt idx="118">
                  <c:v>-50.597222825328572</c:v>
                </c:pt>
                <c:pt idx="119">
                  <c:v>-50.479983948943982</c:v>
                </c:pt>
                <c:pt idx="120">
                  <c:v>-50.320714188091188</c:v>
                </c:pt>
                <c:pt idx="121">
                  <c:v>-50.132741797191557</c:v>
                </c:pt>
                <c:pt idx="122">
                  <c:v>-49.92604566557975</c:v>
                </c:pt>
                <c:pt idx="123">
                  <c:v>-49.744142565160246</c:v>
                </c:pt>
                <c:pt idx="124">
                  <c:v>-49.499973380814481</c:v>
                </c:pt>
                <c:pt idx="125">
                  <c:v>-49.247017023398485</c:v>
                </c:pt>
                <c:pt idx="126">
                  <c:v>-48.965252286813438</c:v>
                </c:pt>
                <c:pt idx="127">
                  <c:v>-48.698347451570271</c:v>
                </c:pt>
                <c:pt idx="128">
                  <c:v>-48.388940269750947</c:v>
                </c:pt>
                <c:pt idx="129">
                  <c:v>-48.050660989669723</c:v>
                </c:pt>
                <c:pt idx="130">
                  <c:v>-47.703488309366548</c:v>
                </c:pt>
                <c:pt idx="131">
                  <c:v>-47.361242702827894</c:v>
                </c:pt>
                <c:pt idx="132">
                  <c:v>-46.976257419070407</c:v>
                </c:pt>
                <c:pt idx="133">
                  <c:v>-46.562314727964804</c:v>
                </c:pt>
                <c:pt idx="134">
                  <c:v>-46.12939323125147</c:v>
                </c:pt>
                <c:pt idx="135">
                  <c:v>-45.687471506535985</c:v>
                </c:pt>
                <c:pt idx="136">
                  <c:v>-45.25056125681931</c:v>
                </c:pt>
                <c:pt idx="137">
                  <c:v>-44.770613127187062</c:v>
                </c:pt>
                <c:pt idx="138">
                  <c:v>-44.261600400507177</c:v>
                </c:pt>
                <c:pt idx="139">
                  <c:v>-43.733501557541331</c:v>
                </c:pt>
                <c:pt idx="140">
                  <c:v>-43.230482047168607</c:v>
                </c:pt>
                <c:pt idx="141">
                  <c:v>-42.66418490542037</c:v>
                </c:pt>
                <c:pt idx="142">
                  <c:v>-42.088736987372158</c:v>
                </c:pt>
                <c:pt idx="143">
                  <c:v>-41.484116676506346</c:v>
                </c:pt>
                <c:pt idx="144">
                  <c:v>-40.894643862570319</c:v>
                </c:pt>
                <c:pt idx="145">
                  <c:v>-40.261652582033548</c:v>
                </c:pt>
                <c:pt idx="146">
                  <c:v>-39.599423956375176</c:v>
                </c:pt>
                <c:pt idx="147">
                  <c:v>-38.927936271364615</c:v>
                </c:pt>
                <c:pt idx="148">
                  <c:v>-38.261664555754578</c:v>
                </c:pt>
                <c:pt idx="149">
                  <c:v>-37.541632449646841</c:v>
                </c:pt>
                <c:pt idx="150">
                  <c:v>-36.812276038273922</c:v>
                </c:pt>
                <c:pt idx="151">
                  <c:v>-36.053573509252601</c:v>
                </c:pt>
                <c:pt idx="152">
                  <c:v>-35.275503025572107</c:v>
                </c:pt>
                <c:pt idx="153">
                  <c:v>-34.522734546005722</c:v>
                </c:pt>
                <c:pt idx="154">
                  <c:v>-33.705901701892344</c:v>
                </c:pt>
                <c:pt idx="155">
                  <c:v>-32.869635288289828</c:v>
                </c:pt>
                <c:pt idx="156">
                  <c:v>-32.023913369480852</c:v>
                </c:pt>
                <c:pt idx="157">
                  <c:v>-31.183562625688865</c:v>
                </c:pt>
                <c:pt idx="158">
                  <c:v>-30.298903125784818</c:v>
                </c:pt>
                <c:pt idx="159">
                  <c:v>-29.384722209242227</c:v>
                </c:pt>
                <c:pt idx="160">
                  <c:v>-28.450997841184289</c:v>
                </c:pt>
                <c:pt idx="161">
                  <c:v>-27.542714131715456</c:v>
                </c:pt>
                <c:pt idx="162">
                  <c:v>-26.569876169831787</c:v>
                </c:pt>
                <c:pt idx="163">
                  <c:v>-25.57742854705748</c:v>
                </c:pt>
                <c:pt idx="164">
                  <c:v>-24.575349128904236</c:v>
                </c:pt>
                <c:pt idx="165">
                  <c:v>-23.578780167015339</c:v>
                </c:pt>
                <c:pt idx="166">
                  <c:v>-22.527410346664055</c:v>
                </c:pt>
                <c:pt idx="167">
                  <c:v>-21.466342222271123</c:v>
                </c:pt>
                <c:pt idx="168">
                  <c:v>-20.375553559290893</c:v>
                </c:pt>
                <c:pt idx="169">
                  <c:v>-19.300345465756891</c:v>
                </c:pt>
                <c:pt idx="170">
                  <c:v>-18.180088792966671</c:v>
                </c:pt>
                <c:pt idx="171">
                  <c:v>-17.030044772277506</c:v>
                </c:pt>
                <c:pt idx="172">
                  <c:v>-15.895634104945202</c:v>
                </c:pt>
                <c:pt idx="173">
                  <c:v>-14.715988364574059</c:v>
                </c:pt>
                <c:pt idx="174">
                  <c:v>-13.506488240660019</c:v>
                </c:pt>
                <c:pt idx="175">
                  <c:v>-12.277111322483506</c:v>
                </c:pt>
                <c:pt idx="176">
                  <c:v>-11.073438426386474</c:v>
                </c:pt>
                <c:pt idx="177">
                  <c:v>-9.8042807736401301</c:v>
                </c:pt>
                <c:pt idx="178">
                  <c:v>-8.5151789879569151</c:v>
                </c:pt>
                <c:pt idx="179">
                  <c:v>-7.2161105573140958</c:v>
                </c:pt>
                <c:pt idx="180">
                  <c:v>-5.9228171369263691</c:v>
                </c:pt>
                <c:pt idx="181">
                  <c:v>-4.573788147610685</c:v>
                </c:pt>
                <c:pt idx="182">
                  <c:v>-3.2147248702672186</c:v>
                </c:pt>
                <c:pt idx="183">
                  <c:v>-1.8256046911069461</c:v>
                </c:pt>
                <c:pt idx="184">
                  <c:v>-0.45233083126686324</c:v>
                </c:pt>
                <c:pt idx="185">
                  <c:v>0.96693054354273045</c:v>
                </c:pt>
                <c:pt idx="186">
                  <c:v>2.4163167690139744</c:v>
                </c:pt>
                <c:pt idx="187">
                  <c:v>3.8858505611478904</c:v>
                </c:pt>
                <c:pt idx="188">
                  <c:v>5.3294664025538623</c:v>
                </c:pt>
                <c:pt idx="189">
                  <c:v>6.8393228438621918</c:v>
                </c:pt>
                <c:pt idx="190">
                  <c:v>8.35939510784101</c:v>
                </c:pt>
                <c:pt idx="191">
                  <c:v>9.9097060131739454</c:v>
                </c:pt>
                <c:pt idx="192">
                  <c:v>11.444027012564675</c:v>
                </c:pt>
                <c:pt idx="193">
                  <c:v>13.024842840839483</c:v>
                </c:pt>
                <c:pt idx="194">
                  <c:v>14.635965875012971</c:v>
                </c:pt>
                <c:pt idx="195">
                  <c:v>16.267419036927549</c:v>
                </c:pt>
                <c:pt idx="196">
                  <c:v>17.909225274297569</c:v>
                </c:pt>
                <c:pt idx="197">
                  <c:v>19.544951194989153</c:v>
                </c:pt>
                <c:pt idx="198">
                  <c:v>21.237491379776657</c:v>
                </c:pt>
                <c:pt idx="199">
                  <c:v>22.940453592244467</c:v>
                </c:pt>
                <c:pt idx="200">
                  <c:v>24.637281011076993</c:v>
                </c:pt>
                <c:pt idx="201">
                  <c:v>26.391115169577006</c:v>
                </c:pt>
                <c:pt idx="202">
                  <c:v>28.155440541578173</c:v>
                </c:pt>
                <c:pt idx="203">
                  <c:v>29.95028025661486</c:v>
                </c:pt>
                <c:pt idx="204">
                  <c:v>31.728912242592287</c:v>
                </c:pt>
                <c:pt idx="205">
                  <c:v>33.564808660459676</c:v>
                </c:pt>
                <c:pt idx="206">
                  <c:v>35.411288919931394</c:v>
                </c:pt>
                <c:pt idx="207">
                  <c:v>37.288376255101412</c:v>
                </c:pt>
                <c:pt idx="208">
                  <c:v>39.149182596090213</c:v>
                </c:pt>
                <c:pt idx="209">
                  <c:v>41.067512226059534</c:v>
                </c:pt>
                <c:pt idx="210">
                  <c:v>42.996518744453169</c:v>
                </c:pt>
                <c:pt idx="211">
                  <c:v>44.919189111851665</c:v>
                </c:pt>
                <c:pt idx="212">
                  <c:v>46.899577645840964</c:v>
                </c:pt>
                <c:pt idx="213">
                  <c:v>48.900713117491705</c:v>
                </c:pt>
                <c:pt idx="214">
                  <c:v>50.912618944995302</c:v>
                </c:pt>
                <c:pt idx="215">
                  <c:v>52.918114775867252</c:v>
                </c:pt>
                <c:pt idx="216">
                  <c:v>54.981589681470723</c:v>
                </c:pt>
                <c:pt idx="217">
                  <c:v>57.055905308812726</c:v>
                </c:pt>
                <c:pt idx="218">
                  <c:v>59.161085181945055</c:v>
                </c:pt>
                <c:pt idx="219">
                  <c:v>61.249780878996717</c:v>
                </c:pt>
                <c:pt idx="220">
                  <c:v>62.685864937871884</c:v>
                </c:pt>
                <c:pt idx="221">
                  <c:v>63.419716249611611</c:v>
                </c:pt>
                <c:pt idx="222">
                  <c:v>64.181435429393332</c:v>
                </c:pt>
                <c:pt idx="223">
                  <c:v>64.998570738701801</c:v>
                </c:pt>
                <c:pt idx="224">
                  <c:v>65.833689495003</c:v>
                </c:pt>
                <c:pt idx="225">
                  <c:v>66.714418647740331</c:v>
                </c:pt>
                <c:pt idx="226">
                  <c:v>67.58559995129508</c:v>
                </c:pt>
                <c:pt idx="227">
                  <c:v>68.512508009786416</c:v>
                </c:pt>
                <c:pt idx="228">
                  <c:v>69.409827317419058</c:v>
                </c:pt>
                <c:pt idx="229">
                  <c:v>70.372989981955016</c:v>
                </c:pt>
                <c:pt idx="230">
                  <c:v>71.31652290837792</c:v>
                </c:pt>
                <c:pt idx="231">
                  <c:v>72.278171305195883</c:v>
                </c:pt>
                <c:pt idx="232">
                  <c:v>73.295838355773867</c:v>
                </c:pt>
                <c:pt idx="233">
                  <c:v>74.283814048888416</c:v>
                </c:pt>
                <c:pt idx="234">
                  <c:v>75.337925608490877</c:v>
                </c:pt>
                <c:pt idx="235">
                  <c:v>76.372304608682043</c:v>
                </c:pt>
                <c:pt idx="236">
                  <c:v>77.462936933344736</c:v>
                </c:pt>
                <c:pt idx="237">
                  <c:v>78.533795410436142</c:v>
                </c:pt>
                <c:pt idx="238">
                  <c:v>79.62290235056571</c:v>
                </c:pt>
                <c:pt idx="239">
                  <c:v>80.758439198951237</c:v>
                </c:pt>
                <c:pt idx="240">
                  <c:v>81.884140128039235</c:v>
                </c:pt>
                <c:pt idx="241">
                  <c:v>83.066389038619491</c:v>
                </c:pt>
                <c:pt idx="242">
                  <c:v>84.22876052546917</c:v>
                </c:pt>
                <c:pt idx="243">
                  <c:v>85.447798314104148</c:v>
                </c:pt>
                <c:pt idx="244">
                  <c:v>86.483468489101597</c:v>
                </c:pt>
                <c:pt idx="245">
                  <c:v>86.126398998279456</c:v>
                </c:pt>
                <c:pt idx="246">
                  <c:v>85.784588964902468</c:v>
                </c:pt>
                <c:pt idx="247">
                  <c:v>85.496524491858963</c:v>
                </c:pt>
                <c:pt idx="248">
                  <c:v>85.175313522699525</c:v>
                </c:pt>
                <c:pt idx="249">
                  <c:v>84.917950526657478</c:v>
                </c:pt>
                <c:pt idx="250">
                  <c:v>84.637396928583257</c:v>
                </c:pt>
                <c:pt idx="251">
                  <c:v>84.400793911550863</c:v>
                </c:pt>
                <c:pt idx="252">
                  <c:v>84.150956102535019</c:v>
                </c:pt>
                <c:pt idx="253">
                  <c:v>83.91647974587886</c:v>
                </c:pt>
                <c:pt idx="254">
                  <c:v>83.736108187335049</c:v>
                </c:pt>
                <c:pt idx="255">
                  <c:v>83.522435420443799</c:v>
                </c:pt>
                <c:pt idx="256">
                  <c:v>83.372970548980447</c:v>
                </c:pt>
                <c:pt idx="257">
                  <c:v>83.200160068444347</c:v>
                </c:pt>
                <c:pt idx="258">
                  <c:v>83.081660777100296</c:v>
                </c:pt>
                <c:pt idx="259">
                  <c:v>82.92977139136201</c:v>
                </c:pt>
                <c:pt idx="260">
                  <c:v>82.803346134627645</c:v>
                </c:pt>
                <c:pt idx="261">
                  <c:v>82.731387314958738</c:v>
                </c:pt>
                <c:pt idx="262">
                  <c:v>82.635971540597893</c:v>
                </c:pt>
                <c:pt idx="263">
                  <c:v>82.595125989718326</c:v>
                </c:pt>
                <c:pt idx="264">
                  <c:v>82.530778786648625</c:v>
                </c:pt>
                <c:pt idx="265">
                  <c:v>82.481969467911767</c:v>
                </c:pt>
                <c:pt idx="266">
                  <c:v>82.477886360979028</c:v>
                </c:pt>
                <c:pt idx="267">
                  <c:v>82.46023442267051</c:v>
                </c:pt>
                <c:pt idx="268">
                  <c:v>82.458164783551183</c:v>
                </c:pt>
                <c:pt idx="269">
                  <c:v>82.471692264942249</c:v>
                </c:pt>
                <c:pt idx="270">
                  <c:v>82.461508899222281</c:v>
                </c:pt>
                <c:pt idx="271">
                  <c:v>82.466877623618529</c:v>
                </c:pt>
                <c:pt idx="272">
                  <c:v>82.527210659579396</c:v>
                </c:pt>
                <c:pt idx="273">
                  <c:v>82.583765233512167</c:v>
                </c:pt>
                <c:pt idx="274">
                  <c:v>82.616443979345604</c:v>
                </c:pt>
                <c:pt idx="275">
                  <c:v>82.704168776115694</c:v>
                </c:pt>
                <c:pt idx="276">
                  <c:v>82.817519589075346</c:v>
                </c:pt>
                <c:pt idx="277">
                  <c:v>82.896926597466518</c:v>
                </c:pt>
                <c:pt idx="278">
                  <c:v>83.041536377488228</c:v>
                </c:pt>
                <c:pt idx="279">
                  <c:v>83.182156945993484</c:v>
                </c:pt>
                <c:pt idx="280">
                  <c:v>83.338690545580903</c:v>
                </c:pt>
                <c:pt idx="281">
                  <c:v>83.500774056170485</c:v>
                </c:pt>
                <c:pt idx="282">
                  <c:v>83.678422162077368</c:v>
                </c:pt>
                <c:pt idx="283">
                  <c:v>83.921459298190712</c:v>
                </c:pt>
                <c:pt idx="284">
                  <c:v>84.130318296841324</c:v>
                </c:pt>
                <c:pt idx="285">
                  <c:v>84.354901102893564</c:v>
                </c:pt>
                <c:pt idx="286">
                  <c:v>84.615032177183821</c:v>
                </c:pt>
                <c:pt idx="287">
                  <c:v>84.860766115094521</c:v>
                </c:pt>
                <c:pt idx="288">
                  <c:v>85.152000037082871</c:v>
                </c:pt>
                <c:pt idx="289">
                  <c:v>85.468826175349932</c:v>
                </c:pt>
                <c:pt idx="290">
                  <c:v>85.751186217382383</c:v>
                </c:pt>
                <c:pt idx="291">
                  <c:v>86.08909245614268</c:v>
                </c:pt>
                <c:pt idx="292">
                  <c:v>86.392263062857637</c:v>
                </c:pt>
                <c:pt idx="293">
                  <c:v>86.550116571801482</c:v>
                </c:pt>
                <c:pt idx="294">
                  <c:v>86.713110183450226</c:v>
                </c:pt>
                <c:pt idx="295">
                  <c:v>86.901257919381351</c:v>
                </c:pt>
                <c:pt idx="296">
                  <c:v>87.104573814161995</c:v>
                </c:pt>
                <c:pt idx="297">
                  <c:v>87.282403332781541</c:v>
                </c:pt>
                <c:pt idx="298">
                  <c:v>87.514908743444721</c:v>
                </c:pt>
                <c:pt idx="299">
                  <c:v>87.752400919571301</c:v>
                </c:pt>
                <c:pt idx="300">
                  <c:v>88.014893638381182</c:v>
                </c:pt>
                <c:pt idx="301">
                  <c:v>88.282400689752649</c:v>
                </c:pt>
                <c:pt idx="302">
                  <c:v>88.574935876247764</c:v>
                </c:pt>
                <c:pt idx="303">
                  <c:v>88.871955874280502</c:v>
                </c:pt>
                <c:pt idx="304">
                  <c:v>89.162174738130489</c:v>
                </c:pt>
                <c:pt idx="305">
                  <c:v>89.517797123432501</c:v>
                </c:pt>
                <c:pt idx="306">
                  <c:v>89.837611454659964</c:v>
                </c:pt>
                <c:pt idx="307">
                  <c:v>90.182225243199355</c:v>
                </c:pt>
                <c:pt idx="308">
                  <c:v>90.582394099831617</c:v>
                </c:pt>
                <c:pt idx="309">
                  <c:v>90.966684308971708</c:v>
                </c:pt>
                <c:pt idx="310">
                  <c:v>91.363365714868451</c:v>
                </c:pt>
                <c:pt idx="311">
                  <c:v>91.73382556739034</c:v>
                </c:pt>
                <c:pt idx="312">
                  <c:v>92.169746045306965</c:v>
                </c:pt>
                <c:pt idx="313">
                  <c:v>92.610324316248807</c:v>
                </c:pt>
                <c:pt idx="314">
                  <c:v>93.065573621433032</c:v>
                </c:pt>
                <c:pt idx="315">
                  <c:v>93.535507214035533</c:v>
                </c:pt>
                <c:pt idx="316">
                  <c:v>94.007025547386547</c:v>
                </c:pt>
                <c:pt idx="317">
                  <c:v>94.359810776657469</c:v>
                </c:pt>
                <c:pt idx="318">
                  <c:v>94.151340040995819</c:v>
                </c:pt>
                <c:pt idx="319">
                  <c:v>93.915013945420469</c:v>
                </c:pt>
                <c:pt idx="320">
                  <c:v>93.701917820766539</c:v>
                </c:pt>
                <c:pt idx="321">
                  <c:v>93.533277845555858</c:v>
                </c:pt>
                <c:pt idx="322">
                  <c:v>93.366710890635659</c:v>
                </c:pt>
                <c:pt idx="323">
                  <c:v>93.172122509990913</c:v>
                </c:pt>
                <c:pt idx="324">
                  <c:v>93.042059555130436</c:v>
                </c:pt>
                <c:pt idx="325">
                  <c:v>92.915283262726007</c:v>
                </c:pt>
                <c:pt idx="326">
                  <c:v>92.76041362561682</c:v>
                </c:pt>
                <c:pt idx="327">
                  <c:v>92.67020935767323</c:v>
                </c:pt>
                <c:pt idx="328">
                  <c:v>92.570401676658548</c:v>
                </c:pt>
                <c:pt idx="329">
                  <c:v>92.503784641573475</c:v>
                </c:pt>
                <c:pt idx="330">
                  <c:v>92.408836932583654</c:v>
                </c:pt>
                <c:pt idx="331">
                  <c:v>92.378599530437896</c:v>
                </c:pt>
                <c:pt idx="332">
                  <c:v>92.309983279673361</c:v>
                </c:pt>
                <c:pt idx="333">
                  <c:v>92.296170367540981</c:v>
                </c:pt>
                <c:pt idx="334">
                  <c:v>92.268909180916125</c:v>
                </c:pt>
                <c:pt idx="335">
                  <c:v>92.26291525970646</c:v>
                </c:pt>
                <c:pt idx="336">
                  <c:v>92.269838012926812</c:v>
                </c:pt>
                <c:pt idx="337">
                  <c:v>92.289688285638476</c:v>
                </c:pt>
                <c:pt idx="338">
                  <c:v>92.364290696236822</c:v>
                </c:pt>
                <c:pt idx="339">
                  <c:v>92.410063687098955</c:v>
                </c:pt>
                <c:pt idx="340">
                  <c:v>92.463145076145338</c:v>
                </c:pt>
                <c:pt idx="341">
                  <c:v>92.515150233705754</c:v>
                </c:pt>
                <c:pt idx="342">
                  <c:v>92.631740869045643</c:v>
                </c:pt>
                <c:pt idx="343">
                  <c:v>92.709055739114774</c:v>
                </c:pt>
                <c:pt idx="344">
                  <c:v>92.514866584224364</c:v>
                </c:pt>
                <c:pt idx="345">
                  <c:v>91.692025366187409</c:v>
                </c:pt>
                <c:pt idx="346">
                  <c:v>90.888284340919199</c:v>
                </c:pt>
                <c:pt idx="347">
                  <c:v>90.12567431401385</c:v>
                </c:pt>
                <c:pt idx="348">
                  <c:v>89.342051177055509</c:v>
                </c:pt>
                <c:pt idx="349">
                  <c:v>88.61169635704664</c:v>
                </c:pt>
                <c:pt idx="350">
                  <c:v>87.840280353962953</c:v>
                </c:pt>
                <c:pt idx="351">
                  <c:v>87.132215238364552</c:v>
                </c:pt>
                <c:pt idx="352">
                  <c:v>86.385324319042411</c:v>
                </c:pt>
                <c:pt idx="353">
                  <c:v>85.641932696001277</c:v>
                </c:pt>
                <c:pt idx="354">
                  <c:v>84.952147832402261</c:v>
                </c:pt>
                <c:pt idx="355">
                  <c:v>84.273695038384176</c:v>
                </c:pt>
                <c:pt idx="356">
                  <c:v>83.564167574849307</c:v>
                </c:pt>
                <c:pt idx="357">
                  <c:v>82.908372356132531</c:v>
                </c:pt>
                <c:pt idx="358">
                  <c:v>82.243935733672515</c:v>
                </c:pt>
                <c:pt idx="359">
                  <c:v>81.573381540352784</c:v>
                </c:pt>
                <c:pt idx="360">
                  <c:v>80.956818478423884</c:v>
                </c:pt>
                <c:pt idx="361">
                  <c:v>80.309192123457251</c:v>
                </c:pt>
                <c:pt idx="362">
                  <c:v>79.673026503811343</c:v>
                </c:pt>
                <c:pt idx="363">
                  <c:v>79.090979016135861</c:v>
                </c:pt>
                <c:pt idx="364">
                  <c:v>78.477795166822034</c:v>
                </c:pt>
                <c:pt idx="365">
                  <c:v>77.886099011333499</c:v>
                </c:pt>
                <c:pt idx="366">
                  <c:v>77.338648287122851</c:v>
                </c:pt>
                <c:pt idx="367">
                  <c:v>76.759987960809667</c:v>
                </c:pt>
                <c:pt idx="368">
                  <c:v>76.19284235023315</c:v>
                </c:pt>
                <c:pt idx="369">
                  <c:v>75.680069769683541</c:v>
                </c:pt>
                <c:pt idx="370">
                  <c:v>75.146014174280936</c:v>
                </c:pt>
                <c:pt idx="371">
                  <c:v>74.620583975071895</c:v>
                </c:pt>
                <c:pt idx="372">
                  <c:v>74.116637526433806</c:v>
                </c:pt>
                <c:pt idx="373">
                  <c:v>73.184354987521147</c:v>
                </c:pt>
                <c:pt idx="374">
                  <c:v>70.112287393334555</c:v>
                </c:pt>
                <c:pt idx="375">
                  <c:v>67.058054377875123</c:v>
                </c:pt>
                <c:pt idx="376">
                  <c:v>64.044726504890605</c:v>
                </c:pt>
                <c:pt idx="377">
                  <c:v>61.000019114275347</c:v>
                </c:pt>
                <c:pt idx="378">
                  <c:v>57.996171570016486</c:v>
                </c:pt>
                <c:pt idx="379">
                  <c:v>55.010123353621566</c:v>
                </c:pt>
                <c:pt idx="380">
                  <c:v>51.978703419084013</c:v>
                </c:pt>
                <c:pt idx="381">
                  <c:v>49.008241172111411</c:v>
                </c:pt>
                <c:pt idx="382">
                  <c:v>46.035593256894572</c:v>
                </c:pt>
                <c:pt idx="383">
                  <c:v>43.087505577487718</c:v>
                </c:pt>
                <c:pt idx="384">
                  <c:v>40.103900181603422</c:v>
                </c:pt>
                <c:pt idx="385">
                  <c:v>37.171327697102242</c:v>
                </c:pt>
                <c:pt idx="386">
                  <c:v>34.246534082794824</c:v>
                </c:pt>
                <c:pt idx="387">
                  <c:v>31.286154667913252</c:v>
                </c:pt>
                <c:pt idx="388">
                  <c:v>28.376905989669467</c:v>
                </c:pt>
                <c:pt idx="389">
                  <c:v>25.47545109298153</c:v>
                </c:pt>
                <c:pt idx="390">
                  <c:v>22.528342181106382</c:v>
                </c:pt>
                <c:pt idx="391">
                  <c:v>19.642462018651713</c:v>
                </c:pt>
                <c:pt idx="392">
                  <c:v>16.764390577690392</c:v>
                </c:pt>
                <c:pt idx="393">
                  <c:v>13.850596776173006</c:v>
                </c:pt>
                <c:pt idx="394">
                  <c:v>10.988129924739042</c:v>
                </c:pt>
                <c:pt idx="395">
                  <c:v>8.1234867633747854</c:v>
                </c:pt>
                <c:pt idx="396">
                  <c:v>5.2566722939227475</c:v>
                </c:pt>
                <c:pt idx="397">
                  <c:v>2.4076915214081964</c:v>
                </c:pt>
                <c:pt idx="398">
                  <c:v>-0.44345054593031819</c:v>
                </c:pt>
                <c:pt idx="399">
                  <c:v>-3.2767488966619567</c:v>
                </c:pt>
                <c:pt idx="400">
                  <c:v>-6.1121985161425982</c:v>
                </c:pt>
                <c:pt idx="401">
                  <c:v>-8.9397943865305933</c:v>
                </c:pt>
                <c:pt idx="402">
                  <c:v>-11.769531486776032</c:v>
                </c:pt>
                <c:pt idx="403">
                  <c:v>-14.581404792612375</c:v>
                </c:pt>
                <c:pt idx="404">
                  <c:v>-17.39540927656526</c:v>
                </c:pt>
                <c:pt idx="405">
                  <c:v>-20.157668655308044</c:v>
                </c:pt>
                <c:pt idx="406">
                  <c:v>-22.955892352478259</c:v>
                </c:pt>
                <c:pt idx="407">
                  <c:v>-25.756232108116819</c:v>
                </c:pt>
                <c:pt idx="408">
                  <c:v>-28.524727332242037</c:v>
                </c:pt>
                <c:pt idx="409">
                  <c:v>-30.395576193515808</c:v>
                </c:pt>
                <c:pt idx="410">
                  <c:v>-31.739101252511318</c:v>
                </c:pt>
                <c:pt idx="411">
                  <c:v>-33.018706735662818</c:v>
                </c:pt>
                <c:pt idx="412">
                  <c:v>-34.342451569171317</c:v>
                </c:pt>
                <c:pt idx="413">
                  <c:v>-35.646311419202902</c:v>
                </c:pt>
                <c:pt idx="414">
                  <c:v>-36.886135923232359</c:v>
                </c:pt>
                <c:pt idx="415">
                  <c:v>-38.160173077862964</c:v>
                </c:pt>
                <c:pt idx="416">
                  <c:v>-39.424304025072161</c:v>
                </c:pt>
                <c:pt idx="417">
                  <c:v>-40.688521687607135</c:v>
                </c:pt>
                <c:pt idx="418">
                  <c:v>-41.932818983156722</c:v>
                </c:pt>
                <c:pt idx="419">
                  <c:v>-43.14718882435227</c:v>
                </c:pt>
                <c:pt idx="420">
                  <c:v>-44.375956980265073</c:v>
                </c:pt>
                <c:pt idx="421">
                  <c:v>-45.55048230293869</c:v>
                </c:pt>
                <c:pt idx="422">
                  <c:v>-46.759455029655328</c:v>
                </c:pt>
                <c:pt idx="423">
                  <c:v>-47.958535258980191</c:v>
                </c:pt>
                <c:pt idx="424">
                  <c:v>-49.147715945964592</c:v>
                </c:pt>
                <c:pt idx="425">
                  <c:v>-50.302498994678899</c:v>
                </c:pt>
                <c:pt idx="426">
                  <c:v>-51.487304926235083</c:v>
                </c:pt>
                <c:pt idx="427">
                  <c:v>-52.607571871567416</c:v>
                </c:pt>
                <c:pt idx="428">
                  <c:v>-53.772370348903678</c:v>
                </c:pt>
                <c:pt idx="429">
                  <c:v>-54.872551759788621</c:v>
                </c:pt>
                <c:pt idx="430">
                  <c:v>-56.017314139416158</c:v>
                </c:pt>
                <c:pt idx="431">
                  <c:v>-57.117381260592083</c:v>
                </c:pt>
                <c:pt idx="432">
                  <c:v>-58.207935265317246</c:v>
                </c:pt>
                <c:pt idx="433">
                  <c:v>-59.343016377876666</c:v>
                </c:pt>
                <c:pt idx="434">
                  <c:v>-60.413155734638167</c:v>
                </c:pt>
                <c:pt idx="435">
                  <c:v>-61.473060591842113</c:v>
                </c:pt>
                <c:pt idx="436">
                  <c:v>-62.577567240564349</c:v>
                </c:pt>
                <c:pt idx="437">
                  <c:v>-63.617013292004231</c:v>
                </c:pt>
                <c:pt idx="438">
                  <c:v>-64.67620270621228</c:v>
                </c:pt>
                <c:pt idx="439">
                  <c:v>-65.725128085537108</c:v>
                </c:pt>
                <c:pt idx="440">
                  <c:v>-66.763782027006528</c:v>
                </c:pt>
                <c:pt idx="441">
                  <c:v>-67.027047581336774</c:v>
                </c:pt>
                <c:pt idx="442">
                  <c:v>-67.143768581698168</c:v>
                </c:pt>
                <c:pt idx="443">
                  <c:v>-67.238855062815674</c:v>
                </c:pt>
                <c:pt idx="444">
                  <c:v>-67.362298103615103</c:v>
                </c:pt>
                <c:pt idx="445">
                  <c:v>-67.418943210032921</c:v>
                </c:pt>
                <c:pt idx="446">
                  <c:v>-67.519037963006667</c:v>
                </c:pt>
                <c:pt idx="447">
                  <c:v>-67.59746244481812</c:v>
                </c:pt>
                <c:pt idx="448">
                  <c:v>-67.628958108525694</c:v>
                </c:pt>
                <c:pt idx="449">
                  <c:v>-67.683980499311474</c:v>
                </c:pt>
                <c:pt idx="450">
                  <c:v>-67.7019866054452</c:v>
                </c:pt>
                <c:pt idx="451">
                  <c:v>-67.753570949777895</c:v>
                </c:pt>
                <c:pt idx="452">
                  <c:v>-67.738051408518913</c:v>
                </c:pt>
                <c:pt idx="453">
                  <c:v>-67.766161695720257</c:v>
                </c:pt>
                <c:pt idx="454">
                  <c:v>-67.737080361808694</c:v>
                </c:pt>
                <c:pt idx="455">
                  <c:v>-67.696187079737683</c:v>
                </c:pt>
                <c:pt idx="456">
                  <c:v>-67.684529527979066</c:v>
                </c:pt>
                <c:pt idx="457">
                  <c:v>-67.615618357577659</c:v>
                </c:pt>
                <c:pt idx="458">
                  <c:v>-67.57053606991667</c:v>
                </c:pt>
                <c:pt idx="459">
                  <c:v>-67.478112458870783</c:v>
                </c:pt>
                <c:pt idx="460">
                  <c:v>-67.419569551803761</c:v>
                </c:pt>
                <c:pt idx="461">
                  <c:v>-67.293597482261248</c:v>
                </c:pt>
                <c:pt idx="462">
                  <c:v>-67.181558017314273</c:v>
                </c:pt>
                <c:pt idx="463">
                  <c:v>-67.093547004883476</c:v>
                </c:pt>
                <c:pt idx="464">
                  <c:v>-66.938044975197954</c:v>
                </c:pt>
                <c:pt idx="465">
                  <c:v>-66.826623369955087</c:v>
                </c:pt>
                <c:pt idx="466">
                  <c:v>-66.657622940975671</c:v>
                </c:pt>
                <c:pt idx="467">
                  <c:v>-66.466842320547585</c:v>
                </c:pt>
                <c:pt idx="468">
                  <c:v>-66.320220270162281</c:v>
                </c:pt>
                <c:pt idx="469">
                  <c:v>-66.10588736916543</c:v>
                </c:pt>
                <c:pt idx="470">
                  <c:v>-66.073818412399305</c:v>
                </c:pt>
                <c:pt idx="471">
                  <c:v>-66.720986296755655</c:v>
                </c:pt>
                <c:pt idx="472">
                  <c:v>-67.393712966420026</c:v>
                </c:pt>
                <c:pt idx="473">
                  <c:v>-68.065973271854091</c:v>
                </c:pt>
                <c:pt idx="474">
                  <c:v>-68.727759687976686</c:v>
                </c:pt>
                <c:pt idx="475">
                  <c:v>-69.369064684282421</c:v>
                </c:pt>
                <c:pt idx="476">
                  <c:v>-70.009880724863251</c:v>
                </c:pt>
                <c:pt idx="477">
                  <c:v>-70.640200268381705</c:v>
                </c:pt>
                <c:pt idx="478">
                  <c:v>-71.250015768083358</c:v>
                </c:pt>
                <c:pt idx="479">
                  <c:v>-71.859319671796584</c:v>
                </c:pt>
                <c:pt idx="480">
                  <c:v>-72.448104421899188</c:v>
                </c:pt>
                <c:pt idx="481">
                  <c:v>-73.016362455357012</c:v>
                </c:pt>
                <c:pt idx="482">
                  <c:v>-73.584086203690276</c:v>
                </c:pt>
                <c:pt idx="483">
                  <c:v>-74.131268092965001</c:v>
                </c:pt>
                <c:pt idx="484">
                  <c:v>-74.667900543820906</c:v>
                </c:pt>
                <c:pt idx="485">
                  <c:v>-75.240492392002125</c:v>
                </c:pt>
                <c:pt idx="486">
                  <c:v>-75.766036650412389</c:v>
                </c:pt>
                <c:pt idx="487">
                  <c:v>-76.271008723630075</c:v>
                </c:pt>
                <c:pt idx="488">
                  <c:v>-76.76540101048522</c:v>
                </c:pt>
                <c:pt idx="489">
                  <c:v>-77.259205904336341</c:v>
                </c:pt>
                <c:pt idx="490">
                  <c:v>-77.732415793084328</c:v>
                </c:pt>
                <c:pt idx="491">
                  <c:v>-78.241740400272647</c:v>
                </c:pt>
                <c:pt idx="492">
                  <c:v>-78.693771009348893</c:v>
                </c:pt>
                <c:pt idx="493">
                  <c:v>-79.161968204677578</c:v>
                </c:pt>
                <c:pt idx="494">
                  <c:v>-79.562789116481326</c:v>
                </c:pt>
                <c:pt idx="495">
                  <c:v>-80.009828556850152</c:v>
                </c:pt>
                <c:pt idx="496">
                  <c:v>-80.436294516775888</c:v>
                </c:pt>
                <c:pt idx="497">
                  <c:v>-80.815260608826065</c:v>
                </c:pt>
                <c:pt idx="498">
                  <c:v>-81.220523241521732</c:v>
                </c:pt>
                <c:pt idx="499">
                  <c:v>-81.612175706409289</c:v>
                </c:pt>
                <c:pt idx="500">
                  <c:v>-81.993291565117943</c:v>
                </c:pt>
                <c:pt idx="501">
                  <c:v>-82.373863290021291</c:v>
                </c:pt>
                <c:pt idx="502">
                  <c:v>-82.592622436678539</c:v>
                </c:pt>
                <c:pt idx="503">
                  <c:v>-82.659255811535331</c:v>
                </c:pt>
                <c:pt idx="504">
                  <c:v>-82.714914529752605</c:v>
                </c:pt>
                <c:pt idx="505">
                  <c:v>-82.749590600875308</c:v>
                </c:pt>
                <c:pt idx="506">
                  <c:v>-82.773276028625332</c:v>
                </c:pt>
                <c:pt idx="507">
                  <c:v>-82.775962810909732</c:v>
                </c:pt>
                <c:pt idx="508">
                  <c:v>-82.777642939805446</c:v>
                </c:pt>
                <c:pt idx="509">
                  <c:v>-82.815635986936286</c:v>
                </c:pt>
                <c:pt idx="510">
                  <c:v>-82.795313220349271</c:v>
                </c:pt>
                <c:pt idx="511">
                  <c:v>-82.733959766695989</c:v>
                </c:pt>
                <c:pt idx="512">
                  <c:v>-82.708998522683032</c:v>
                </c:pt>
                <c:pt idx="513">
                  <c:v>-82.673059482566714</c:v>
                </c:pt>
                <c:pt idx="514">
                  <c:v>-82.626134678585913</c:v>
                </c:pt>
                <c:pt idx="515">
                  <c:v>-82.568216137205127</c:v>
                </c:pt>
                <c:pt idx="516">
                  <c:v>-82.451727098424271</c:v>
                </c:pt>
                <c:pt idx="517">
                  <c:v>-82.389365919137163</c:v>
                </c:pt>
                <c:pt idx="518">
                  <c:v>-82.24841826642205</c:v>
                </c:pt>
                <c:pt idx="519">
                  <c:v>-82.154117248862349</c:v>
                </c:pt>
                <c:pt idx="520">
                  <c:v>-82.048851632580408</c:v>
                </c:pt>
                <c:pt idx="521">
                  <c:v>-81.884872149996227</c:v>
                </c:pt>
                <c:pt idx="522">
                  <c:v>-81.747618988551039</c:v>
                </c:pt>
                <c:pt idx="523">
                  <c:v>-81.589377386490014</c:v>
                </c:pt>
                <c:pt idx="524">
                  <c:v>-81.410139393359714</c:v>
                </c:pt>
                <c:pt idx="525">
                  <c:v>-81.26777670654883</c:v>
                </c:pt>
                <c:pt idx="526">
                  <c:v>-81.066556699215653</c:v>
                </c:pt>
                <c:pt idx="527">
                  <c:v>-80.854316439923423</c:v>
                </c:pt>
                <c:pt idx="528">
                  <c:v>-80.63104795518484</c:v>
                </c:pt>
                <c:pt idx="529">
                  <c:v>-80.434761530163087</c:v>
                </c:pt>
                <c:pt idx="530">
                  <c:v>-80.169447393658629</c:v>
                </c:pt>
                <c:pt idx="531">
                  <c:v>-79.951168767298441</c:v>
                </c:pt>
                <c:pt idx="532">
                  <c:v>-79.663777116305937</c:v>
                </c:pt>
                <c:pt idx="533">
                  <c:v>-79.471631560565584</c:v>
                </c:pt>
                <c:pt idx="534">
                  <c:v>-79.499505564170249</c:v>
                </c:pt>
                <c:pt idx="535">
                  <c:v>-79.546778244226516</c:v>
                </c:pt>
                <c:pt idx="536">
                  <c:v>-79.535182741936296</c:v>
                </c:pt>
                <c:pt idx="537">
                  <c:v>-79.56119611693066</c:v>
                </c:pt>
                <c:pt idx="538">
                  <c:v>-79.538257835993136</c:v>
                </c:pt>
                <c:pt idx="539">
                  <c:v>-79.542981760774637</c:v>
                </c:pt>
                <c:pt idx="540">
                  <c:v>-79.488670437678593</c:v>
                </c:pt>
                <c:pt idx="541">
                  <c:v>-79.482074724344784</c:v>
                </c:pt>
                <c:pt idx="542">
                  <c:v>-79.406360052656964</c:v>
                </c:pt>
                <c:pt idx="543">
                  <c:v>-79.36841447050756</c:v>
                </c:pt>
                <c:pt idx="544">
                  <c:v>-79.281266100837456</c:v>
                </c:pt>
                <c:pt idx="545">
                  <c:v>-79.221940376299244</c:v>
                </c:pt>
                <c:pt idx="546">
                  <c:v>-79.103327916194758</c:v>
                </c:pt>
                <c:pt idx="547">
                  <c:v>-79.022591732778892</c:v>
                </c:pt>
                <c:pt idx="548">
                  <c:v>-78.901156145513596</c:v>
                </c:pt>
                <c:pt idx="549">
                  <c:v>-78.827719311320834</c:v>
                </c:pt>
                <c:pt idx="550">
                  <c:v>-78.684896662443862</c:v>
                </c:pt>
                <c:pt idx="551">
                  <c:v>-78.54135190539273</c:v>
                </c:pt>
                <c:pt idx="552">
                  <c:v>-78.377077453227685</c:v>
                </c:pt>
                <c:pt idx="553">
                  <c:v>-78.202065713638149</c:v>
                </c:pt>
                <c:pt idx="554">
                  <c:v>-78.045187270005044</c:v>
                </c:pt>
                <c:pt idx="555">
                  <c:v>-73.513963343046271</c:v>
                </c:pt>
                <c:pt idx="556">
                  <c:v>-68.877090926163874</c:v>
                </c:pt>
                <c:pt idx="557">
                  <c:v>-64.212309721800921</c:v>
                </c:pt>
                <c:pt idx="558">
                  <c:v>-59.539603388848263</c:v>
                </c:pt>
                <c:pt idx="559">
                  <c:v>-54.838955571305632</c:v>
                </c:pt>
                <c:pt idx="560">
                  <c:v>-50.129495952227444</c:v>
                </c:pt>
                <c:pt idx="561">
                  <c:v>-45.402151667738508</c:v>
                </c:pt>
                <c:pt idx="562">
                  <c:v>-40.656906439478917</c:v>
                </c:pt>
                <c:pt idx="563">
                  <c:v>-35.903743974242389</c:v>
                </c:pt>
                <c:pt idx="564">
                  <c:v>-31.122647964017233</c:v>
                </c:pt>
                <c:pt idx="565">
                  <c:v>-26.323602085934908</c:v>
                </c:pt>
                <c:pt idx="566">
                  <c:v>-22.24780238229323</c:v>
                </c:pt>
                <c:pt idx="567">
                  <c:v>-18.204800640314716</c:v>
                </c:pt>
                <c:pt idx="568">
                  <c:v>-14.204711906288139</c:v>
                </c:pt>
                <c:pt idx="569">
                  <c:v>-10.128565641951354</c:v>
                </c:pt>
                <c:pt idx="570">
                  <c:v>-6.0853898520344956</c:v>
                </c:pt>
                <c:pt idx="571">
                  <c:v>-3.6137481240384659</c:v>
                </c:pt>
                <c:pt idx="572">
                  <c:v>-3.8599596960666531</c:v>
                </c:pt>
                <c:pt idx="573">
                  <c:v>-4.0365156216375908</c:v>
                </c:pt>
                <c:pt idx="574">
                  <c:v>-4.262761123236487</c:v>
                </c:pt>
                <c:pt idx="575">
                  <c:v>-4.4292701925660367</c:v>
                </c:pt>
                <c:pt idx="576">
                  <c:v>-4.6255225856348261</c:v>
                </c:pt>
                <c:pt idx="577">
                  <c:v>-4.8217850973851455</c:v>
                </c:pt>
                <c:pt idx="578">
                  <c:v>-4.9881898610565258</c:v>
                </c:pt>
                <c:pt idx="579">
                  <c:v>-5.1046287025783386</c:v>
                </c:pt>
                <c:pt idx="580">
                  <c:v>-5.2608510366098926</c:v>
                </c:pt>
                <c:pt idx="581">
                  <c:v>-5.4069888006742985</c:v>
                </c:pt>
                <c:pt idx="582">
                  <c:v>-5.5430351573395455</c:v>
                </c:pt>
                <c:pt idx="583">
                  <c:v>-5.6689832645242859</c:v>
                </c:pt>
                <c:pt idx="584">
                  <c:v>-5.7547617493946746</c:v>
                </c:pt>
                <c:pt idx="585">
                  <c:v>-5.8403602842663531</c:v>
                </c:pt>
                <c:pt idx="586">
                  <c:v>-5.9157719438753702</c:v>
                </c:pt>
                <c:pt idx="587">
                  <c:v>-6.0311565684605739</c:v>
                </c:pt>
                <c:pt idx="588">
                  <c:v>-6.0762078105963155</c:v>
                </c:pt>
                <c:pt idx="589">
                  <c:v>-6.1210513965743303</c:v>
                </c:pt>
                <c:pt idx="590">
                  <c:v>-6.1756803822590882</c:v>
                </c:pt>
                <c:pt idx="591">
                  <c:v>-6.220087818805041</c:v>
                </c:pt>
                <c:pt idx="592">
                  <c:v>-6.2139291113289801</c:v>
                </c:pt>
                <c:pt idx="593">
                  <c:v>-6.2478383401485189</c:v>
                </c:pt>
                <c:pt idx="594">
                  <c:v>-6.2615051216089341</c:v>
                </c:pt>
                <c:pt idx="595">
                  <c:v>-6.224481930006732</c:v>
                </c:pt>
                <c:pt idx="596">
                  <c:v>-6.2376085946307285</c:v>
                </c:pt>
                <c:pt idx="597">
                  <c:v>-6.2099625468017621</c:v>
                </c:pt>
                <c:pt idx="598">
                  <c:v>-6.1619772921058029</c:v>
                </c:pt>
                <c:pt idx="599">
                  <c:v>-6.2553803257633263</c:v>
                </c:pt>
                <c:pt idx="600">
                  <c:v>-6.6016956392213615</c:v>
                </c:pt>
                <c:pt idx="601">
                  <c:v>-6.9788411721183365</c:v>
                </c:pt>
                <c:pt idx="602">
                  <c:v>-7.2648748646315653</c:v>
                </c:pt>
                <c:pt idx="603">
                  <c:v>-7.6017257310268178</c:v>
                </c:pt>
                <c:pt idx="604">
                  <c:v>-7.9287420622840727</c:v>
                </c:pt>
                <c:pt idx="605">
                  <c:v>-8.2559173248009756</c:v>
                </c:pt>
                <c:pt idx="606">
                  <c:v>-8.5124312299194571</c:v>
                </c:pt>
                <c:pt idx="607">
                  <c:v>-8.8098709783989761</c:v>
                </c:pt>
                <c:pt idx="608">
                  <c:v>-9.1056870820575568</c:v>
                </c:pt>
                <c:pt idx="609">
                  <c:v>-9.3478368573287298</c:v>
                </c:pt>
                <c:pt idx="610">
                  <c:v>-9.6306532194812462</c:v>
                </c:pt>
                <c:pt idx="611">
                  <c:v>-9.8522626589074207</c:v>
                </c:pt>
                <c:pt idx="612">
                  <c:v>-10.114593755995884</c:v>
                </c:pt>
                <c:pt idx="613">
                  <c:v>-10.315635043813018</c:v>
                </c:pt>
                <c:pt idx="614">
                  <c:v>-10.557453134651951</c:v>
                </c:pt>
                <c:pt idx="615">
                  <c:v>-10.737898417422912</c:v>
                </c:pt>
                <c:pt idx="616">
                  <c:v>-10.959175723250155</c:v>
                </c:pt>
                <c:pt idx="617">
                  <c:v>-11.118997109817428</c:v>
                </c:pt>
                <c:pt idx="618">
                  <c:v>-11.319705814257759</c:v>
                </c:pt>
                <c:pt idx="619">
                  <c:v>-11.458875375697971</c:v>
                </c:pt>
                <c:pt idx="620">
                  <c:v>-11.640283971320969</c:v>
                </c:pt>
                <c:pt idx="621">
                  <c:v>-11.775462399331445</c:v>
                </c:pt>
                <c:pt idx="622">
                  <c:v>-11.900618161225793</c:v>
                </c:pt>
                <c:pt idx="623">
                  <c:v>-12.015744575595818</c:v>
                </c:pt>
                <c:pt idx="624">
                  <c:v>-12.120834956573162</c:v>
                </c:pt>
                <c:pt idx="625">
                  <c:v>-12.215882613834765</c:v>
                </c:pt>
                <c:pt idx="626">
                  <c:v>-12.300880852599221</c:v>
                </c:pt>
                <c:pt idx="627">
                  <c:v>-12.415822973622198</c:v>
                </c:pt>
                <c:pt idx="628">
                  <c:v>-12.469131721887607</c:v>
                </c:pt>
                <c:pt idx="629">
                  <c:v>-12.512302066168559</c:v>
                </c:pt>
                <c:pt idx="630">
                  <c:v>-12.596966790919396</c:v>
                </c:pt>
                <c:pt idx="631">
                  <c:v>-12.619874519803489</c:v>
                </c:pt>
                <c:pt idx="632">
                  <c:v>-12.684332064911359</c:v>
                </c:pt>
                <c:pt idx="633">
                  <c:v>-12.745206964094905</c:v>
                </c:pt>
                <c:pt idx="634">
                  <c:v>-12.837618084467977</c:v>
                </c:pt>
                <c:pt idx="635">
                  <c:v>-12.971662455636761</c:v>
                </c:pt>
                <c:pt idx="636">
                  <c:v>-13.105590076464068</c:v>
                </c:pt>
                <c:pt idx="637">
                  <c:v>-13.167512710811934</c:v>
                </c:pt>
                <c:pt idx="638">
                  <c:v>-13.281152008303252</c:v>
                </c:pt>
                <c:pt idx="639">
                  <c:v>-13.340752558846361</c:v>
                </c:pt>
                <c:pt idx="640">
                  <c:v>-13.400070331445022</c:v>
                </c:pt>
                <c:pt idx="641">
                  <c:v>-13.501119107884733</c:v>
                </c:pt>
                <c:pt idx="642">
                  <c:v>-13.539885530497486</c:v>
                </c:pt>
                <c:pt idx="643">
                  <c:v>-13.568348479862834</c:v>
                </c:pt>
                <c:pt idx="644">
                  <c:v>-13.586501040472285</c:v>
                </c:pt>
                <c:pt idx="645">
                  <c:v>-13.61433629217936</c:v>
                </c:pt>
                <c:pt idx="646">
                  <c:v>-13.641847310191224</c:v>
                </c:pt>
                <c:pt idx="647">
                  <c:v>-13.596796637742955</c:v>
                </c:pt>
                <c:pt idx="648">
                  <c:v>-13.603603339199253</c:v>
                </c:pt>
                <c:pt idx="649">
                  <c:v>-13.590064981150135</c:v>
                </c:pt>
                <c:pt idx="650">
                  <c:v>-13.523838734628953</c:v>
                </c:pt>
                <c:pt idx="651">
                  <c:v>-13.497183164177841</c:v>
                </c:pt>
                <c:pt idx="652">
                  <c:v>-13.417684725554864</c:v>
                </c:pt>
                <c:pt idx="653">
                  <c:v>-13.39011413777007</c:v>
                </c:pt>
                <c:pt idx="654">
                  <c:v>-13.299615866117165</c:v>
                </c:pt>
                <c:pt idx="655">
                  <c:v>-13.188589321611289</c:v>
                </c:pt>
                <c:pt idx="656">
                  <c:v>-13.129575586066494</c:v>
                </c:pt>
                <c:pt idx="657">
                  <c:v>-12.994922951978879</c:v>
                </c:pt>
                <c:pt idx="658">
                  <c:v>-12.879649526796129</c:v>
                </c:pt>
                <c:pt idx="659">
                  <c:v>-12.743748109505759</c:v>
                </c:pt>
                <c:pt idx="660">
                  <c:v>-12.607211494236253</c:v>
                </c:pt>
                <c:pt idx="661">
                  <c:v>-12.460032470207807</c:v>
                </c:pt>
                <c:pt idx="662">
                  <c:v>-12.292203821765725</c:v>
                </c:pt>
                <c:pt idx="663">
                  <c:v>-12.120920226952876</c:v>
                </c:pt>
                <c:pt idx="664">
                  <c:v>-11.916066706906349</c:v>
                </c:pt>
                <c:pt idx="665">
                  <c:v>-11.76326829464233</c:v>
                </c:pt>
                <c:pt idx="666">
                  <c:v>-11.536813291484577</c:v>
                </c:pt>
                <c:pt idx="667">
                  <c:v>-11.309528449808568</c:v>
                </c:pt>
                <c:pt idx="668">
                  <c:v>-11.008427840153672</c:v>
                </c:pt>
                <c:pt idx="669">
                  <c:v>-10.696410160026062</c:v>
                </c:pt>
                <c:pt idx="670">
                  <c:v>-10.383467932990243</c:v>
                </c:pt>
                <c:pt idx="671">
                  <c:v>-10.04959367750962</c:v>
                </c:pt>
                <c:pt idx="672">
                  <c:v>-9.7147799069134635</c:v>
                </c:pt>
                <c:pt idx="673">
                  <c:v>-9.3590191294097167</c:v>
                </c:pt>
                <c:pt idx="674">
                  <c:v>-9.0555004488123814</c:v>
                </c:pt>
                <c:pt idx="675">
                  <c:v>-8.6646265608287649</c:v>
                </c:pt>
                <c:pt idx="676">
                  <c:v>-8.2894404214348469</c:v>
                </c:pt>
                <c:pt idx="677">
                  <c:v>-7.9031308472804085</c:v>
                </c:pt>
                <c:pt idx="678">
                  <c:v>-7.5056901699826994</c:v>
                </c:pt>
                <c:pt idx="679">
                  <c:v>-7.0971107158693485</c:v>
                </c:pt>
                <c:pt idx="680">
                  <c:v>-6.6673848059799639</c:v>
                </c:pt>
                <c:pt idx="681">
                  <c:v>-6.2030510329568642</c:v>
                </c:pt>
                <c:pt idx="682">
                  <c:v>-5.787481607776499</c:v>
                </c:pt>
                <c:pt idx="683">
                  <c:v>-5.3071409444564779</c:v>
                </c:pt>
                <c:pt idx="684">
                  <c:v>-4.8690398722610553</c:v>
                </c:pt>
                <c:pt idx="685">
                  <c:v>-4.3560777833063185</c:v>
                </c:pt>
                <c:pt idx="686">
                  <c:v>-3.84177462767002</c:v>
                </c:pt>
                <c:pt idx="687">
                  <c:v>-3.3697989633928955</c:v>
                </c:pt>
                <c:pt idx="688">
                  <c:v>-2.8328273071183503</c:v>
                </c:pt>
                <c:pt idx="689">
                  <c:v>-2.3282418118305941</c:v>
                </c:pt>
                <c:pt idx="690">
                  <c:v>-1.7685702343969751</c:v>
                </c:pt>
                <c:pt idx="691">
                  <c:v>-1.2513435688833852</c:v>
                </c:pt>
                <c:pt idx="692">
                  <c:v>-0.66894060619779339</c:v>
                </c:pt>
                <c:pt idx="693">
                  <c:v>-7.514144947163004E-2</c:v>
                </c:pt>
                <c:pt idx="694">
                  <c:v>0.49006180958895129</c:v>
                </c:pt>
                <c:pt idx="695">
                  <c:v>1.0666770847674343</c:v>
                </c:pt>
                <c:pt idx="696">
                  <c:v>1.708724644704489</c:v>
                </c:pt>
                <c:pt idx="697">
                  <c:v>2.3082251968844503</c:v>
                </c:pt>
                <c:pt idx="698">
                  <c:v>2.9732490267651883</c:v>
                </c:pt>
                <c:pt idx="699">
                  <c:v>3.5856666811960167</c:v>
                </c:pt>
                <c:pt idx="700">
                  <c:v>3.6779160545502236</c:v>
                </c:pt>
                <c:pt idx="701">
                  <c:v>3.5098985752811132</c:v>
                </c:pt>
                <c:pt idx="702">
                  <c:v>3.4064808405364602</c:v>
                </c:pt>
                <c:pt idx="703">
                  <c:v>3.2592395913725341</c:v>
                </c:pt>
                <c:pt idx="704">
                  <c:v>3.1123788539389352</c:v>
                </c:pt>
                <c:pt idx="705">
                  <c:v>3.0402459618308058</c:v>
                </c:pt>
                <c:pt idx="706">
                  <c:v>2.9285791157781205</c:v>
                </c:pt>
                <c:pt idx="707">
                  <c:v>2.8173852451218409</c:v>
                </c:pt>
                <c:pt idx="708">
                  <c:v>2.7611198965951189</c:v>
                </c:pt>
                <c:pt idx="709">
                  <c:v>2.6709288323690998</c:v>
                </c:pt>
                <c:pt idx="710">
                  <c:v>2.6457524421257403</c:v>
                </c:pt>
                <c:pt idx="711">
                  <c:v>2.5765920523681416</c:v>
                </c:pt>
                <c:pt idx="712">
                  <c:v>2.572532602778665</c:v>
                </c:pt>
                <c:pt idx="713">
                  <c:v>2.5144307925020257</c:v>
                </c:pt>
                <c:pt idx="714">
                  <c:v>2.5315163030463737</c:v>
                </c:pt>
                <c:pt idx="715">
                  <c:v>2.504501014309426</c:v>
                </c:pt>
                <c:pt idx="716">
                  <c:v>2.4880213677188294</c:v>
                </c:pt>
                <c:pt idx="717">
                  <c:v>2.5268587535774714</c:v>
                </c:pt>
                <c:pt idx="718">
                  <c:v>2.5463183916053822</c:v>
                </c:pt>
                <c:pt idx="719">
                  <c:v>2.6012546817819384</c:v>
                </c:pt>
                <c:pt idx="720">
                  <c:v>2.6120164377207402</c:v>
                </c:pt>
                <c:pt idx="721">
                  <c:v>2.6983420232118078</c:v>
                </c:pt>
                <c:pt idx="722">
                  <c:v>2.7853912391419726</c:v>
                </c:pt>
                <c:pt idx="723">
                  <c:v>2.8281776183703187</c:v>
                </c:pt>
                <c:pt idx="724">
                  <c:v>2.936658885641009</c:v>
                </c:pt>
                <c:pt idx="725">
                  <c:v>3.0658852193118946</c:v>
                </c:pt>
                <c:pt idx="726">
                  <c:v>3.1407602372855763</c:v>
                </c:pt>
                <c:pt idx="727">
                  <c:v>3.2814614637863997</c:v>
                </c:pt>
                <c:pt idx="728">
                  <c:v>3.4329292354814243</c:v>
                </c:pt>
                <c:pt idx="729">
                  <c:v>3.5499570356332697</c:v>
                </c:pt>
                <c:pt idx="730">
                  <c:v>3.7129426272967976</c:v>
                </c:pt>
                <c:pt idx="731">
                  <c:v>3.8867162858769007</c:v>
                </c:pt>
                <c:pt idx="732">
                  <c:v>4.0612852030353679</c:v>
                </c:pt>
                <c:pt idx="733">
                  <c:v>4.2566565752149472</c:v>
                </c:pt>
                <c:pt idx="734">
                  <c:v>4.4628376036616828</c:v>
                </c:pt>
                <c:pt idx="735">
                  <c:v>4.6798354944130551</c:v>
                </c:pt>
                <c:pt idx="736">
                  <c:v>4.9531293180079956</c:v>
                </c:pt>
                <c:pt idx="737">
                  <c:v>5.1918195499365538</c:v>
                </c:pt>
                <c:pt idx="738">
                  <c:v>5.4968942849045561</c:v>
                </c:pt>
                <c:pt idx="739">
                  <c:v>5.7473058386021876</c:v>
                </c:pt>
                <c:pt idx="740">
                  <c:v>6.0741905838458479</c:v>
                </c:pt>
                <c:pt idx="741">
                  <c:v>6.3563524786059133</c:v>
                </c:pt>
                <c:pt idx="742">
                  <c:v>6.6950763719214592</c:v>
                </c:pt>
                <c:pt idx="743">
                  <c:v>6.9990176658102428</c:v>
                </c:pt>
                <c:pt idx="744">
                  <c:v>7.3696098839063779</c:v>
                </c:pt>
                <c:pt idx="745">
                  <c:v>7.6853596738274064</c:v>
                </c:pt>
                <c:pt idx="746">
                  <c:v>8.0778494323967607</c:v>
                </c:pt>
                <c:pt idx="747">
                  <c:v>8.4254368541041913</c:v>
                </c:pt>
                <c:pt idx="748">
                  <c:v>8.7739354038894817</c:v>
                </c:pt>
                <c:pt idx="749">
                  <c:v>9.1993076360668056</c:v>
                </c:pt>
                <c:pt idx="750">
                  <c:v>9.5796875693959009</c:v>
                </c:pt>
                <c:pt idx="751">
                  <c:v>10.027030527176976</c:v>
                </c:pt>
                <c:pt idx="752">
                  <c:v>10.419321077202767</c:v>
                </c:pt>
                <c:pt idx="753">
                  <c:v>10.888664113082996</c:v>
                </c:pt>
                <c:pt idx="754">
                  <c:v>11.312894551996578</c:v>
                </c:pt>
                <c:pt idx="755">
                  <c:v>11.794267057697652</c:v>
                </c:pt>
                <c:pt idx="756">
                  <c:v>12.240466696799558</c:v>
                </c:pt>
                <c:pt idx="757">
                  <c:v>12.753898103297615</c:v>
                </c:pt>
                <c:pt idx="758">
                  <c:v>13.212096293049399</c:v>
                </c:pt>
                <c:pt idx="759">
                  <c:v>13.747616070648291</c:v>
                </c:pt>
                <c:pt idx="760">
                  <c:v>14.237842200722298</c:v>
                </c:pt>
                <c:pt idx="761">
                  <c:v>14.729074546148695</c:v>
                </c:pt>
                <c:pt idx="762">
                  <c:v>15.297763358430529</c:v>
                </c:pt>
                <c:pt idx="763">
                  <c:v>15.821067777222197</c:v>
                </c:pt>
                <c:pt idx="764">
                  <c:v>16.411918783514921</c:v>
                </c:pt>
                <c:pt idx="765">
                  <c:v>16.947324763581491</c:v>
                </c:pt>
                <c:pt idx="766">
                  <c:v>17.560367572181349</c:v>
                </c:pt>
                <c:pt idx="767">
                  <c:v>18.127904640808993</c:v>
                </c:pt>
                <c:pt idx="768">
                  <c:v>18.073144162432072</c:v>
                </c:pt>
                <c:pt idx="769">
                  <c:v>16.904572860139524</c:v>
                </c:pt>
                <c:pt idx="770">
                  <c:v>15.744854172866326</c:v>
                </c:pt>
                <c:pt idx="771">
                  <c:v>14.583993377458683</c:v>
                </c:pt>
                <c:pt idx="772">
                  <c:v>13.385192628724326</c:v>
                </c:pt>
                <c:pt idx="773">
                  <c:v>12.252029601075265</c:v>
                </c:pt>
                <c:pt idx="774">
                  <c:v>11.117740294545001</c:v>
                </c:pt>
                <c:pt idx="775">
                  <c:v>10.002329998573259</c:v>
                </c:pt>
                <c:pt idx="776">
                  <c:v>8.8958040057368635</c:v>
                </c:pt>
                <c:pt idx="777">
                  <c:v>7.7981676117833558</c:v>
                </c:pt>
                <c:pt idx="778">
                  <c:v>6.6424196624175238</c:v>
                </c:pt>
                <c:pt idx="779">
                  <c:v>5.5625443857661594</c:v>
                </c:pt>
                <c:pt idx="780">
                  <c:v>4.4915745939015324</c:v>
                </c:pt>
                <c:pt idx="781">
                  <c:v>3.4195155952038476</c:v>
                </c:pt>
                <c:pt idx="782">
                  <c:v>2.3663727011935407</c:v>
                </c:pt>
                <c:pt idx="783">
                  <c:v>1.2649747992018092</c:v>
                </c:pt>
                <c:pt idx="784">
                  <c:v>0.2196459802089521</c:v>
                </c:pt>
                <c:pt idx="785">
                  <c:v>-0.80675080081164197</c:v>
                </c:pt>
                <c:pt idx="786">
                  <c:v>-1.8242102196672931</c:v>
                </c:pt>
                <c:pt idx="787">
                  <c:v>-2.8327269489836908</c:v>
                </c:pt>
                <c:pt idx="788">
                  <c:v>-3.8996425665845891</c:v>
                </c:pt>
                <c:pt idx="789">
                  <c:v>-4.8902921052722377</c:v>
                </c:pt>
                <c:pt idx="790">
                  <c:v>-5.8719829736346583</c:v>
                </c:pt>
                <c:pt idx="791">
                  <c:v>-6.8547098316048505</c:v>
                </c:pt>
                <c:pt idx="792">
                  <c:v>-7.8184673359246517</c:v>
                </c:pt>
                <c:pt idx="793">
                  <c:v>-8.7732501401624177</c:v>
                </c:pt>
                <c:pt idx="794">
                  <c:v>-9.7866050775392068</c:v>
                </c:pt>
                <c:pt idx="795">
                  <c:v>-10.723456735157015</c:v>
                </c:pt>
                <c:pt idx="796">
                  <c:v>-11.651317654697777</c:v>
                </c:pt>
                <c:pt idx="797">
                  <c:v>-12.580182476976915</c:v>
                </c:pt>
                <c:pt idx="798">
                  <c:v>-13.490045839616869</c:v>
                </c:pt>
                <c:pt idx="799">
                  <c:v>-14.448626161258289</c:v>
                </c:pt>
                <c:pt idx="800">
                  <c:v>-15.340504912588585</c:v>
                </c:pt>
                <c:pt idx="801">
                  <c:v>-16.233366118472986</c:v>
                </c:pt>
                <c:pt idx="802">
                  <c:v>-17.107204403739161</c:v>
                </c:pt>
                <c:pt idx="803">
                  <c:v>-17.972014390017648</c:v>
                </c:pt>
                <c:pt idx="804">
                  <c:v>-18.837790695739386</c:v>
                </c:pt>
                <c:pt idx="805">
                  <c:v>-19.742458343871476</c:v>
                </c:pt>
                <c:pt idx="806">
                  <c:v>-20.406290450073357</c:v>
                </c:pt>
                <c:pt idx="807">
                  <c:v>-20.258848282881445</c:v>
                </c:pt>
                <c:pt idx="808">
                  <c:v>-20.149176016569982</c:v>
                </c:pt>
                <c:pt idx="809">
                  <c:v>-19.971226344559909</c:v>
                </c:pt>
                <c:pt idx="810">
                  <c:v>-19.782994741253788</c:v>
                </c:pt>
                <c:pt idx="811">
                  <c:v>-19.652623956060779</c:v>
                </c:pt>
                <c:pt idx="812">
                  <c:v>-19.443845817386318</c:v>
                </c:pt>
                <c:pt idx="813">
                  <c:v>-19.224766178514983</c:v>
                </c:pt>
                <c:pt idx="814">
                  <c:v>-19.063638448020356</c:v>
                </c:pt>
                <c:pt idx="815">
                  <c:v>-18.823973168935481</c:v>
                </c:pt>
                <c:pt idx="816">
                  <c:v>-18.573986783498185</c:v>
                </c:pt>
                <c:pt idx="817">
                  <c:v>-18.382043570079986</c:v>
                </c:pt>
                <c:pt idx="818">
                  <c:v>-18.111432365170913</c:v>
                </c:pt>
                <c:pt idx="819">
                  <c:v>-17.830480410440941</c:v>
                </c:pt>
                <c:pt idx="820">
                  <c:v>-17.607663065073211</c:v>
                </c:pt>
                <c:pt idx="821">
                  <c:v>-17.306047037040116</c:v>
                </c:pt>
                <c:pt idx="822">
                  <c:v>-16.994070578333776</c:v>
                </c:pt>
                <c:pt idx="823">
                  <c:v>-16.730320340358958</c:v>
                </c:pt>
                <c:pt idx="824">
                  <c:v>-16.407640479812471</c:v>
                </c:pt>
                <c:pt idx="825">
                  <c:v>-16.064580470287183</c:v>
                </c:pt>
                <c:pt idx="826">
                  <c:v>-15.769838467203954</c:v>
                </c:pt>
                <c:pt idx="827">
                  <c:v>-15.416035652446226</c:v>
                </c:pt>
                <c:pt idx="828">
                  <c:v>-15.041832932874968</c:v>
                </c:pt>
                <c:pt idx="829">
                  <c:v>-14.716040180142954</c:v>
                </c:pt>
                <c:pt idx="830">
                  <c:v>-14.33105517695185</c:v>
                </c:pt>
                <c:pt idx="831">
                  <c:v>-13.9256504755067</c:v>
                </c:pt>
                <c:pt idx="832">
                  <c:v>-13.568747876328416</c:v>
                </c:pt>
                <c:pt idx="833">
                  <c:v>-13.142521337749713</c:v>
                </c:pt>
                <c:pt idx="834">
                  <c:v>-12.715855269794702</c:v>
                </c:pt>
                <c:pt idx="835">
                  <c:v>-12.327783614902728</c:v>
                </c:pt>
                <c:pt idx="836">
                  <c:v>-11.870256081017942</c:v>
                </c:pt>
                <c:pt idx="837">
                  <c:v>-11.412269148913765</c:v>
                </c:pt>
                <c:pt idx="838">
                  <c:v>-10.992969116336099</c:v>
                </c:pt>
                <c:pt idx="839">
                  <c:v>-10.504081014067197</c:v>
                </c:pt>
                <c:pt idx="840">
                  <c:v>-10.014713606906298</c:v>
                </c:pt>
                <c:pt idx="841">
                  <c:v>-9.5641257617826341</c:v>
                </c:pt>
                <c:pt idx="842">
                  <c:v>-8.8066040407356923</c:v>
                </c:pt>
                <c:pt idx="843">
                  <c:v>-7.5735410840952682</c:v>
                </c:pt>
                <c:pt idx="844">
                  <c:v>-6.3190486277781019</c:v>
                </c:pt>
                <c:pt idx="845">
                  <c:v>-4.993697557334599</c:v>
                </c:pt>
                <c:pt idx="846">
                  <c:v>-3.7162840532673727</c:v>
                </c:pt>
                <c:pt idx="847">
                  <c:v>-2.4374183067739068</c:v>
                </c:pt>
                <c:pt idx="848">
                  <c:v>-1.0775529496131639</c:v>
                </c:pt>
                <c:pt idx="849">
                  <c:v>0.23427945360162994</c:v>
                </c:pt>
                <c:pt idx="850">
                  <c:v>1.5475868872508727</c:v>
                </c:pt>
                <c:pt idx="851">
                  <c:v>2.942035208672678</c:v>
                </c:pt>
                <c:pt idx="852">
                  <c:v>4.2883549987673177</c:v>
                </c:pt>
                <c:pt idx="853">
                  <c:v>5.6361726526520215</c:v>
                </c:pt>
                <c:pt idx="854">
                  <c:v>7.0652727525248338</c:v>
                </c:pt>
                <c:pt idx="855">
                  <c:v>8.4461485535102838</c:v>
                </c:pt>
                <c:pt idx="856">
                  <c:v>9.8285450970633974</c:v>
                </c:pt>
                <c:pt idx="857">
                  <c:v>11.232470010832913</c:v>
                </c:pt>
                <c:pt idx="858">
                  <c:v>12.707866498958538</c:v>
                </c:pt>
                <c:pt idx="859">
                  <c:v>14.134910738273902</c:v>
                </c:pt>
                <c:pt idx="860">
                  <c:v>15.563506287289783</c:v>
                </c:pt>
                <c:pt idx="861">
                  <c:v>17.07371562688968</c:v>
                </c:pt>
                <c:pt idx="862">
                  <c:v>18.535476504972394</c:v>
                </c:pt>
                <c:pt idx="863">
                  <c:v>19.998811677887716</c:v>
                </c:pt>
                <c:pt idx="864">
                  <c:v>21.54390314059674</c:v>
                </c:pt>
                <c:pt idx="865">
                  <c:v>23.040449737622112</c:v>
                </c:pt>
                <c:pt idx="866">
                  <c:v>24.538593660345214</c:v>
                </c:pt>
                <c:pt idx="867">
                  <c:v>26.118636655633964</c:v>
                </c:pt>
                <c:pt idx="868">
                  <c:v>27.650038189249244</c:v>
                </c:pt>
                <c:pt idx="869">
                  <c:v>29.193060125255215</c:v>
                </c:pt>
                <c:pt idx="870">
                  <c:v>30.79812420070084</c:v>
                </c:pt>
                <c:pt idx="871">
                  <c:v>32.364450026274426</c:v>
                </c:pt>
                <c:pt idx="872">
                  <c:v>33.942419376846374</c:v>
                </c:pt>
                <c:pt idx="873">
                  <c:v>35.58257421842427</c:v>
                </c:pt>
                <c:pt idx="874">
                  <c:v>37.183893829327644</c:v>
                </c:pt>
                <c:pt idx="875">
                  <c:v>38.796880133870218</c:v>
                </c:pt>
                <c:pt idx="876">
                  <c:v>40.472195566204391</c:v>
                </c:pt>
                <c:pt idx="877">
                  <c:v>41.25886300327511</c:v>
                </c:pt>
                <c:pt idx="878">
                  <c:v>42.056122266320017</c:v>
                </c:pt>
                <c:pt idx="879">
                  <c:v>42.853980030475213</c:v>
                </c:pt>
                <c:pt idx="880">
                  <c:v>43.672442975086597</c:v>
                </c:pt>
                <c:pt idx="881">
                  <c:v>44.501517783701274</c:v>
                </c:pt>
                <c:pt idx="882">
                  <c:v>45.341211144086628</c:v>
                </c:pt>
                <c:pt idx="883">
                  <c:v>46.12060695303262</c:v>
                </c:pt>
                <c:pt idx="884">
                  <c:v>46.981519102606399</c:v>
                </c:pt>
                <c:pt idx="885">
                  <c:v>47.853069868335297</c:v>
                </c:pt>
                <c:pt idx="886">
                  <c:v>48.725265954857605</c:v>
                </c:pt>
                <c:pt idx="887">
                  <c:v>49.618114071006858</c:v>
                </c:pt>
                <c:pt idx="888">
                  <c:v>50.521620929865094</c:v>
                </c:pt>
                <c:pt idx="889">
                  <c:v>51.425793248747141</c:v>
                </c:pt>
                <c:pt idx="890">
                  <c:v>52.289445822983907</c:v>
                </c:pt>
                <c:pt idx="891">
                  <c:v>53.224930666645378</c:v>
                </c:pt>
                <c:pt idx="892">
                  <c:v>54.171101123340122</c:v>
                </c:pt>
                <c:pt idx="893">
                  <c:v>55.117963927328674</c:v>
                </c:pt>
                <c:pt idx="894">
                  <c:v>56.085525817088637</c:v>
                </c:pt>
                <c:pt idx="895">
                  <c:v>57.063793535355217</c:v>
                </c:pt>
                <c:pt idx="896">
                  <c:v>58.042773829100042</c:v>
                </c:pt>
                <c:pt idx="897">
                  <c:v>58.981011203459275</c:v>
                </c:pt>
                <c:pt idx="898">
                  <c:v>59.991398171659966</c:v>
                </c:pt>
                <c:pt idx="899">
                  <c:v>61.002517957402233</c:v>
                </c:pt>
                <c:pt idx="900">
                  <c:v>62.034377324680463</c:v>
                </c:pt>
                <c:pt idx="901">
                  <c:v>63.076983041741187</c:v>
                </c:pt>
                <c:pt idx="902">
                  <c:v>64.12034188110556</c:v>
                </c:pt>
                <c:pt idx="903">
                  <c:v>65.184460619559104</c:v>
                </c:pt>
                <c:pt idx="904">
                  <c:v>66.19761227797062</c:v>
                </c:pt>
                <c:pt idx="905">
                  <c:v>67.221459731179493</c:v>
                </c:pt>
                <c:pt idx="906">
                  <c:v>67.133430070489339</c:v>
                </c:pt>
                <c:pt idx="907">
                  <c:v>67.064757951668071</c:v>
                </c:pt>
                <c:pt idx="908">
                  <c:v>67.005448867364976</c:v>
                </c:pt>
                <c:pt idx="909">
                  <c:v>66.883590765470217</c:v>
                </c:pt>
                <c:pt idx="910">
                  <c:v>66.842987896963677</c:v>
                </c:pt>
                <c:pt idx="911">
                  <c:v>66.811764538924763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8-4E71-BA8A-AB553499C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4208"/>
        <c:axId val="205873152"/>
      </c:scatterChart>
      <c:valAx>
        <c:axId val="20585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0.4692877272404834"/>
              <c:y val="0.940594890985161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73152"/>
        <c:crosses val="autoZero"/>
        <c:crossBetween val="midCat"/>
      </c:valAx>
      <c:valAx>
        <c:axId val="205873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Error (ftss)</a:t>
                </a:r>
              </a:p>
            </c:rich>
          </c:tx>
          <c:layout>
            <c:manualLayout>
              <c:xMode val="edge"/>
              <c:yMode val="edge"/>
              <c:x val="1.1056511056511061E-2"/>
              <c:y val="0.473267742522283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54208"/>
        <c:crosses val="autoZero"/>
        <c:crossBetween val="midCat"/>
        <c:maj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67617644160737"/>
          <c:y val="0.18041259817548719"/>
          <c:w val="0.73521897042884099"/>
          <c:h val="0.755155589505966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'NunR-005'!$E$15:$E$926</c:f>
              <c:numCache>
                <c:formatCode>0</c:formatCode>
                <c:ptCount val="912"/>
                <c:pt idx="0">
                  <c:v>0</c:v>
                </c:pt>
                <c:pt idx="1">
                  <c:v>3317.1759747102215</c:v>
                </c:pt>
                <c:pt idx="2">
                  <c:v>3318.5035389282098</c:v>
                </c:pt>
                <c:pt idx="3">
                  <c:v>3316.481294236602</c:v>
                </c:pt>
                <c:pt idx="4">
                  <c:v>3316.4812942366048</c:v>
                </c:pt>
                <c:pt idx="5">
                  <c:v>6044.1988950276154</c:v>
                </c:pt>
                <c:pt idx="6">
                  <c:v>6612.9032258064617</c:v>
                </c:pt>
                <c:pt idx="7">
                  <c:v>6630.3030303030246</c:v>
                </c:pt>
                <c:pt idx="8">
                  <c:v>6612.9032258064472</c:v>
                </c:pt>
                <c:pt idx="9">
                  <c:v>6616.9354838709651</c:v>
                </c:pt>
                <c:pt idx="10">
                  <c:v>6612.9032258064617</c:v>
                </c:pt>
                <c:pt idx="11">
                  <c:v>6626.2626262626245</c:v>
                </c:pt>
                <c:pt idx="12">
                  <c:v>6616.935483870956</c:v>
                </c:pt>
                <c:pt idx="13">
                  <c:v>6612.9032258064617</c:v>
                </c:pt>
                <c:pt idx="14">
                  <c:v>6616.9354838709742</c:v>
                </c:pt>
                <c:pt idx="15">
                  <c:v>6612.9032258064435</c:v>
                </c:pt>
                <c:pt idx="16">
                  <c:v>6626.2626262626245</c:v>
                </c:pt>
                <c:pt idx="17">
                  <c:v>6616.9354838709633</c:v>
                </c:pt>
                <c:pt idx="18">
                  <c:v>6612.9032258064553</c:v>
                </c:pt>
                <c:pt idx="19">
                  <c:v>6616.9354838709633</c:v>
                </c:pt>
                <c:pt idx="20">
                  <c:v>6626.2626262626363</c:v>
                </c:pt>
                <c:pt idx="21">
                  <c:v>6612.9032258064508</c:v>
                </c:pt>
                <c:pt idx="22">
                  <c:v>6616.9354838709678</c:v>
                </c:pt>
                <c:pt idx="23">
                  <c:v>6612.9032258064317</c:v>
                </c:pt>
                <c:pt idx="24">
                  <c:v>6630.3030303030564</c:v>
                </c:pt>
                <c:pt idx="25">
                  <c:v>6612.9032258064317</c:v>
                </c:pt>
                <c:pt idx="26">
                  <c:v>6612.9032258064699</c:v>
                </c:pt>
                <c:pt idx="27">
                  <c:v>6616.9354838709678</c:v>
                </c:pt>
                <c:pt idx="28">
                  <c:v>6626.2626262625945</c:v>
                </c:pt>
                <c:pt idx="29">
                  <c:v>6616.935483871006</c:v>
                </c:pt>
                <c:pt idx="30">
                  <c:v>6612.9032258064317</c:v>
                </c:pt>
                <c:pt idx="31">
                  <c:v>6612.9032258064553</c:v>
                </c:pt>
                <c:pt idx="32">
                  <c:v>6616.9354838709824</c:v>
                </c:pt>
                <c:pt idx="33">
                  <c:v>6626.2626262625945</c:v>
                </c:pt>
                <c:pt idx="34">
                  <c:v>6616.9354838709905</c:v>
                </c:pt>
                <c:pt idx="35">
                  <c:v>6612.9032258064699</c:v>
                </c:pt>
                <c:pt idx="36">
                  <c:v>6616.9354838709442</c:v>
                </c:pt>
                <c:pt idx="37">
                  <c:v>6626.2626262626327</c:v>
                </c:pt>
                <c:pt idx="38">
                  <c:v>6612.9032258064781</c:v>
                </c:pt>
                <c:pt idx="39">
                  <c:v>6616.9354838709442</c:v>
                </c:pt>
                <c:pt idx="40">
                  <c:v>6612.9032258064317</c:v>
                </c:pt>
                <c:pt idx="41">
                  <c:v>6630.3030303030328</c:v>
                </c:pt>
                <c:pt idx="42">
                  <c:v>6612.9032258064317</c:v>
                </c:pt>
                <c:pt idx="43">
                  <c:v>6612.9032258065163</c:v>
                </c:pt>
                <c:pt idx="44">
                  <c:v>6616.9354838709442</c:v>
                </c:pt>
                <c:pt idx="45">
                  <c:v>6612.9032258064317</c:v>
                </c:pt>
                <c:pt idx="46">
                  <c:v>6630.3030303030328</c:v>
                </c:pt>
                <c:pt idx="47">
                  <c:v>6612.9032258064781</c:v>
                </c:pt>
                <c:pt idx="48">
                  <c:v>6616.9354838709824</c:v>
                </c:pt>
                <c:pt idx="49">
                  <c:v>6612.9032258063935</c:v>
                </c:pt>
                <c:pt idx="50">
                  <c:v>6626.2626262626327</c:v>
                </c:pt>
                <c:pt idx="51">
                  <c:v>6616.9354838710287</c:v>
                </c:pt>
                <c:pt idx="52">
                  <c:v>6612.9032258063935</c:v>
                </c:pt>
                <c:pt idx="53">
                  <c:v>6616.9354838709824</c:v>
                </c:pt>
                <c:pt idx="54">
                  <c:v>6626.2626262626327</c:v>
                </c:pt>
                <c:pt idx="55">
                  <c:v>6612.9032258063935</c:v>
                </c:pt>
                <c:pt idx="56">
                  <c:v>6616.9354838710287</c:v>
                </c:pt>
                <c:pt idx="57">
                  <c:v>6612.9032258064699</c:v>
                </c:pt>
                <c:pt idx="58">
                  <c:v>6616.935483870906</c:v>
                </c:pt>
                <c:pt idx="59">
                  <c:v>6626.2626262626327</c:v>
                </c:pt>
                <c:pt idx="60">
                  <c:v>6612.9032258065163</c:v>
                </c:pt>
                <c:pt idx="61">
                  <c:v>6616.935483870906</c:v>
                </c:pt>
                <c:pt idx="62">
                  <c:v>6612.9032258064699</c:v>
                </c:pt>
                <c:pt idx="63">
                  <c:v>6630.3030303030328</c:v>
                </c:pt>
                <c:pt idx="64">
                  <c:v>6612.9032258065163</c:v>
                </c:pt>
                <c:pt idx="65">
                  <c:v>6612.903225806348</c:v>
                </c:pt>
                <c:pt idx="66">
                  <c:v>6616.9354838710287</c:v>
                </c:pt>
                <c:pt idx="67">
                  <c:v>6626.2626262626791</c:v>
                </c:pt>
                <c:pt idx="68">
                  <c:v>6616.9354838708605</c:v>
                </c:pt>
                <c:pt idx="69">
                  <c:v>6612.9032258065163</c:v>
                </c:pt>
                <c:pt idx="70">
                  <c:v>6612.9032258064244</c:v>
                </c:pt>
                <c:pt idx="71">
                  <c:v>6616.9354838709523</c:v>
                </c:pt>
                <c:pt idx="72">
                  <c:v>6626.2626262626791</c:v>
                </c:pt>
                <c:pt idx="73">
                  <c:v>6616.9354838709369</c:v>
                </c:pt>
                <c:pt idx="74">
                  <c:v>6612.9032258064399</c:v>
                </c:pt>
                <c:pt idx="75">
                  <c:v>6612.9032258065163</c:v>
                </c:pt>
                <c:pt idx="76">
                  <c:v>6630.3030303029873</c:v>
                </c:pt>
                <c:pt idx="77">
                  <c:v>6612.9032258064399</c:v>
                </c:pt>
                <c:pt idx="78">
                  <c:v>6616.9354838709369</c:v>
                </c:pt>
                <c:pt idx="79">
                  <c:v>6612.9032258065163</c:v>
                </c:pt>
                <c:pt idx="80">
                  <c:v>6626.2626262626018</c:v>
                </c:pt>
                <c:pt idx="81">
                  <c:v>6616.9354838709369</c:v>
                </c:pt>
                <c:pt idx="82">
                  <c:v>6612.9032258065163</c:v>
                </c:pt>
                <c:pt idx="83">
                  <c:v>6616.9354838709523</c:v>
                </c:pt>
                <c:pt idx="84">
                  <c:v>6626.2626262625872</c:v>
                </c:pt>
                <c:pt idx="85">
                  <c:v>6612.9032258065163</c:v>
                </c:pt>
                <c:pt idx="86">
                  <c:v>6616.9354838708605</c:v>
                </c:pt>
                <c:pt idx="87">
                  <c:v>6612.9032258065163</c:v>
                </c:pt>
                <c:pt idx="88">
                  <c:v>6616.9354838710287</c:v>
                </c:pt>
                <c:pt idx="89">
                  <c:v>6626.2626262625872</c:v>
                </c:pt>
                <c:pt idx="90">
                  <c:v>6616.9354838709523</c:v>
                </c:pt>
                <c:pt idx="91">
                  <c:v>6612.9032258064244</c:v>
                </c:pt>
                <c:pt idx="92">
                  <c:v>6612.9032258064399</c:v>
                </c:pt>
                <c:pt idx="93">
                  <c:v>6630.3030303030791</c:v>
                </c:pt>
                <c:pt idx="94">
                  <c:v>6612.9032258064244</c:v>
                </c:pt>
                <c:pt idx="95">
                  <c:v>6616.9354838710287</c:v>
                </c:pt>
                <c:pt idx="96">
                  <c:v>6612.9032258064399</c:v>
                </c:pt>
                <c:pt idx="97">
                  <c:v>6626.2626262625872</c:v>
                </c:pt>
                <c:pt idx="98">
                  <c:v>6616.9354838710287</c:v>
                </c:pt>
                <c:pt idx="99">
                  <c:v>6612.903225806348</c:v>
                </c:pt>
                <c:pt idx="100">
                  <c:v>6616.9354838709523</c:v>
                </c:pt>
                <c:pt idx="101">
                  <c:v>6626.2626262627546</c:v>
                </c:pt>
                <c:pt idx="102">
                  <c:v>6612.903225806348</c:v>
                </c:pt>
                <c:pt idx="103">
                  <c:v>6616.9354838709523</c:v>
                </c:pt>
                <c:pt idx="104">
                  <c:v>6612.9032258064999</c:v>
                </c:pt>
                <c:pt idx="105">
                  <c:v>6616.9354838709523</c:v>
                </c:pt>
                <c:pt idx="106">
                  <c:v>6626.2626262627546</c:v>
                </c:pt>
                <c:pt idx="107">
                  <c:v>6612.903225806348</c:v>
                </c:pt>
                <c:pt idx="108">
                  <c:v>6616.9354838709523</c:v>
                </c:pt>
                <c:pt idx="109">
                  <c:v>6612.9032258064399</c:v>
                </c:pt>
                <c:pt idx="110">
                  <c:v>6630.3030303030628</c:v>
                </c:pt>
                <c:pt idx="111">
                  <c:v>6612.9032258064399</c:v>
                </c:pt>
                <c:pt idx="112">
                  <c:v>6612.9032258064999</c:v>
                </c:pt>
                <c:pt idx="113">
                  <c:v>6616.9354838709523</c:v>
                </c:pt>
                <c:pt idx="114">
                  <c:v>6626.2626262626018</c:v>
                </c:pt>
                <c:pt idx="115">
                  <c:v>6616.9354838710124</c:v>
                </c:pt>
                <c:pt idx="116">
                  <c:v>6612.9032258064399</c:v>
                </c:pt>
                <c:pt idx="117">
                  <c:v>6612.903225806348</c:v>
                </c:pt>
                <c:pt idx="118">
                  <c:v>6616.9354838711033</c:v>
                </c:pt>
                <c:pt idx="119">
                  <c:v>6626.2626262626018</c:v>
                </c:pt>
                <c:pt idx="120">
                  <c:v>6616.9354838708605</c:v>
                </c:pt>
                <c:pt idx="121">
                  <c:v>6612.9032258065909</c:v>
                </c:pt>
                <c:pt idx="122">
                  <c:v>6612.9032258064399</c:v>
                </c:pt>
                <c:pt idx="123">
                  <c:v>6630.3030303029109</c:v>
                </c:pt>
                <c:pt idx="124">
                  <c:v>6612.9032258065909</c:v>
                </c:pt>
                <c:pt idx="125">
                  <c:v>6616.9354838708605</c:v>
                </c:pt>
                <c:pt idx="126">
                  <c:v>6612.9032258064399</c:v>
                </c:pt>
                <c:pt idx="127">
                  <c:v>6626.2626262627546</c:v>
                </c:pt>
                <c:pt idx="128">
                  <c:v>6616.9354838708605</c:v>
                </c:pt>
                <c:pt idx="129">
                  <c:v>6612.9032258064399</c:v>
                </c:pt>
                <c:pt idx="130">
                  <c:v>6616.9354838710124</c:v>
                </c:pt>
                <c:pt idx="131">
                  <c:v>6626.2626262626018</c:v>
                </c:pt>
                <c:pt idx="132">
                  <c:v>6616.9354838708605</c:v>
                </c:pt>
                <c:pt idx="133">
                  <c:v>6612.9032258065909</c:v>
                </c:pt>
                <c:pt idx="134">
                  <c:v>6612.9032258064399</c:v>
                </c:pt>
                <c:pt idx="135">
                  <c:v>6616.9354838708605</c:v>
                </c:pt>
                <c:pt idx="136">
                  <c:v>6626.2626262627546</c:v>
                </c:pt>
                <c:pt idx="137">
                  <c:v>6616.9354838708605</c:v>
                </c:pt>
                <c:pt idx="138">
                  <c:v>6612.9032258064399</c:v>
                </c:pt>
                <c:pt idx="139">
                  <c:v>6612.9032258065909</c:v>
                </c:pt>
                <c:pt idx="140">
                  <c:v>6630.3030303029109</c:v>
                </c:pt>
                <c:pt idx="141">
                  <c:v>6612.9032258064399</c:v>
                </c:pt>
                <c:pt idx="142">
                  <c:v>6616.9354838710124</c:v>
                </c:pt>
                <c:pt idx="143">
                  <c:v>6612.9032258064399</c:v>
                </c:pt>
                <c:pt idx="144">
                  <c:v>6626.2626262626018</c:v>
                </c:pt>
                <c:pt idx="145">
                  <c:v>6616.9354838710124</c:v>
                </c:pt>
                <c:pt idx="146">
                  <c:v>6612.9032258064399</c:v>
                </c:pt>
                <c:pt idx="147">
                  <c:v>6616.9354838708605</c:v>
                </c:pt>
                <c:pt idx="148">
                  <c:v>6626.2626262627546</c:v>
                </c:pt>
                <c:pt idx="149">
                  <c:v>6612.9032258064399</c:v>
                </c:pt>
                <c:pt idx="150">
                  <c:v>6616.9354838708605</c:v>
                </c:pt>
                <c:pt idx="151">
                  <c:v>6612.9032258065909</c:v>
                </c:pt>
                <c:pt idx="152">
                  <c:v>6612.9032258064399</c:v>
                </c:pt>
                <c:pt idx="153">
                  <c:v>6630.3030303029109</c:v>
                </c:pt>
                <c:pt idx="154">
                  <c:v>6612.9032258065909</c:v>
                </c:pt>
                <c:pt idx="155">
                  <c:v>6612.9032258064399</c:v>
                </c:pt>
                <c:pt idx="156">
                  <c:v>6616.9354838708605</c:v>
                </c:pt>
                <c:pt idx="157">
                  <c:v>6626.2626262627546</c:v>
                </c:pt>
                <c:pt idx="158">
                  <c:v>6616.9354838708605</c:v>
                </c:pt>
                <c:pt idx="159">
                  <c:v>6612.9032258064399</c:v>
                </c:pt>
                <c:pt idx="160">
                  <c:v>6612.9032258065909</c:v>
                </c:pt>
                <c:pt idx="161">
                  <c:v>6630.3030303029109</c:v>
                </c:pt>
                <c:pt idx="162">
                  <c:v>6612.9032258064399</c:v>
                </c:pt>
                <c:pt idx="163">
                  <c:v>6612.9032258065909</c:v>
                </c:pt>
                <c:pt idx="164">
                  <c:v>6616.9354838708605</c:v>
                </c:pt>
                <c:pt idx="165">
                  <c:v>6626.2626262627546</c:v>
                </c:pt>
                <c:pt idx="166">
                  <c:v>6612.9032258064399</c:v>
                </c:pt>
                <c:pt idx="167">
                  <c:v>6616.9354838708605</c:v>
                </c:pt>
                <c:pt idx="168">
                  <c:v>6612.9032258064399</c:v>
                </c:pt>
                <c:pt idx="169">
                  <c:v>6626.2626262627546</c:v>
                </c:pt>
                <c:pt idx="170">
                  <c:v>6616.9354838708605</c:v>
                </c:pt>
                <c:pt idx="171">
                  <c:v>6612.9032258065909</c:v>
                </c:pt>
                <c:pt idx="172">
                  <c:v>6626.2626262626018</c:v>
                </c:pt>
                <c:pt idx="173">
                  <c:v>6616.9354838708605</c:v>
                </c:pt>
                <c:pt idx="174">
                  <c:v>6612.9032258065909</c:v>
                </c:pt>
                <c:pt idx="175">
                  <c:v>6612.9032258064399</c:v>
                </c:pt>
                <c:pt idx="176">
                  <c:v>6630.3030303029109</c:v>
                </c:pt>
                <c:pt idx="177">
                  <c:v>6612.9032258065909</c:v>
                </c:pt>
                <c:pt idx="178">
                  <c:v>6612.9032258062562</c:v>
                </c:pt>
                <c:pt idx="179">
                  <c:v>6616.9354838710442</c:v>
                </c:pt>
                <c:pt idx="180">
                  <c:v>6626.2626262627546</c:v>
                </c:pt>
                <c:pt idx="181">
                  <c:v>6612.9032258062562</c:v>
                </c:pt>
                <c:pt idx="182">
                  <c:v>6616.9354838710442</c:v>
                </c:pt>
                <c:pt idx="183">
                  <c:v>6612.9032258065909</c:v>
                </c:pt>
                <c:pt idx="184">
                  <c:v>6626.2626262624181</c:v>
                </c:pt>
                <c:pt idx="185">
                  <c:v>6616.9354838710442</c:v>
                </c:pt>
                <c:pt idx="186">
                  <c:v>6612.903225806408</c:v>
                </c:pt>
                <c:pt idx="187">
                  <c:v>6612.9032258064399</c:v>
                </c:pt>
                <c:pt idx="188">
                  <c:v>6630.3030303030946</c:v>
                </c:pt>
                <c:pt idx="189">
                  <c:v>6612.903225806408</c:v>
                </c:pt>
                <c:pt idx="190">
                  <c:v>6616.9354838710442</c:v>
                </c:pt>
                <c:pt idx="191">
                  <c:v>6612.9032258062562</c:v>
                </c:pt>
                <c:pt idx="192">
                  <c:v>6626.2626262627546</c:v>
                </c:pt>
                <c:pt idx="193">
                  <c:v>6616.9354838710442</c:v>
                </c:pt>
                <c:pt idx="194">
                  <c:v>6612.9032258062562</c:v>
                </c:pt>
                <c:pt idx="195">
                  <c:v>6612.9032258065909</c:v>
                </c:pt>
                <c:pt idx="196">
                  <c:v>6616.9354838710442</c:v>
                </c:pt>
                <c:pt idx="197">
                  <c:v>6626.2626262624181</c:v>
                </c:pt>
                <c:pt idx="198">
                  <c:v>6612.9032258065909</c:v>
                </c:pt>
                <c:pt idx="199">
                  <c:v>6616.9354838708605</c:v>
                </c:pt>
                <c:pt idx="200">
                  <c:v>6626.2626262626018</c:v>
                </c:pt>
                <c:pt idx="201">
                  <c:v>6612.9032258065909</c:v>
                </c:pt>
                <c:pt idx="202">
                  <c:v>6616.9354838708605</c:v>
                </c:pt>
                <c:pt idx="203">
                  <c:v>6612.9032258064399</c:v>
                </c:pt>
                <c:pt idx="204">
                  <c:v>6626.2626262626018</c:v>
                </c:pt>
                <c:pt idx="205">
                  <c:v>6612.9032258067427</c:v>
                </c:pt>
                <c:pt idx="206">
                  <c:v>6616.9354838708605</c:v>
                </c:pt>
                <c:pt idx="207">
                  <c:v>6612.9032258064399</c:v>
                </c:pt>
                <c:pt idx="208">
                  <c:v>6626.2626262626018</c:v>
                </c:pt>
                <c:pt idx="209">
                  <c:v>6612.9032258062562</c:v>
                </c:pt>
                <c:pt idx="210">
                  <c:v>6616.9354838710442</c:v>
                </c:pt>
                <c:pt idx="211">
                  <c:v>6626.2626262629065</c:v>
                </c:pt>
                <c:pt idx="212">
                  <c:v>6612.9032258062562</c:v>
                </c:pt>
                <c:pt idx="213">
                  <c:v>6612.9032258064399</c:v>
                </c:pt>
                <c:pt idx="214">
                  <c:v>6616.9354838710442</c:v>
                </c:pt>
                <c:pt idx="215">
                  <c:v>6626.2626262624181</c:v>
                </c:pt>
                <c:pt idx="216">
                  <c:v>6612.9032258064399</c:v>
                </c:pt>
                <c:pt idx="217">
                  <c:v>6616.9354838711633</c:v>
                </c:pt>
                <c:pt idx="218">
                  <c:v>6612.9032258064399</c:v>
                </c:pt>
                <c:pt idx="219">
                  <c:v>6626.2626262626018</c:v>
                </c:pt>
                <c:pt idx="220">
                  <c:v>6876.3102725367526</c:v>
                </c:pt>
                <c:pt idx="221">
                  <c:v>7165.9388646288717</c:v>
                </c:pt>
                <c:pt idx="222">
                  <c:v>7161.5720524015451</c:v>
                </c:pt>
                <c:pt idx="223">
                  <c:v>7145.969498910843</c:v>
                </c:pt>
                <c:pt idx="224">
                  <c:v>7145.969498910843</c:v>
                </c:pt>
                <c:pt idx="225">
                  <c:v>7134.7826086953783</c:v>
                </c:pt>
                <c:pt idx="226">
                  <c:v>7145.969498910843</c:v>
                </c:pt>
                <c:pt idx="227">
                  <c:v>7130.4347826083267</c:v>
                </c:pt>
                <c:pt idx="228">
                  <c:v>7150.3267973858838</c:v>
                </c:pt>
                <c:pt idx="229">
                  <c:v>7130.434782608876</c:v>
                </c:pt>
                <c:pt idx="230">
                  <c:v>7145.9694989102909</c:v>
                </c:pt>
                <c:pt idx="231">
                  <c:v>7145.969498910843</c:v>
                </c:pt>
                <c:pt idx="232">
                  <c:v>7130.4347826085241</c:v>
                </c:pt>
                <c:pt idx="233">
                  <c:v>7150.3267973856855</c:v>
                </c:pt>
                <c:pt idx="234">
                  <c:v>7130.434782608876</c:v>
                </c:pt>
                <c:pt idx="235">
                  <c:v>7145.9694989104892</c:v>
                </c:pt>
                <c:pt idx="236">
                  <c:v>7130.434782608876</c:v>
                </c:pt>
                <c:pt idx="237">
                  <c:v>7145.969498910843</c:v>
                </c:pt>
                <c:pt idx="238">
                  <c:v>7145.9694989102909</c:v>
                </c:pt>
                <c:pt idx="239">
                  <c:v>7134.7826086959276</c:v>
                </c:pt>
                <c:pt idx="240">
                  <c:v>7145.9694989102909</c:v>
                </c:pt>
                <c:pt idx="241">
                  <c:v>7130.434782608876</c:v>
                </c:pt>
                <c:pt idx="242">
                  <c:v>7145.969498910843</c:v>
                </c:pt>
                <c:pt idx="243">
                  <c:v>7130.4347826085241</c:v>
                </c:pt>
                <c:pt idx="244">
                  <c:v>7213.1868131868214</c:v>
                </c:pt>
                <c:pt idx="245">
                  <c:v>7846.8899521530338</c:v>
                </c:pt>
                <c:pt idx="246">
                  <c:v>7846.8899521534604</c:v>
                </c:pt>
                <c:pt idx="247">
                  <c:v>7828.1622911693921</c:v>
                </c:pt>
                <c:pt idx="248">
                  <c:v>7851.6746411481354</c:v>
                </c:pt>
                <c:pt idx="249">
                  <c:v>7828.1622911693921</c:v>
                </c:pt>
                <c:pt idx="250">
                  <c:v>7846.889952153243</c:v>
                </c:pt>
                <c:pt idx="251">
                  <c:v>7832.9355608590167</c:v>
                </c:pt>
                <c:pt idx="252">
                  <c:v>7846.8899521532512</c:v>
                </c:pt>
                <c:pt idx="253">
                  <c:v>7846.889952153243</c:v>
                </c:pt>
                <c:pt idx="254">
                  <c:v>7828.1622911696095</c:v>
                </c:pt>
                <c:pt idx="255">
                  <c:v>7851.6746411481354</c:v>
                </c:pt>
                <c:pt idx="256">
                  <c:v>7828.1622911691748</c:v>
                </c:pt>
                <c:pt idx="257">
                  <c:v>7846.8899521536778</c:v>
                </c:pt>
                <c:pt idx="258">
                  <c:v>7828.1622911691748</c:v>
                </c:pt>
                <c:pt idx="259">
                  <c:v>7851.6746411481354</c:v>
                </c:pt>
                <c:pt idx="260">
                  <c:v>7846.8899521532512</c:v>
                </c:pt>
                <c:pt idx="261">
                  <c:v>7828.1622911695995</c:v>
                </c:pt>
                <c:pt idx="262">
                  <c:v>7846.8899521528165</c:v>
                </c:pt>
                <c:pt idx="263">
                  <c:v>7828.1622911696095</c:v>
                </c:pt>
                <c:pt idx="264">
                  <c:v>7846.8899521528165</c:v>
                </c:pt>
                <c:pt idx="265">
                  <c:v>7846.8899521536778</c:v>
                </c:pt>
                <c:pt idx="266">
                  <c:v>7832.9355608590167</c:v>
                </c:pt>
                <c:pt idx="267">
                  <c:v>7846.8899521528165</c:v>
                </c:pt>
                <c:pt idx="268">
                  <c:v>7846.8899521528165</c:v>
                </c:pt>
                <c:pt idx="269">
                  <c:v>7846.8899521536778</c:v>
                </c:pt>
                <c:pt idx="270">
                  <c:v>7865.7074340524459</c:v>
                </c:pt>
                <c:pt idx="271">
                  <c:v>7865.7074340528816</c:v>
                </c:pt>
                <c:pt idx="272">
                  <c:v>7846.889952153243</c:v>
                </c:pt>
                <c:pt idx="273">
                  <c:v>7856.1151079135843</c:v>
                </c:pt>
                <c:pt idx="274">
                  <c:v>7874.9999999998972</c:v>
                </c:pt>
                <c:pt idx="275">
                  <c:v>7856.1151079140118</c:v>
                </c:pt>
                <c:pt idx="276">
                  <c:v>7851.3189448439352</c:v>
                </c:pt>
                <c:pt idx="277">
                  <c:v>7874.9999999998972</c:v>
                </c:pt>
                <c:pt idx="278">
                  <c:v>7851.3189448443627</c:v>
                </c:pt>
                <c:pt idx="279">
                  <c:v>7860.5769230765054</c:v>
                </c:pt>
                <c:pt idx="280">
                  <c:v>7860.2409638554418</c:v>
                </c:pt>
                <c:pt idx="281">
                  <c:v>7865.0602409639732</c:v>
                </c:pt>
                <c:pt idx="282">
                  <c:v>7865.0602409639805</c:v>
                </c:pt>
                <c:pt idx="283">
                  <c:v>7841.3461538461825</c:v>
                </c:pt>
                <c:pt idx="284">
                  <c:v>7865.0602409639805</c:v>
                </c:pt>
                <c:pt idx="285">
                  <c:v>7864.7342995165945</c:v>
                </c:pt>
                <c:pt idx="286">
                  <c:v>7855.0724637684625</c:v>
                </c:pt>
                <c:pt idx="287">
                  <c:v>7869.2493946729155</c:v>
                </c:pt>
                <c:pt idx="288">
                  <c:v>7855.0724637680232</c:v>
                </c:pt>
                <c:pt idx="289">
                  <c:v>7850.2415458935302</c:v>
                </c:pt>
                <c:pt idx="290">
                  <c:v>7874.0920096855607</c:v>
                </c:pt>
                <c:pt idx="291">
                  <c:v>7854.7215496367189</c:v>
                </c:pt>
                <c:pt idx="292">
                  <c:v>7878.3454987834511</c:v>
                </c:pt>
                <c:pt idx="293">
                  <c:v>7955.773955773886</c:v>
                </c:pt>
                <c:pt idx="294">
                  <c:v>7960.6879606879957</c:v>
                </c:pt>
                <c:pt idx="295">
                  <c:v>7955.7739557738832</c:v>
                </c:pt>
                <c:pt idx="296">
                  <c:v>7955.7739557743298</c:v>
                </c:pt>
                <c:pt idx="297">
                  <c:v>7975.3086419747706</c:v>
                </c:pt>
                <c:pt idx="298">
                  <c:v>7955.4455445543826</c:v>
                </c:pt>
                <c:pt idx="299">
                  <c:v>7960.3960396044458</c:v>
                </c:pt>
                <c:pt idx="300">
                  <c:v>7955.4455445543826</c:v>
                </c:pt>
                <c:pt idx="301">
                  <c:v>7960.3960396039956</c:v>
                </c:pt>
                <c:pt idx="302">
                  <c:v>7955.4455445543826</c:v>
                </c:pt>
                <c:pt idx="303">
                  <c:v>7960.2977667494151</c:v>
                </c:pt>
                <c:pt idx="304">
                  <c:v>7970.0000000002547</c:v>
                </c:pt>
                <c:pt idx="305">
                  <c:v>7945.137157106491</c:v>
                </c:pt>
                <c:pt idx="306">
                  <c:v>7970.0000000002547</c:v>
                </c:pt>
                <c:pt idx="307">
                  <c:v>7965.0000000001455</c:v>
                </c:pt>
                <c:pt idx="308">
                  <c:v>7945.1371571069412</c:v>
                </c:pt>
                <c:pt idx="309">
                  <c:v>7960.0000000000364</c:v>
                </c:pt>
                <c:pt idx="310">
                  <c:v>7959.6977329979736</c:v>
                </c:pt>
                <c:pt idx="311">
                  <c:v>7979.7979797979979</c:v>
                </c:pt>
                <c:pt idx="312">
                  <c:v>7954.6599496220933</c:v>
                </c:pt>
                <c:pt idx="313">
                  <c:v>7959.697732997518</c:v>
                </c:pt>
                <c:pt idx="314">
                  <c:v>7959.6977329970596</c:v>
                </c:pt>
                <c:pt idx="315">
                  <c:v>7959.697732997518</c:v>
                </c:pt>
                <c:pt idx="316">
                  <c:v>7964.4670050762907</c:v>
                </c:pt>
                <c:pt idx="317">
                  <c:v>8030.6905370846043</c:v>
                </c:pt>
                <c:pt idx="318">
                  <c:v>8328.9124668434451</c:v>
                </c:pt>
                <c:pt idx="319">
                  <c:v>8351.0638297871574</c:v>
                </c:pt>
                <c:pt idx="320">
                  <c:v>8345.744680851356</c:v>
                </c:pt>
                <c:pt idx="321">
                  <c:v>8328.9124668434451</c:v>
                </c:pt>
                <c:pt idx="322">
                  <c:v>8335.1063829787818</c:v>
                </c:pt>
                <c:pt idx="323">
                  <c:v>8357.3333333333721</c:v>
                </c:pt>
                <c:pt idx="324">
                  <c:v>8329.7872340419926</c:v>
                </c:pt>
                <c:pt idx="325">
                  <c:v>8335.1063829787818</c:v>
                </c:pt>
                <c:pt idx="326">
                  <c:v>8357.3333333333721</c:v>
                </c:pt>
                <c:pt idx="327">
                  <c:v>8329.7872340424965</c:v>
                </c:pt>
                <c:pt idx="328">
                  <c:v>8342.2459893045016</c:v>
                </c:pt>
                <c:pt idx="329">
                  <c:v>8331.5508021394653</c:v>
                </c:pt>
                <c:pt idx="330">
                  <c:v>8353.8873994642363</c:v>
                </c:pt>
                <c:pt idx="331">
                  <c:v>8326.2032085559749</c:v>
                </c:pt>
                <c:pt idx="332">
                  <c:v>8353.887399463727</c:v>
                </c:pt>
                <c:pt idx="333">
                  <c:v>8331.5508021389778</c:v>
                </c:pt>
                <c:pt idx="334">
                  <c:v>8345.9459459461195</c:v>
                </c:pt>
                <c:pt idx="335">
                  <c:v>8341.4634146337066</c:v>
                </c:pt>
                <c:pt idx="336">
                  <c:v>8341.4634146341996</c:v>
                </c:pt>
                <c:pt idx="337">
                  <c:v>8341.4634146342214</c:v>
                </c:pt>
                <c:pt idx="338">
                  <c:v>8318.9189189189947</c:v>
                </c:pt>
                <c:pt idx="339">
                  <c:v>8341.4634146341996</c:v>
                </c:pt>
                <c:pt idx="340">
                  <c:v>8344.2622950815221</c:v>
                </c:pt>
                <c:pt idx="341">
                  <c:v>8351.6483516485441</c:v>
                </c:pt>
                <c:pt idx="342">
                  <c:v>8323.2876712329489</c:v>
                </c:pt>
                <c:pt idx="343">
                  <c:v>8351.6483516485441</c:v>
                </c:pt>
                <c:pt idx="344">
                  <c:v>8509.8039215685221</c:v>
                </c:pt>
                <c:pt idx="345">
                  <c:v>8888.8888888891834</c:v>
                </c:pt>
                <c:pt idx="346">
                  <c:v>8885.6304985332972</c:v>
                </c:pt>
                <c:pt idx="347">
                  <c:v>8868.0351906155593</c:v>
                </c:pt>
                <c:pt idx="348">
                  <c:v>8888.2352941183453</c:v>
                </c:pt>
                <c:pt idx="349">
                  <c:v>8862.1700879761356</c:v>
                </c:pt>
                <c:pt idx="350">
                  <c:v>8894.1176470591163</c:v>
                </c:pt>
                <c:pt idx="351">
                  <c:v>8862.1700879761356</c:v>
                </c:pt>
                <c:pt idx="352">
                  <c:v>8891.4956011732556</c:v>
                </c:pt>
                <c:pt idx="353">
                  <c:v>8894.7368421056872</c:v>
                </c:pt>
                <c:pt idx="354">
                  <c:v>8868.8046647228894</c:v>
                </c:pt>
                <c:pt idx="355">
                  <c:v>8868.8046647228894</c:v>
                </c:pt>
                <c:pt idx="356">
                  <c:v>8894.7368421051542</c:v>
                </c:pt>
                <c:pt idx="357">
                  <c:v>8868.8046647228894</c:v>
                </c:pt>
                <c:pt idx="358">
                  <c:v>8880.4664723033184</c:v>
                </c:pt>
                <c:pt idx="359">
                  <c:v>8889.5348837207675</c:v>
                </c:pt>
                <c:pt idx="360">
                  <c:v>8863.7681159424756</c:v>
                </c:pt>
                <c:pt idx="361">
                  <c:v>8889.5348837207675</c:v>
                </c:pt>
                <c:pt idx="362">
                  <c:v>8889.5348837207675</c:v>
                </c:pt>
                <c:pt idx="363">
                  <c:v>8863.7681159418917</c:v>
                </c:pt>
                <c:pt idx="364">
                  <c:v>8889.5348837207675</c:v>
                </c:pt>
                <c:pt idx="365">
                  <c:v>8883.7209302328556</c:v>
                </c:pt>
                <c:pt idx="366">
                  <c:v>8863.7681159418917</c:v>
                </c:pt>
                <c:pt idx="367">
                  <c:v>8889.5348837212969</c:v>
                </c:pt>
                <c:pt idx="368">
                  <c:v>8889.5348837207675</c:v>
                </c:pt>
                <c:pt idx="369">
                  <c:v>8863.7681159424756</c:v>
                </c:pt>
                <c:pt idx="370">
                  <c:v>8883.7209302322699</c:v>
                </c:pt>
                <c:pt idx="371">
                  <c:v>8886.2973760930017</c:v>
                </c:pt>
                <c:pt idx="372">
                  <c:v>8880.4664723033184</c:v>
                </c:pt>
                <c:pt idx="373">
                  <c:v>9153.1531531532219</c:v>
                </c:pt>
                <c:pt idx="374">
                  <c:v>10770.318021201536</c:v>
                </c:pt>
                <c:pt idx="375">
                  <c:v>10763.250883391973</c:v>
                </c:pt>
                <c:pt idx="376">
                  <c:v>10732.394366197339</c:v>
                </c:pt>
                <c:pt idx="377">
                  <c:v>10782.918149466142</c:v>
                </c:pt>
                <c:pt idx="378">
                  <c:v>10751.77304964553</c:v>
                </c:pt>
                <c:pt idx="379">
                  <c:v>10744.680851063593</c:v>
                </c:pt>
                <c:pt idx="380">
                  <c:v>10790.035587188719</c:v>
                </c:pt>
                <c:pt idx="381">
                  <c:v>10744.680851063815</c:v>
                </c:pt>
                <c:pt idx="382">
                  <c:v>10751.773049644664</c:v>
                </c:pt>
                <c:pt idx="383">
                  <c:v>10747.330960854561</c:v>
                </c:pt>
                <c:pt idx="384">
                  <c:v>10785.714285714721</c:v>
                </c:pt>
                <c:pt idx="385">
                  <c:v>10747.330960853913</c:v>
                </c:pt>
                <c:pt idx="386">
                  <c:v>10747.330960854561</c:v>
                </c:pt>
                <c:pt idx="387">
                  <c:v>10785.714285713197</c:v>
                </c:pt>
                <c:pt idx="388">
                  <c:v>10747.330960854561</c:v>
                </c:pt>
                <c:pt idx="389">
                  <c:v>10747.330960854561</c:v>
                </c:pt>
                <c:pt idx="390">
                  <c:v>10792.857142857085</c:v>
                </c:pt>
                <c:pt idx="391">
                  <c:v>10747.330960853691</c:v>
                </c:pt>
                <c:pt idx="392">
                  <c:v>10747.330960853913</c:v>
                </c:pt>
                <c:pt idx="393">
                  <c:v>10785.714285714721</c:v>
                </c:pt>
                <c:pt idx="394">
                  <c:v>10747.330960853913</c:v>
                </c:pt>
                <c:pt idx="395">
                  <c:v>10754.448398577137</c:v>
                </c:pt>
                <c:pt idx="396">
                  <c:v>10761.565836298194</c:v>
                </c:pt>
                <c:pt idx="397">
                  <c:v>10754.448398576489</c:v>
                </c:pt>
                <c:pt idx="398">
                  <c:v>10761.565836299063</c:v>
                </c:pt>
                <c:pt idx="399">
                  <c:v>10754.448398577137</c:v>
                </c:pt>
                <c:pt idx="400">
                  <c:v>10761.565836298194</c:v>
                </c:pt>
                <c:pt idx="401">
                  <c:v>10761.565836299063</c:v>
                </c:pt>
                <c:pt idx="402">
                  <c:v>10768.68327402164</c:v>
                </c:pt>
                <c:pt idx="403">
                  <c:v>10761.565836299063</c:v>
                </c:pt>
                <c:pt idx="404">
                  <c:v>10768.683274020768</c:v>
                </c:pt>
                <c:pt idx="405">
                  <c:v>10730.496453901029</c:v>
                </c:pt>
                <c:pt idx="406">
                  <c:v>10768.68327402164</c:v>
                </c:pt>
                <c:pt idx="407">
                  <c:v>10775.800711743568</c:v>
                </c:pt>
                <c:pt idx="408">
                  <c:v>10751.773049644664</c:v>
                </c:pt>
                <c:pt idx="409">
                  <c:v>10033.112582781878</c:v>
                </c:pt>
                <c:pt idx="410">
                  <c:v>9656.0509554143118</c:v>
                </c:pt>
                <c:pt idx="411">
                  <c:v>9619.047619047109</c:v>
                </c:pt>
                <c:pt idx="412">
                  <c:v>9656.0509554148921</c:v>
                </c:pt>
                <c:pt idx="413">
                  <c:v>9649.6815286618803</c:v>
                </c:pt>
                <c:pt idx="414">
                  <c:v>9612.6984126983425</c:v>
                </c:pt>
                <c:pt idx="415">
                  <c:v>9643.3121019108494</c:v>
                </c:pt>
                <c:pt idx="416">
                  <c:v>9643.3121019107293</c:v>
                </c:pt>
                <c:pt idx="417">
                  <c:v>9649.6815286625806</c:v>
                </c:pt>
                <c:pt idx="418">
                  <c:v>9643.3121019107293</c:v>
                </c:pt>
                <c:pt idx="419">
                  <c:v>9630.5732484079654</c:v>
                </c:pt>
                <c:pt idx="420">
                  <c:v>9648.562300319385</c:v>
                </c:pt>
                <c:pt idx="421">
                  <c:v>9617.8343949038044</c:v>
                </c:pt>
                <c:pt idx="422">
                  <c:v>9648.5623003200872</c:v>
                </c:pt>
                <c:pt idx="423">
                  <c:v>9648.562300318803</c:v>
                </c:pt>
                <c:pt idx="424">
                  <c:v>9648.5623003200872</c:v>
                </c:pt>
                <c:pt idx="425">
                  <c:v>9630.5732484072669</c:v>
                </c:pt>
                <c:pt idx="426">
                  <c:v>9656.0509554143118</c:v>
                </c:pt>
                <c:pt idx="427">
                  <c:v>9619.0476190476875</c:v>
                </c:pt>
                <c:pt idx="428">
                  <c:v>9656.0509554143118</c:v>
                </c:pt>
                <c:pt idx="429">
                  <c:v>9619.047619047109</c:v>
                </c:pt>
                <c:pt idx="430">
                  <c:v>9656.0509554136115</c:v>
                </c:pt>
                <c:pt idx="431">
                  <c:v>9631.7460317464956</c:v>
                </c:pt>
                <c:pt idx="432">
                  <c:v>9627.7602523658461</c:v>
                </c:pt>
                <c:pt idx="433">
                  <c:v>9664.5569620260376</c:v>
                </c:pt>
                <c:pt idx="434">
                  <c:v>9627.7602523652731</c:v>
                </c:pt>
                <c:pt idx="435">
                  <c:v>9627.7602523658461</c:v>
                </c:pt>
                <c:pt idx="436">
                  <c:v>9664.5569620260376</c:v>
                </c:pt>
                <c:pt idx="437">
                  <c:v>9627.7602523652731</c:v>
                </c:pt>
                <c:pt idx="438">
                  <c:v>9646.687697160638</c:v>
                </c:pt>
                <c:pt idx="439">
                  <c:v>9646.6876971619058</c:v>
                </c:pt>
                <c:pt idx="440">
                  <c:v>9646.687697160638</c:v>
                </c:pt>
                <c:pt idx="441">
                  <c:v>9155.6886227540708</c:v>
                </c:pt>
                <c:pt idx="442">
                  <c:v>9074.1839762613999</c:v>
                </c:pt>
                <c:pt idx="443">
                  <c:v>9068.2492581603801</c:v>
                </c:pt>
                <c:pt idx="444">
                  <c:v>9091.9881305633062</c:v>
                </c:pt>
                <c:pt idx="445">
                  <c:v>9059.1715976336891</c:v>
                </c:pt>
                <c:pt idx="446">
                  <c:v>9091.9881305633062</c:v>
                </c:pt>
                <c:pt idx="447">
                  <c:v>9086.0534124634396</c:v>
                </c:pt>
                <c:pt idx="448">
                  <c:v>9065.0887573959844</c:v>
                </c:pt>
                <c:pt idx="449">
                  <c:v>9086.0534124634396</c:v>
                </c:pt>
                <c:pt idx="450">
                  <c:v>9071.0059171594276</c:v>
                </c:pt>
                <c:pt idx="451">
                  <c:v>9097.922848664939</c:v>
                </c:pt>
                <c:pt idx="452">
                  <c:v>9065.0887573959844</c:v>
                </c:pt>
                <c:pt idx="453">
                  <c:v>9097.922848664939</c:v>
                </c:pt>
                <c:pt idx="454">
                  <c:v>9071.0059171594276</c:v>
                </c:pt>
                <c:pt idx="455">
                  <c:v>9071.0059171600369</c:v>
                </c:pt>
                <c:pt idx="456">
                  <c:v>9095.2380952381409</c:v>
                </c:pt>
                <c:pt idx="457">
                  <c:v>9068.2492581603801</c:v>
                </c:pt>
                <c:pt idx="458">
                  <c:v>9089.285714285088</c:v>
                </c:pt>
                <c:pt idx="459">
                  <c:v>9068.2492581609204</c:v>
                </c:pt>
                <c:pt idx="460">
                  <c:v>9095.2380952375988</c:v>
                </c:pt>
                <c:pt idx="461">
                  <c:v>9062.3145400593603</c:v>
                </c:pt>
                <c:pt idx="462">
                  <c:v>9077.3809523806085</c:v>
                </c:pt>
                <c:pt idx="463">
                  <c:v>9098.5074626872265</c:v>
                </c:pt>
                <c:pt idx="464">
                  <c:v>9065.4761904755869</c:v>
                </c:pt>
                <c:pt idx="465">
                  <c:v>9098.5074626866844</c:v>
                </c:pt>
                <c:pt idx="466">
                  <c:v>9071.4285714292528</c:v>
                </c:pt>
                <c:pt idx="467">
                  <c:v>9065.4761904755869</c:v>
                </c:pt>
                <c:pt idx="468">
                  <c:v>9098.5074626866844</c:v>
                </c:pt>
                <c:pt idx="469">
                  <c:v>9065.476190476129</c:v>
                </c:pt>
                <c:pt idx="470">
                  <c:v>9180.722891566309</c:v>
                </c:pt>
                <c:pt idx="471">
                  <c:v>9615.1419558356029</c:v>
                </c:pt>
                <c:pt idx="472">
                  <c:v>9639.2405063298575</c:v>
                </c:pt>
                <c:pt idx="473">
                  <c:v>9645.5696202527761</c:v>
                </c:pt>
                <c:pt idx="474">
                  <c:v>9645.5696202527761</c:v>
                </c:pt>
                <c:pt idx="475">
                  <c:v>9639.2405063298575</c:v>
                </c:pt>
                <c:pt idx="476">
                  <c:v>9645.5696202527761</c:v>
                </c:pt>
                <c:pt idx="477">
                  <c:v>9645.5696202534709</c:v>
                </c:pt>
                <c:pt idx="478">
                  <c:v>9639.2405063291626</c:v>
                </c:pt>
                <c:pt idx="479">
                  <c:v>9645.5696202534709</c:v>
                </c:pt>
                <c:pt idx="480">
                  <c:v>9639.2405063278948</c:v>
                </c:pt>
                <c:pt idx="481">
                  <c:v>9632.9113924056692</c:v>
                </c:pt>
                <c:pt idx="482">
                  <c:v>9639.2405063298575</c:v>
                </c:pt>
                <c:pt idx="483">
                  <c:v>9632.9113924037065</c:v>
                </c:pt>
                <c:pt idx="484">
                  <c:v>9632.9113924056692</c:v>
                </c:pt>
                <c:pt idx="485">
                  <c:v>9663.4920634919454</c:v>
                </c:pt>
                <c:pt idx="486">
                  <c:v>9639.2405063292827</c:v>
                </c:pt>
                <c:pt idx="487">
                  <c:v>9632.9113924056692</c:v>
                </c:pt>
                <c:pt idx="488">
                  <c:v>9632.9113924042813</c:v>
                </c:pt>
                <c:pt idx="489">
                  <c:v>9639.2405063292827</c:v>
                </c:pt>
                <c:pt idx="490">
                  <c:v>9632.9113924056692</c:v>
                </c:pt>
                <c:pt idx="491">
                  <c:v>9663.4920634919454</c:v>
                </c:pt>
                <c:pt idx="492">
                  <c:v>9632.9113924050926</c:v>
                </c:pt>
                <c:pt idx="493">
                  <c:v>9650.7936507938339</c:v>
                </c:pt>
                <c:pt idx="494">
                  <c:v>9613.9240506317165</c:v>
                </c:pt>
                <c:pt idx="495">
                  <c:v>9650.7936507946506</c:v>
                </c:pt>
                <c:pt idx="496">
                  <c:v>9644.4444444444889</c:v>
                </c:pt>
                <c:pt idx="497">
                  <c:v>9620.2531645559047</c:v>
                </c:pt>
                <c:pt idx="498">
                  <c:v>9644.4444444453038</c:v>
                </c:pt>
                <c:pt idx="499">
                  <c:v>9643.3121019100308</c:v>
                </c:pt>
                <c:pt idx="500">
                  <c:v>9643.3121019114278</c:v>
                </c:pt>
                <c:pt idx="501">
                  <c:v>9649.6815286625806</c:v>
                </c:pt>
                <c:pt idx="502">
                  <c:v>9552.0504731861074</c:v>
                </c:pt>
                <c:pt idx="503">
                  <c:v>9462.5000000001746</c:v>
                </c:pt>
                <c:pt idx="504">
                  <c:v>9462.4999999993979</c:v>
                </c:pt>
                <c:pt idx="505">
                  <c:v>9456.2500000006057</c:v>
                </c:pt>
                <c:pt idx="506">
                  <c:v>9456.2499999992615</c:v>
                </c:pt>
                <c:pt idx="507">
                  <c:v>9450.0000000004693</c:v>
                </c:pt>
                <c:pt idx="508">
                  <c:v>9456.2500000006057</c:v>
                </c:pt>
                <c:pt idx="509">
                  <c:v>9485.8934169278054</c:v>
                </c:pt>
                <c:pt idx="510">
                  <c:v>9456.249999998694</c:v>
                </c:pt>
                <c:pt idx="511">
                  <c:v>9437.500000000764</c:v>
                </c:pt>
                <c:pt idx="512">
                  <c:v>9467.0846394984983</c:v>
                </c:pt>
                <c:pt idx="513">
                  <c:v>9467.0846394979271</c:v>
                </c:pt>
                <c:pt idx="514">
                  <c:v>9467.0846394984983</c:v>
                </c:pt>
                <c:pt idx="515">
                  <c:v>9467.0846394979271</c:v>
                </c:pt>
                <c:pt idx="516">
                  <c:v>9437.500000000764</c:v>
                </c:pt>
                <c:pt idx="517">
                  <c:v>9477.9874213839539</c:v>
                </c:pt>
                <c:pt idx="518">
                  <c:v>9435.7366771165089</c:v>
                </c:pt>
                <c:pt idx="519">
                  <c:v>9471.6981132063593</c:v>
                </c:pt>
                <c:pt idx="520">
                  <c:v>9471.6981132077144</c:v>
                </c:pt>
                <c:pt idx="521">
                  <c:v>9442.0062695919951</c:v>
                </c:pt>
                <c:pt idx="522">
                  <c:v>9465.4088050326209</c:v>
                </c:pt>
                <c:pt idx="523">
                  <c:v>9459.1194968538857</c:v>
                </c:pt>
                <c:pt idx="524">
                  <c:v>9452.8301886801437</c:v>
                </c:pt>
                <c:pt idx="525">
                  <c:v>9482.6498422714885</c:v>
                </c:pt>
                <c:pt idx="526">
                  <c:v>9452.8301886789995</c:v>
                </c:pt>
                <c:pt idx="527">
                  <c:v>9452.8301886801437</c:v>
                </c:pt>
                <c:pt idx="528">
                  <c:v>9452.8301886787922</c:v>
                </c:pt>
                <c:pt idx="529">
                  <c:v>9476.3406940052191</c:v>
                </c:pt>
                <c:pt idx="530">
                  <c:v>9440.2515723276683</c:v>
                </c:pt>
                <c:pt idx="531">
                  <c:v>9476.3406940063669</c:v>
                </c:pt>
                <c:pt idx="532">
                  <c:v>9440.2515723276683</c:v>
                </c:pt>
                <c:pt idx="533">
                  <c:v>9506.329113923397</c:v>
                </c:pt>
                <c:pt idx="534">
                  <c:v>9652.7331189710476</c:v>
                </c:pt>
                <c:pt idx="535">
                  <c:v>9672.0257234728342</c:v>
                </c:pt>
                <c:pt idx="536">
                  <c:v>9641.0256410253733</c:v>
                </c:pt>
                <c:pt idx="537">
                  <c:v>9672.0257234728342</c:v>
                </c:pt>
                <c:pt idx="538">
                  <c:v>9647.4358974357692</c:v>
                </c:pt>
                <c:pt idx="539">
                  <c:v>9672.0257234728342</c:v>
                </c:pt>
                <c:pt idx="540">
                  <c:v>9641.0256410253733</c:v>
                </c:pt>
                <c:pt idx="541">
                  <c:v>9678.4565916401771</c:v>
                </c:pt>
                <c:pt idx="542">
                  <c:v>9641.0256410253733</c:v>
                </c:pt>
                <c:pt idx="543">
                  <c:v>9672.0257234728342</c:v>
                </c:pt>
                <c:pt idx="544">
                  <c:v>9647.4358974357692</c:v>
                </c:pt>
                <c:pt idx="545">
                  <c:v>9672.0257234728342</c:v>
                </c:pt>
                <c:pt idx="546">
                  <c:v>9641.0256410253733</c:v>
                </c:pt>
                <c:pt idx="547">
                  <c:v>9672.0257234728342</c:v>
                </c:pt>
                <c:pt idx="548">
                  <c:v>9652.7331189722172</c:v>
                </c:pt>
                <c:pt idx="549">
                  <c:v>9690.3225806431328</c:v>
                </c:pt>
                <c:pt idx="550">
                  <c:v>9652.7331189722172</c:v>
                </c:pt>
                <c:pt idx="551">
                  <c:v>9659.1639871381485</c:v>
                </c:pt>
                <c:pt idx="552">
                  <c:v>9652.7331189708057</c:v>
                </c:pt>
                <c:pt idx="553">
                  <c:v>9652.7331189708057</c:v>
                </c:pt>
                <c:pt idx="554">
                  <c:v>9670.9677419356267</c:v>
                </c:pt>
                <c:pt idx="555">
                  <c:v>7508.771929824753</c:v>
                </c:pt>
                <c:pt idx="556">
                  <c:v>7476.3092269321523</c:v>
                </c:pt>
                <c:pt idx="557">
                  <c:v>7471.3216957617278</c:v>
                </c:pt>
                <c:pt idx="558">
                  <c:v>7476.3092269321523</c:v>
                </c:pt>
                <c:pt idx="559">
                  <c:v>7471.3216957608211</c:v>
                </c:pt>
                <c:pt idx="560">
                  <c:v>7470.0000000002547</c:v>
                </c:pt>
                <c:pt idx="561">
                  <c:v>7469.9999999993452</c:v>
                </c:pt>
                <c:pt idx="562">
                  <c:v>7470.0000000002547</c:v>
                </c:pt>
                <c:pt idx="563">
                  <c:v>7475.0000000003638</c:v>
                </c:pt>
                <c:pt idx="564">
                  <c:v>7469.9999999993452</c:v>
                </c:pt>
                <c:pt idx="565">
                  <c:v>7470.0000000002547</c:v>
                </c:pt>
                <c:pt idx="566">
                  <c:v>7761.0389610384918</c:v>
                </c:pt>
                <c:pt idx="567">
                  <c:v>7781.2500000008913</c:v>
                </c:pt>
                <c:pt idx="568">
                  <c:v>7806.7885117489259</c:v>
                </c:pt>
                <c:pt idx="569">
                  <c:v>7781.2499999999709</c:v>
                </c:pt>
                <c:pt idx="570">
                  <c:v>7801.5665796348794</c:v>
                </c:pt>
                <c:pt idx="571">
                  <c:v>8512.8205128192367</c:v>
                </c:pt>
                <c:pt idx="572">
                  <c:v>10094.276094276627</c:v>
                </c:pt>
                <c:pt idx="573">
                  <c:v>10053.691275168652</c:v>
                </c:pt>
                <c:pt idx="574">
                  <c:v>10094.276094275083</c:v>
                </c:pt>
                <c:pt idx="575">
                  <c:v>10060.402684563551</c:v>
                </c:pt>
                <c:pt idx="576">
                  <c:v>10087.542087542473</c:v>
                </c:pt>
                <c:pt idx="577">
                  <c:v>10094.276094276627</c:v>
                </c:pt>
                <c:pt idx="578">
                  <c:v>10080.53691275191</c:v>
                </c:pt>
                <c:pt idx="579">
                  <c:v>10053.511705685261</c:v>
                </c:pt>
                <c:pt idx="580">
                  <c:v>10087.248322146808</c:v>
                </c:pt>
                <c:pt idx="581">
                  <c:v>10087.248322148029</c:v>
                </c:pt>
                <c:pt idx="582">
                  <c:v>10087.248322148029</c:v>
                </c:pt>
                <c:pt idx="583">
                  <c:v>10087.248322146808</c:v>
                </c:pt>
                <c:pt idx="584">
                  <c:v>10066.889632108489</c:v>
                </c:pt>
                <c:pt idx="585">
                  <c:v>10073.578595316589</c:v>
                </c:pt>
                <c:pt idx="586">
                  <c:v>10073.57859531812</c:v>
                </c:pt>
                <c:pt idx="587">
                  <c:v>10107.382550336388</c:v>
                </c:pt>
                <c:pt idx="588">
                  <c:v>10066.88963210574</c:v>
                </c:pt>
                <c:pt idx="589">
                  <c:v>10073.57859531812</c:v>
                </c:pt>
                <c:pt idx="590">
                  <c:v>10086.956521738284</c:v>
                </c:pt>
                <c:pt idx="591">
                  <c:v>10086.956521739818</c:v>
                </c:pt>
                <c:pt idx="592">
                  <c:v>10060.000000000096</c:v>
                </c:pt>
                <c:pt idx="593">
                  <c:v>10093.645484950666</c:v>
                </c:pt>
                <c:pt idx="594">
                  <c:v>10086.956521738284</c:v>
                </c:pt>
                <c:pt idx="595">
                  <c:v>10060.000000000096</c:v>
                </c:pt>
                <c:pt idx="596">
                  <c:v>10100.334448161515</c:v>
                </c:pt>
                <c:pt idx="597">
                  <c:v>10079.999999999322</c:v>
                </c:pt>
                <c:pt idx="598">
                  <c:v>10073.333333333721</c:v>
                </c:pt>
                <c:pt idx="599">
                  <c:v>10175.084175083695</c:v>
                </c:pt>
                <c:pt idx="600">
                  <c:v>10356.164383560688</c:v>
                </c:pt>
                <c:pt idx="601">
                  <c:v>10384.87972508683</c:v>
                </c:pt>
                <c:pt idx="602">
                  <c:v>10327.64505119457</c:v>
                </c:pt>
                <c:pt idx="603">
                  <c:v>10369.86301369922</c:v>
                </c:pt>
                <c:pt idx="604">
                  <c:v>10369.863013697974</c:v>
                </c:pt>
                <c:pt idx="605">
                  <c:v>10376.712328766616</c:v>
                </c:pt>
                <c:pt idx="606">
                  <c:v>10334.470989762514</c:v>
                </c:pt>
                <c:pt idx="607">
                  <c:v>10369.863013697974</c:v>
                </c:pt>
                <c:pt idx="608">
                  <c:v>10374.149659863753</c:v>
                </c:pt>
                <c:pt idx="609">
                  <c:v>10342.28187919447</c:v>
                </c:pt>
                <c:pt idx="610">
                  <c:v>10377.104377104977</c:v>
                </c:pt>
                <c:pt idx="611">
                  <c:v>10342.28187919447</c:v>
                </c:pt>
                <c:pt idx="612">
                  <c:v>10377.104377103389</c:v>
                </c:pt>
                <c:pt idx="613">
                  <c:v>10342.28187919447</c:v>
                </c:pt>
                <c:pt idx="614">
                  <c:v>10377.104377104977</c:v>
                </c:pt>
                <c:pt idx="615">
                  <c:v>10342.281879195691</c:v>
                </c:pt>
                <c:pt idx="616">
                  <c:v>10377.104377103389</c:v>
                </c:pt>
                <c:pt idx="617">
                  <c:v>10342.28187919447</c:v>
                </c:pt>
                <c:pt idx="618">
                  <c:v>10377.104377104977</c:v>
                </c:pt>
                <c:pt idx="619">
                  <c:v>10342.28187919447</c:v>
                </c:pt>
                <c:pt idx="620">
                  <c:v>10378.378378378644</c:v>
                </c:pt>
                <c:pt idx="621">
                  <c:v>10354.948805460137</c:v>
                </c:pt>
                <c:pt idx="622">
                  <c:v>10354.948805459773</c:v>
                </c:pt>
                <c:pt idx="623">
                  <c:v>10354.948805461379</c:v>
                </c:pt>
                <c:pt idx="624">
                  <c:v>10354.948805461379</c:v>
                </c:pt>
                <c:pt idx="625">
                  <c:v>10354.948805459773</c:v>
                </c:pt>
                <c:pt idx="626">
                  <c:v>10354.948805461379</c:v>
                </c:pt>
                <c:pt idx="627">
                  <c:v>10382.252559728187</c:v>
                </c:pt>
                <c:pt idx="628">
                  <c:v>10346.938775509418</c:v>
                </c:pt>
                <c:pt idx="629">
                  <c:v>10346.938775510656</c:v>
                </c:pt>
                <c:pt idx="630">
                  <c:v>10382.252559725335</c:v>
                </c:pt>
                <c:pt idx="631">
                  <c:v>10346.938775512257</c:v>
                </c:pt>
                <c:pt idx="632">
                  <c:v>10382.252559725335</c:v>
                </c:pt>
                <c:pt idx="633">
                  <c:v>10386.440677966544</c:v>
                </c:pt>
                <c:pt idx="634">
                  <c:v>10414.965986395255</c:v>
                </c:pt>
                <c:pt idx="635">
                  <c:v>10450.511945392727</c:v>
                </c:pt>
                <c:pt idx="636">
                  <c:v>10457.337883957807</c:v>
                </c:pt>
                <c:pt idx="637">
                  <c:v>10414.965986394018</c:v>
                </c:pt>
                <c:pt idx="638">
                  <c:v>10457.33788395943</c:v>
                </c:pt>
                <c:pt idx="639">
                  <c:v>10427.118644069129</c:v>
                </c:pt>
                <c:pt idx="640">
                  <c:v>10433.898305083387</c:v>
                </c:pt>
                <c:pt idx="641">
                  <c:v>10469.387755102687</c:v>
                </c:pt>
                <c:pt idx="642">
                  <c:v>10433.898305084995</c:v>
                </c:pt>
                <c:pt idx="643">
                  <c:v>10433.898305084995</c:v>
                </c:pt>
                <c:pt idx="644">
                  <c:v>10433.89830508462</c:v>
                </c:pt>
                <c:pt idx="645">
                  <c:v>10447.457627119189</c:v>
                </c:pt>
                <c:pt idx="646">
                  <c:v>10454.237288134676</c:v>
                </c:pt>
                <c:pt idx="647">
                  <c:v>10412.162162161936</c:v>
                </c:pt>
                <c:pt idx="648">
                  <c:v>10454.237288136286</c:v>
                </c:pt>
                <c:pt idx="649">
                  <c:v>10447.457627119189</c:v>
                </c:pt>
                <c:pt idx="650">
                  <c:v>10418.91891891884</c:v>
                </c:pt>
                <c:pt idx="651">
                  <c:v>10452.702702702132</c:v>
                </c:pt>
                <c:pt idx="652">
                  <c:v>10424.242424241236</c:v>
                </c:pt>
                <c:pt idx="653">
                  <c:v>10466.21621621594</c:v>
                </c:pt>
                <c:pt idx="654">
                  <c:v>10430.976430976987</c:v>
                </c:pt>
                <c:pt idx="655">
                  <c:v>10424.242424244057</c:v>
                </c:pt>
                <c:pt idx="656">
                  <c:v>10466.21621621594</c:v>
                </c:pt>
                <c:pt idx="657">
                  <c:v>10422.818791945463</c:v>
                </c:pt>
                <c:pt idx="658">
                  <c:v>10442.953020135043</c:v>
                </c:pt>
                <c:pt idx="659">
                  <c:v>10436.241610737703</c:v>
                </c:pt>
                <c:pt idx="660">
                  <c:v>10442.953020133822</c:v>
                </c:pt>
                <c:pt idx="661">
                  <c:v>10442.953020135043</c:v>
                </c:pt>
                <c:pt idx="662">
                  <c:v>10436.241610737703</c:v>
                </c:pt>
                <c:pt idx="663">
                  <c:v>10441.471571905919</c:v>
                </c:pt>
                <c:pt idx="664">
                  <c:v>10426.666666666279</c:v>
                </c:pt>
                <c:pt idx="665">
                  <c:v>10468.227424749684</c:v>
                </c:pt>
                <c:pt idx="666">
                  <c:v>10426.666666667492</c:v>
                </c:pt>
                <c:pt idx="667">
                  <c:v>10433.33333333309</c:v>
                </c:pt>
                <c:pt idx="668">
                  <c:v>10392.026578071949</c:v>
                </c:pt>
                <c:pt idx="669">
                  <c:v>10392.026578073519</c:v>
                </c:pt>
                <c:pt idx="670">
                  <c:v>10398.671096345728</c:v>
                </c:pt>
                <c:pt idx="671">
                  <c:v>10392.026578073519</c:v>
                </c:pt>
                <c:pt idx="672">
                  <c:v>10398.671096344518</c:v>
                </c:pt>
                <c:pt idx="673">
                  <c:v>10392.026578074727</c:v>
                </c:pt>
                <c:pt idx="674">
                  <c:v>10433.33333333309</c:v>
                </c:pt>
                <c:pt idx="675">
                  <c:v>10384.105960265155</c:v>
                </c:pt>
                <c:pt idx="676">
                  <c:v>10402.64026402466</c:v>
                </c:pt>
                <c:pt idx="677">
                  <c:v>10402.640264027421</c:v>
                </c:pt>
                <c:pt idx="678">
                  <c:v>10402.64026402586</c:v>
                </c:pt>
                <c:pt idx="679">
                  <c:v>10402.64026402586</c:v>
                </c:pt>
                <c:pt idx="680">
                  <c:v>10396.03960396127</c:v>
                </c:pt>
                <c:pt idx="681">
                  <c:v>10381.578947368977</c:v>
                </c:pt>
                <c:pt idx="682">
                  <c:v>10421.052631579167</c:v>
                </c:pt>
                <c:pt idx="683">
                  <c:v>10386.885245901116</c:v>
                </c:pt>
                <c:pt idx="684">
                  <c:v>10421.05263157797</c:v>
                </c:pt>
                <c:pt idx="685">
                  <c:v>10380.327868852984</c:v>
                </c:pt>
                <c:pt idx="686">
                  <c:v>10386.885245901472</c:v>
                </c:pt>
                <c:pt idx="687">
                  <c:v>10421.052631579167</c:v>
                </c:pt>
                <c:pt idx="688">
                  <c:v>10386.885245901116</c:v>
                </c:pt>
                <c:pt idx="689">
                  <c:v>10414.473684210603</c:v>
                </c:pt>
                <c:pt idx="690">
                  <c:v>10386.885245902664</c:v>
                </c:pt>
                <c:pt idx="691">
                  <c:v>10421.05263157761</c:v>
                </c:pt>
                <c:pt idx="692">
                  <c:v>10386.885245902664</c:v>
                </c:pt>
                <c:pt idx="693">
                  <c:v>10386.885245901116</c:v>
                </c:pt>
                <c:pt idx="694">
                  <c:v>10413.114754098768</c:v>
                </c:pt>
                <c:pt idx="695">
                  <c:v>10413.114754098408</c:v>
                </c:pt>
                <c:pt idx="696">
                  <c:v>10379.084967319923</c:v>
                </c:pt>
                <c:pt idx="697">
                  <c:v>10413.114754098408</c:v>
                </c:pt>
                <c:pt idx="698">
                  <c:v>10379.084967319923</c:v>
                </c:pt>
                <c:pt idx="699">
                  <c:v>10419.672131149286</c:v>
                </c:pt>
                <c:pt idx="700">
                  <c:v>10766.101694913716</c:v>
                </c:pt>
                <c:pt idx="701">
                  <c:v>10951.724137930139</c:v>
                </c:pt>
                <c:pt idx="702">
                  <c:v>10914.089347080284</c:v>
                </c:pt>
                <c:pt idx="703">
                  <c:v>10951.724137930139</c:v>
                </c:pt>
                <c:pt idx="704">
                  <c:v>10958.620689655681</c:v>
                </c:pt>
                <c:pt idx="705">
                  <c:v>10914.089347079032</c:v>
                </c:pt>
                <c:pt idx="706">
                  <c:v>10948.45360824817</c:v>
                </c:pt>
                <c:pt idx="707">
                  <c:v>10955.326460481998</c:v>
                </c:pt>
                <c:pt idx="708">
                  <c:v>10924.657534245556</c:v>
                </c:pt>
                <c:pt idx="709">
                  <c:v>10955.326460480286</c:v>
                </c:pt>
                <c:pt idx="710">
                  <c:v>10917.808219179858</c:v>
                </c:pt>
                <c:pt idx="711">
                  <c:v>10955.326460479037</c:v>
                </c:pt>
                <c:pt idx="712">
                  <c:v>10917.80821917816</c:v>
                </c:pt>
                <c:pt idx="713">
                  <c:v>10962.199312715824</c:v>
                </c:pt>
                <c:pt idx="714">
                  <c:v>10917.808219176914</c:v>
                </c:pt>
                <c:pt idx="715">
                  <c:v>10955.326460481998</c:v>
                </c:pt>
                <c:pt idx="716">
                  <c:v>10955.326460481998</c:v>
                </c:pt>
                <c:pt idx="717">
                  <c:v>10924.657534245556</c:v>
                </c:pt>
                <c:pt idx="718">
                  <c:v>10945.205479452728</c:v>
                </c:pt>
                <c:pt idx="719">
                  <c:v>10928.327645051953</c:v>
                </c:pt>
                <c:pt idx="720">
                  <c:v>10965.753424656164</c:v>
                </c:pt>
                <c:pt idx="721">
                  <c:v>10921.501706483557</c:v>
                </c:pt>
                <c:pt idx="722">
                  <c:v>10928.327645051953</c:v>
                </c:pt>
                <c:pt idx="723">
                  <c:v>10965.753424657411</c:v>
                </c:pt>
                <c:pt idx="724">
                  <c:v>10928.327645051953</c:v>
                </c:pt>
                <c:pt idx="725">
                  <c:v>10921.501706483557</c:v>
                </c:pt>
                <c:pt idx="726">
                  <c:v>10965.753424659117</c:v>
                </c:pt>
                <c:pt idx="727">
                  <c:v>10928.327645050258</c:v>
                </c:pt>
                <c:pt idx="728">
                  <c:v>10928.327645051953</c:v>
                </c:pt>
                <c:pt idx="729">
                  <c:v>10958.904109588768</c:v>
                </c:pt>
                <c:pt idx="730">
                  <c:v>10935.153583617415</c:v>
                </c:pt>
                <c:pt idx="731">
                  <c:v>10935.153583616961</c:v>
                </c:pt>
                <c:pt idx="732">
                  <c:v>10941.979522185358</c:v>
                </c:pt>
                <c:pt idx="733">
                  <c:v>10935.153583618656</c:v>
                </c:pt>
                <c:pt idx="734">
                  <c:v>10935.153583615718</c:v>
                </c:pt>
                <c:pt idx="735">
                  <c:v>10935.153583618656</c:v>
                </c:pt>
                <c:pt idx="736">
                  <c:v>10904.761904762148</c:v>
                </c:pt>
                <c:pt idx="737">
                  <c:v>10935.153583618656</c:v>
                </c:pt>
                <c:pt idx="738">
                  <c:v>10897.959183672327</c:v>
                </c:pt>
                <c:pt idx="739">
                  <c:v>10941.979522183661</c:v>
                </c:pt>
                <c:pt idx="740">
                  <c:v>10897.959183673564</c:v>
                </c:pt>
                <c:pt idx="741">
                  <c:v>10935.153583617415</c:v>
                </c:pt>
                <c:pt idx="742">
                  <c:v>10904.761904762148</c:v>
                </c:pt>
                <c:pt idx="743">
                  <c:v>10935.153583618656</c:v>
                </c:pt>
                <c:pt idx="744">
                  <c:v>10897.959183673564</c:v>
                </c:pt>
                <c:pt idx="745">
                  <c:v>10941.979522184116</c:v>
                </c:pt>
                <c:pt idx="746">
                  <c:v>10897.959183673564</c:v>
                </c:pt>
                <c:pt idx="747">
                  <c:v>10935.153583616961</c:v>
                </c:pt>
                <c:pt idx="748">
                  <c:v>10941.979522184116</c:v>
                </c:pt>
                <c:pt idx="749">
                  <c:v>10897.959183673564</c:v>
                </c:pt>
                <c:pt idx="750">
                  <c:v>10935.153583618656</c:v>
                </c:pt>
                <c:pt idx="751">
                  <c:v>10897.959183673564</c:v>
                </c:pt>
                <c:pt idx="752">
                  <c:v>10941.979522184116</c:v>
                </c:pt>
                <c:pt idx="753">
                  <c:v>10897.959183673564</c:v>
                </c:pt>
                <c:pt idx="754">
                  <c:v>10935.153583616961</c:v>
                </c:pt>
                <c:pt idx="755">
                  <c:v>10904.761904762148</c:v>
                </c:pt>
                <c:pt idx="756">
                  <c:v>10935.153583617415</c:v>
                </c:pt>
                <c:pt idx="757">
                  <c:v>10897.959183673564</c:v>
                </c:pt>
                <c:pt idx="758">
                  <c:v>10941.979522185358</c:v>
                </c:pt>
                <c:pt idx="759">
                  <c:v>10897.959183672327</c:v>
                </c:pt>
                <c:pt idx="760">
                  <c:v>10935.153583618656</c:v>
                </c:pt>
                <c:pt idx="761">
                  <c:v>10941.979522183661</c:v>
                </c:pt>
                <c:pt idx="762">
                  <c:v>10897.959183673564</c:v>
                </c:pt>
                <c:pt idx="763">
                  <c:v>10935.153583617415</c:v>
                </c:pt>
                <c:pt idx="764">
                  <c:v>10897.959183673564</c:v>
                </c:pt>
                <c:pt idx="765">
                  <c:v>10941.979522185358</c:v>
                </c:pt>
                <c:pt idx="766">
                  <c:v>10897.959183673564</c:v>
                </c:pt>
                <c:pt idx="767">
                  <c:v>10935.153583617415</c:v>
                </c:pt>
                <c:pt idx="768">
                  <c:v>11368.794326240941</c:v>
                </c:pt>
                <c:pt idx="769">
                  <c:v>12229.00763358863</c:v>
                </c:pt>
                <c:pt idx="770">
                  <c:v>12229.007633585117</c:v>
                </c:pt>
                <c:pt idx="771">
                  <c:v>12236.641221375057</c:v>
                </c:pt>
                <c:pt idx="772">
                  <c:v>12275.862068965253</c:v>
                </c:pt>
                <c:pt idx="773">
                  <c:v>12229.00763358863</c:v>
                </c:pt>
                <c:pt idx="774">
                  <c:v>12236.641221373668</c:v>
                </c:pt>
                <c:pt idx="775">
                  <c:v>12229.00763358863</c:v>
                </c:pt>
                <c:pt idx="776">
                  <c:v>12229.007633586507</c:v>
                </c:pt>
                <c:pt idx="777">
                  <c:v>12229.00763358863</c:v>
                </c:pt>
                <c:pt idx="778">
                  <c:v>12283.524904215208</c:v>
                </c:pt>
                <c:pt idx="779">
                  <c:v>12229.007633586507</c:v>
                </c:pt>
                <c:pt idx="780">
                  <c:v>12229.00763358863</c:v>
                </c:pt>
                <c:pt idx="781">
                  <c:v>12236.641221373668</c:v>
                </c:pt>
                <c:pt idx="782">
                  <c:v>12229.00763358863</c:v>
                </c:pt>
                <c:pt idx="783">
                  <c:v>12275.862068965253</c:v>
                </c:pt>
                <c:pt idx="784">
                  <c:v>12236.641221373668</c:v>
                </c:pt>
                <c:pt idx="785">
                  <c:v>12229.007633586507</c:v>
                </c:pt>
                <c:pt idx="786">
                  <c:v>12229.00763358863</c:v>
                </c:pt>
                <c:pt idx="787">
                  <c:v>12229.00763358863</c:v>
                </c:pt>
                <c:pt idx="788">
                  <c:v>12283.524904213067</c:v>
                </c:pt>
                <c:pt idx="789">
                  <c:v>12229.00763358863</c:v>
                </c:pt>
                <c:pt idx="790">
                  <c:v>12229.00763358863</c:v>
                </c:pt>
                <c:pt idx="791">
                  <c:v>12236.641221372931</c:v>
                </c:pt>
                <c:pt idx="792">
                  <c:v>12229.007633587242</c:v>
                </c:pt>
                <c:pt idx="793">
                  <c:v>12229.00763358863</c:v>
                </c:pt>
                <c:pt idx="794">
                  <c:v>12283.524904214462</c:v>
                </c:pt>
                <c:pt idx="795">
                  <c:v>12229.007633587242</c:v>
                </c:pt>
                <c:pt idx="796">
                  <c:v>12229.00763358863</c:v>
                </c:pt>
                <c:pt idx="797">
                  <c:v>12236.641221375057</c:v>
                </c:pt>
                <c:pt idx="798">
                  <c:v>12229.007633586507</c:v>
                </c:pt>
                <c:pt idx="799">
                  <c:v>12275.862068965998</c:v>
                </c:pt>
                <c:pt idx="800">
                  <c:v>12229.007633586507</c:v>
                </c:pt>
                <c:pt idx="801">
                  <c:v>12236.641221375057</c:v>
                </c:pt>
                <c:pt idx="802">
                  <c:v>12229.00763358863</c:v>
                </c:pt>
                <c:pt idx="803">
                  <c:v>12229.007633587242</c:v>
                </c:pt>
                <c:pt idx="804">
                  <c:v>12236.641221372931</c:v>
                </c:pt>
                <c:pt idx="805">
                  <c:v>12275.862068967392</c:v>
                </c:pt>
                <c:pt idx="806">
                  <c:v>12090.56603773439</c:v>
                </c:pt>
                <c:pt idx="807">
                  <c:v>11491.039426523917</c:v>
                </c:pt>
                <c:pt idx="808">
                  <c:v>11525.179856114592</c:v>
                </c:pt>
                <c:pt idx="809">
                  <c:v>11483.870967742399</c:v>
                </c:pt>
                <c:pt idx="810">
                  <c:v>11483.870967741095</c:v>
                </c:pt>
                <c:pt idx="811">
                  <c:v>11532.374100719066</c:v>
                </c:pt>
                <c:pt idx="812">
                  <c:v>11483.870967742399</c:v>
                </c:pt>
                <c:pt idx="813">
                  <c:v>11483.870967742399</c:v>
                </c:pt>
                <c:pt idx="814">
                  <c:v>11532.374100719644</c:v>
                </c:pt>
                <c:pt idx="815">
                  <c:v>11483.870967742399</c:v>
                </c:pt>
                <c:pt idx="816">
                  <c:v>11483.870967742399</c:v>
                </c:pt>
                <c:pt idx="817">
                  <c:v>11532.374100717756</c:v>
                </c:pt>
                <c:pt idx="818">
                  <c:v>11483.870967742399</c:v>
                </c:pt>
                <c:pt idx="819">
                  <c:v>11483.870967742399</c:v>
                </c:pt>
                <c:pt idx="820">
                  <c:v>11532.374100719066</c:v>
                </c:pt>
                <c:pt idx="821">
                  <c:v>11483.870967741095</c:v>
                </c:pt>
                <c:pt idx="822">
                  <c:v>11483.870967742399</c:v>
                </c:pt>
                <c:pt idx="823">
                  <c:v>11525.179856116478</c:v>
                </c:pt>
                <c:pt idx="824">
                  <c:v>11491.039426522613</c:v>
                </c:pt>
                <c:pt idx="825">
                  <c:v>11483.870967740526</c:v>
                </c:pt>
                <c:pt idx="826">
                  <c:v>11525.179856116478</c:v>
                </c:pt>
                <c:pt idx="827">
                  <c:v>11491.039426523917</c:v>
                </c:pt>
                <c:pt idx="828">
                  <c:v>11483.870967741095</c:v>
                </c:pt>
                <c:pt idx="829">
                  <c:v>11525.179856114592</c:v>
                </c:pt>
                <c:pt idx="830">
                  <c:v>11491.039426523917</c:v>
                </c:pt>
                <c:pt idx="831">
                  <c:v>11483.870967742399</c:v>
                </c:pt>
                <c:pt idx="832">
                  <c:v>11525.179856113284</c:v>
                </c:pt>
                <c:pt idx="833">
                  <c:v>11483.870967742399</c:v>
                </c:pt>
                <c:pt idx="834">
                  <c:v>11491.039426523917</c:v>
                </c:pt>
                <c:pt idx="835">
                  <c:v>11525.17985611517</c:v>
                </c:pt>
                <c:pt idx="836">
                  <c:v>11483.870967742399</c:v>
                </c:pt>
                <c:pt idx="837">
                  <c:v>11491.039426523917</c:v>
                </c:pt>
                <c:pt idx="838">
                  <c:v>11525.179856114592</c:v>
                </c:pt>
                <c:pt idx="839">
                  <c:v>11483.870967741095</c:v>
                </c:pt>
                <c:pt idx="840">
                  <c:v>11491.039426523917</c:v>
                </c:pt>
                <c:pt idx="841">
                  <c:v>11525.179856114592</c:v>
                </c:pt>
                <c:pt idx="842">
                  <c:v>11321.55477031862</c:v>
                </c:pt>
                <c:pt idx="843">
                  <c:v>11017.182130583942</c:v>
                </c:pt>
                <c:pt idx="844">
                  <c:v>11010.309278349647</c:v>
                </c:pt>
                <c:pt idx="845">
                  <c:v>10972.602739727761</c:v>
                </c:pt>
                <c:pt idx="846">
                  <c:v>11010.309278348395</c:v>
                </c:pt>
                <c:pt idx="847">
                  <c:v>11017.182130585194</c:v>
                </c:pt>
                <c:pt idx="848">
                  <c:v>10972.602739726053</c:v>
                </c:pt>
                <c:pt idx="849">
                  <c:v>11010.309278351366</c:v>
                </c:pt>
                <c:pt idx="850">
                  <c:v>11017.182130583942</c:v>
                </c:pt>
                <c:pt idx="851">
                  <c:v>10972.602739726053</c:v>
                </c:pt>
                <c:pt idx="852">
                  <c:v>11010.309278349647</c:v>
                </c:pt>
                <c:pt idx="853">
                  <c:v>11017.182130583942</c:v>
                </c:pt>
                <c:pt idx="854">
                  <c:v>10972.602739726053</c:v>
                </c:pt>
                <c:pt idx="855">
                  <c:v>11010.309278351366</c:v>
                </c:pt>
                <c:pt idx="856">
                  <c:v>11017.182130585194</c:v>
                </c:pt>
                <c:pt idx="857">
                  <c:v>11010.309278348395</c:v>
                </c:pt>
                <c:pt idx="858">
                  <c:v>10972.602739726053</c:v>
                </c:pt>
                <c:pt idx="859">
                  <c:v>11010.309278351366</c:v>
                </c:pt>
                <c:pt idx="860">
                  <c:v>11017.182130583942</c:v>
                </c:pt>
                <c:pt idx="861">
                  <c:v>10972.602739726053</c:v>
                </c:pt>
                <c:pt idx="862">
                  <c:v>11010.309278351366</c:v>
                </c:pt>
                <c:pt idx="863">
                  <c:v>11017.182130583473</c:v>
                </c:pt>
                <c:pt idx="864">
                  <c:v>10972.602739724807</c:v>
                </c:pt>
                <c:pt idx="865">
                  <c:v>11010.309278351366</c:v>
                </c:pt>
                <c:pt idx="866">
                  <c:v>11017.182130585194</c:v>
                </c:pt>
                <c:pt idx="867">
                  <c:v>10972.602739726053</c:v>
                </c:pt>
                <c:pt idx="868">
                  <c:v>11010.309278350116</c:v>
                </c:pt>
                <c:pt idx="869">
                  <c:v>11010.309278349647</c:v>
                </c:pt>
                <c:pt idx="870">
                  <c:v>10979.452054794696</c:v>
                </c:pt>
                <c:pt idx="871">
                  <c:v>11010.309278350116</c:v>
                </c:pt>
                <c:pt idx="872">
                  <c:v>11010.309278351366</c:v>
                </c:pt>
                <c:pt idx="873">
                  <c:v>10979.452054794696</c:v>
                </c:pt>
                <c:pt idx="874">
                  <c:v>11010.309278351366</c:v>
                </c:pt>
                <c:pt idx="875">
                  <c:v>11010.309278348395</c:v>
                </c:pt>
                <c:pt idx="876">
                  <c:v>10979.452054796404</c:v>
                </c:pt>
                <c:pt idx="877">
                  <c:v>11566.787003608601</c:v>
                </c:pt>
                <c:pt idx="878">
                  <c:v>11566.7870036105</c:v>
                </c:pt>
                <c:pt idx="879">
                  <c:v>11574.007220215843</c:v>
                </c:pt>
                <c:pt idx="880">
                  <c:v>11566.7870036105</c:v>
                </c:pt>
                <c:pt idx="881">
                  <c:v>11566.7870036105</c:v>
                </c:pt>
                <c:pt idx="882">
                  <c:v>11566.787003609186</c:v>
                </c:pt>
                <c:pt idx="883">
                  <c:v>11615.942028986978</c:v>
                </c:pt>
                <c:pt idx="884">
                  <c:v>11566.7870036105</c:v>
                </c:pt>
                <c:pt idx="885">
                  <c:v>11566.7870036105</c:v>
                </c:pt>
                <c:pt idx="886">
                  <c:v>11574.007220215843</c:v>
                </c:pt>
                <c:pt idx="887">
                  <c:v>11566.7870036105</c:v>
                </c:pt>
                <c:pt idx="888">
                  <c:v>11566.7870036105</c:v>
                </c:pt>
                <c:pt idx="889">
                  <c:v>11574.007220215843</c:v>
                </c:pt>
                <c:pt idx="890">
                  <c:v>11608.69565217331</c:v>
                </c:pt>
                <c:pt idx="891">
                  <c:v>11566.7870036105</c:v>
                </c:pt>
                <c:pt idx="892">
                  <c:v>11566.7870036105</c:v>
                </c:pt>
                <c:pt idx="893">
                  <c:v>11574.007220215843</c:v>
                </c:pt>
                <c:pt idx="894">
                  <c:v>11566.7870036105</c:v>
                </c:pt>
                <c:pt idx="895">
                  <c:v>11566.7870036105</c:v>
                </c:pt>
                <c:pt idx="896">
                  <c:v>11574.007220217156</c:v>
                </c:pt>
                <c:pt idx="897">
                  <c:v>11608.695652171993</c:v>
                </c:pt>
                <c:pt idx="898">
                  <c:v>11566.7870036105</c:v>
                </c:pt>
                <c:pt idx="899">
                  <c:v>11574.007220217156</c:v>
                </c:pt>
                <c:pt idx="900">
                  <c:v>11566.787003609186</c:v>
                </c:pt>
                <c:pt idx="901">
                  <c:v>11566.7870036105</c:v>
                </c:pt>
                <c:pt idx="902">
                  <c:v>11574.007220217156</c:v>
                </c:pt>
                <c:pt idx="903">
                  <c:v>11566.7870036105</c:v>
                </c:pt>
                <c:pt idx="904">
                  <c:v>11608.695652171993</c:v>
                </c:pt>
                <c:pt idx="905">
                  <c:v>11608.695652175224</c:v>
                </c:pt>
                <c:pt idx="906">
                  <c:v>12426.356589148145</c:v>
                </c:pt>
                <c:pt idx="907">
                  <c:v>12418.604651163478</c:v>
                </c:pt>
                <c:pt idx="908">
                  <c:v>12418.604651159882</c:v>
                </c:pt>
                <c:pt idx="909">
                  <c:v>12474.708171208149</c:v>
                </c:pt>
                <c:pt idx="910">
                  <c:v>12418.604651163478</c:v>
                </c:pt>
                <c:pt idx="911">
                  <c:v>12418.604651162068</c:v>
                </c:pt>
              </c:numCache>
            </c:numRef>
          </c:xVal>
          <c:yVal>
            <c:numRef>
              <c:f>'NunR-005'!$D$15:$D$926</c:f>
              <c:numCache>
                <c:formatCode>0.00</c:formatCode>
                <c:ptCount val="912"/>
                <c:pt idx="0">
                  <c:v>0</c:v>
                </c:pt>
                <c:pt idx="1">
                  <c:v>15.74</c:v>
                </c:pt>
                <c:pt idx="2">
                  <c:v>32.15</c:v>
                </c:pt>
                <c:pt idx="3">
                  <c:v>48.55</c:v>
                </c:pt>
                <c:pt idx="4">
                  <c:v>64.95</c:v>
                </c:pt>
                <c:pt idx="5">
                  <c:v>81.36</c:v>
                </c:pt>
                <c:pt idx="6">
                  <c:v>97.76</c:v>
                </c:pt>
                <c:pt idx="7">
                  <c:v>114.17</c:v>
                </c:pt>
                <c:pt idx="8">
                  <c:v>130.57</c:v>
                </c:pt>
                <c:pt idx="9">
                  <c:v>146.97999999999999</c:v>
                </c:pt>
                <c:pt idx="10">
                  <c:v>163.38</c:v>
                </c:pt>
                <c:pt idx="11">
                  <c:v>179.78</c:v>
                </c:pt>
                <c:pt idx="12">
                  <c:v>196.19</c:v>
                </c:pt>
                <c:pt idx="13">
                  <c:v>212.59</c:v>
                </c:pt>
                <c:pt idx="14">
                  <c:v>229</c:v>
                </c:pt>
                <c:pt idx="15">
                  <c:v>245.4</c:v>
                </c:pt>
                <c:pt idx="16">
                  <c:v>261.8</c:v>
                </c:pt>
                <c:pt idx="17">
                  <c:v>278.20999999999998</c:v>
                </c:pt>
                <c:pt idx="18">
                  <c:v>294.61</c:v>
                </c:pt>
                <c:pt idx="19">
                  <c:v>311.02</c:v>
                </c:pt>
                <c:pt idx="20">
                  <c:v>327.42</c:v>
                </c:pt>
                <c:pt idx="21">
                  <c:v>343.82</c:v>
                </c:pt>
                <c:pt idx="22">
                  <c:v>360.23</c:v>
                </c:pt>
                <c:pt idx="23">
                  <c:v>376.63</c:v>
                </c:pt>
                <c:pt idx="24">
                  <c:v>393.04</c:v>
                </c:pt>
                <c:pt idx="25">
                  <c:v>409.44</c:v>
                </c:pt>
                <c:pt idx="26">
                  <c:v>425.84</c:v>
                </c:pt>
                <c:pt idx="27">
                  <c:v>442.25</c:v>
                </c:pt>
                <c:pt idx="28">
                  <c:v>458.65</c:v>
                </c:pt>
                <c:pt idx="29">
                  <c:v>475.06</c:v>
                </c:pt>
                <c:pt idx="30">
                  <c:v>491.46</c:v>
                </c:pt>
                <c:pt idx="31">
                  <c:v>507.86</c:v>
                </c:pt>
                <c:pt idx="32">
                  <c:v>524.27</c:v>
                </c:pt>
                <c:pt idx="33">
                  <c:v>540.66999999999996</c:v>
                </c:pt>
                <c:pt idx="34">
                  <c:v>557.08000000000004</c:v>
                </c:pt>
                <c:pt idx="35">
                  <c:v>573.48</c:v>
                </c:pt>
                <c:pt idx="36">
                  <c:v>589.89</c:v>
                </c:pt>
                <c:pt idx="37">
                  <c:v>606.29</c:v>
                </c:pt>
                <c:pt idx="38">
                  <c:v>622.69000000000005</c:v>
                </c:pt>
                <c:pt idx="39">
                  <c:v>639.1</c:v>
                </c:pt>
                <c:pt idx="40">
                  <c:v>655.5</c:v>
                </c:pt>
                <c:pt idx="41">
                  <c:v>671.91</c:v>
                </c:pt>
                <c:pt idx="42">
                  <c:v>688.31</c:v>
                </c:pt>
                <c:pt idx="43">
                  <c:v>704.71</c:v>
                </c:pt>
                <c:pt idx="44">
                  <c:v>721.12</c:v>
                </c:pt>
                <c:pt idx="45">
                  <c:v>737.52</c:v>
                </c:pt>
                <c:pt idx="46">
                  <c:v>753.93</c:v>
                </c:pt>
                <c:pt idx="47">
                  <c:v>770.33</c:v>
                </c:pt>
                <c:pt idx="48">
                  <c:v>786.74</c:v>
                </c:pt>
                <c:pt idx="49">
                  <c:v>803.14</c:v>
                </c:pt>
                <c:pt idx="50">
                  <c:v>819.54</c:v>
                </c:pt>
                <c:pt idx="51">
                  <c:v>835.95</c:v>
                </c:pt>
                <c:pt idx="52">
                  <c:v>852.35</c:v>
                </c:pt>
                <c:pt idx="53">
                  <c:v>868.76</c:v>
                </c:pt>
                <c:pt idx="54">
                  <c:v>885.16</c:v>
                </c:pt>
                <c:pt idx="55">
                  <c:v>901.56</c:v>
                </c:pt>
                <c:pt idx="56">
                  <c:v>917.97</c:v>
                </c:pt>
                <c:pt idx="57">
                  <c:v>934.37</c:v>
                </c:pt>
                <c:pt idx="58">
                  <c:v>950.78</c:v>
                </c:pt>
                <c:pt idx="59">
                  <c:v>967.18</c:v>
                </c:pt>
                <c:pt idx="60">
                  <c:v>983.58</c:v>
                </c:pt>
                <c:pt idx="61">
                  <c:v>999.99</c:v>
                </c:pt>
                <c:pt idx="62">
                  <c:v>1016.39</c:v>
                </c:pt>
                <c:pt idx="63" formatCode="0.0">
                  <c:v>1032.8</c:v>
                </c:pt>
                <c:pt idx="64" formatCode="0.0">
                  <c:v>1049.2</c:v>
                </c:pt>
                <c:pt idx="65" formatCode="0.0">
                  <c:v>1065.5999999999999</c:v>
                </c:pt>
                <c:pt idx="66" formatCode="0.0">
                  <c:v>1082.01</c:v>
                </c:pt>
                <c:pt idx="67" formatCode="0.0">
                  <c:v>1098.4100000000001</c:v>
                </c:pt>
                <c:pt idx="68" formatCode="0.0">
                  <c:v>1114.82</c:v>
                </c:pt>
                <c:pt idx="69" formatCode="0.0">
                  <c:v>1131.22</c:v>
                </c:pt>
                <c:pt idx="70" formatCode="0.0">
                  <c:v>1147.6199999999999</c:v>
                </c:pt>
                <c:pt idx="71" formatCode="0.0">
                  <c:v>1164.03</c:v>
                </c:pt>
                <c:pt idx="72" formatCode="0.0">
                  <c:v>1180.43</c:v>
                </c:pt>
                <c:pt idx="73" formatCode="0.0">
                  <c:v>1196.8399999999999</c:v>
                </c:pt>
                <c:pt idx="74" formatCode="0.0">
                  <c:v>1213.24</c:v>
                </c:pt>
                <c:pt idx="75" formatCode="0.0">
                  <c:v>1229.6400000000001</c:v>
                </c:pt>
                <c:pt idx="76" formatCode="0.0">
                  <c:v>1246.05</c:v>
                </c:pt>
                <c:pt idx="77" formatCode="0.0">
                  <c:v>1262.45</c:v>
                </c:pt>
                <c:pt idx="78" formatCode="0.0">
                  <c:v>1278.8599999999999</c:v>
                </c:pt>
                <c:pt idx="79" formatCode="0.0">
                  <c:v>1295.26</c:v>
                </c:pt>
                <c:pt idx="80" formatCode="0.0">
                  <c:v>1311.66</c:v>
                </c:pt>
                <c:pt idx="81" formatCode="0.0">
                  <c:v>1328.07</c:v>
                </c:pt>
                <c:pt idx="82" formatCode="0.0">
                  <c:v>1344.47</c:v>
                </c:pt>
                <c:pt idx="83" formatCode="0.0">
                  <c:v>1360.88</c:v>
                </c:pt>
                <c:pt idx="84" formatCode="0.0">
                  <c:v>1377.28</c:v>
                </c:pt>
                <c:pt idx="85" formatCode="0.0">
                  <c:v>1393.68</c:v>
                </c:pt>
                <c:pt idx="86" formatCode="0.0">
                  <c:v>1410.09</c:v>
                </c:pt>
                <c:pt idx="87" formatCode="0.0">
                  <c:v>1426.49</c:v>
                </c:pt>
                <c:pt idx="88" formatCode="0.0">
                  <c:v>1442.9</c:v>
                </c:pt>
                <c:pt idx="89" formatCode="0.0">
                  <c:v>1459.3</c:v>
                </c:pt>
                <c:pt idx="90" formatCode="0.0">
                  <c:v>1475.71</c:v>
                </c:pt>
                <c:pt idx="91" formatCode="0.0">
                  <c:v>1492.11</c:v>
                </c:pt>
                <c:pt idx="92" formatCode="0.0">
                  <c:v>1508.51</c:v>
                </c:pt>
                <c:pt idx="93" formatCode="0.0">
                  <c:v>1524.92</c:v>
                </c:pt>
                <c:pt idx="94" formatCode="0.0">
                  <c:v>1541.32</c:v>
                </c:pt>
                <c:pt idx="95" formatCode="0.0">
                  <c:v>1557.73</c:v>
                </c:pt>
                <c:pt idx="96" formatCode="0.0">
                  <c:v>1574.13</c:v>
                </c:pt>
                <c:pt idx="97" formatCode="0.0">
                  <c:v>1590.53</c:v>
                </c:pt>
                <c:pt idx="98" formatCode="0.0">
                  <c:v>1606.94</c:v>
                </c:pt>
                <c:pt idx="99" formatCode="0.0">
                  <c:v>1623.34</c:v>
                </c:pt>
                <c:pt idx="100" formatCode="0.0">
                  <c:v>1639.75</c:v>
                </c:pt>
                <c:pt idx="101" formatCode="0.0">
                  <c:v>1656.15</c:v>
                </c:pt>
                <c:pt idx="102" formatCode="0.0">
                  <c:v>1672.55</c:v>
                </c:pt>
                <c:pt idx="103" formatCode="0.0">
                  <c:v>1688.96</c:v>
                </c:pt>
                <c:pt idx="104" formatCode="0.0">
                  <c:v>1705.36</c:v>
                </c:pt>
                <c:pt idx="105" formatCode="0.0">
                  <c:v>1721.77</c:v>
                </c:pt>
                <c:pt idx="106" formatCode="0.0">
                  <c:v>1738.17</c:v>
                </c:pt>
                <c:pt idx="107" formatCode="0.0">
                  <c:v>1754.57</c:v>
                </c:pt>
                <c:pt idx="108" formatCode="0.0">
                  <c:v>1770.98</c:v>
                </c:pt>
                <c:pt idx="109" formatCode="0.0">
                  <c:v>1787.38</c:v>
                </c:pt>
                <c:pt idx="110" formatCode="0.0">
                  <c:v>1803.79</c:v>
                </c:pt>
                <c:pt idx="111" formatCode="0.0">
                  <c:v>1820.19</c:v>
                </c:pt>
                <c:pt idx="112" formatCode="0.0">
                  <c:v>1836.59</c:v>
                </c:pt>
                <c:pt idx="113" formatCode="0.0">
                  <c:v>1853</c:v>
                </c:pt>
                <c:pt idx="114" formatCode="0.0">
                  <c:v>1869.4</c:v>
                </c:pt>
                <c:pt idx="115" formatCode="0.0">
                  <c:v>1885.81</c:v>
                </c:pt>
                <c:pt idx="116" formatCode="0.0">
                  <c:v>1902.21</c:v>
                </c:pt>
                <c:pt idx="117" formatCode="0.0">
                  <c:v>1918.61</c:v>
                </c:pt>
                <c:pt idx="118" formatCode="0.0">
                  <c:v>1935.02</c:v>
                </c:pt>
                <c:pt idx="119" formatCode="0.0">
                  <c:v>1951.42</c:v>
                </c:pt>
                <c:pt idx="120" formatCode="0.0">
                  <c:v>1967.83</c:v>
                </c:pt>
                <c:pt idx="121" formatCode="0.0">
                  <c:v>1984.23</c:v>
                </c:pt>
                <c:pt idx="122" formatCode="0.0">
                  <c:v>2000.63</c:v>
                </c:pt>
                <c:pt idx="123" formatCode="0.0">
                  <c:v>2017.04</c:v>
                </c:pt>
                <c:pt idx="124" formatCode="0.0">
                  <c:v>2033.44</c:v>
                </c:pt>
                <c:pt idx="125" formatCode="0.0">
                  <c:v>2049.85</c:v>
                </c:pt>
                <c:pt idx="126" formatCode="0.0">
                  <c:v>2066.25</c:v>
                </c:pt>
                <c:pt idx="127" formatCode="0.0">
                  <c:v>2082.65</c:v>
                </c:pt>
                <c:pt idx="128" formatCode="0.0">
                  <c:v>2099.06</c:v>
                </c:pt>
                <c:pt idx="129" formatCode="0.0">
                  <c:v>2115.46</c:v>
                </c:pt>
                <c:pt idx="130" formatCode="0.0">
                  <c:v>2131.87</c:v>
                </c:pt>
                <c:pt idx="131" formatCode="0.0">
                  <c:v>2148.27</c:v>
                </c:pt>
                <c:pt idx="132" formatCode="0.0">
                  <c:v>2164.6799999999998</c:v>
                </c:pt>
                <c:pt idx="133" formatCode="0.0">
                  <c:v>2181.08</c:v>
                </c:pt>
                <c:pt idx="134" formatCode="0.0">
                  <c:v>2197.48</c:v>
                </c:pt>
                <c:pt idx="135" formatCode="0.0">
                  <c:v>2213.89</c:v>
                </c:pt>
                <c:pt idx="136" formatCode="0.0">
                  <c:v>2230.29</c:v>
                </c:pt>
                <c:pt idx="137" formatCode="0.0">
                  <c:v>2246.6999999999998</c:v>
                </c:pt>
                <c:pt idx="138" formatCode="0.0">
                  <c:v>2263.1</c:v>
                </c:pt>
                <c:pt idx="139" formatCode="0.0">
                  <c:v>2279.5</c:v>
                </c:pt>
                <c:pt idx="140" formatCode="0.0">
                  <c:v>2295.91</c:v>
                </c:pt>
                <c:pt idx="141" formatCode="0.0">
                  <c:v>2312.31</c:v>
                </c:pt>
                <c:pt idx="142" formatCode="0.0">
                  <c:v>2328.7199999999998</c:v>
                </c:pt>
                <c:pt idx="143" formatCode="0.0">
                  <c:v>2345.12</c:v>
                </c:pt>
                <c:pt idx="144" formatCode="0.0">
                  <c:v>2361.52</c:v>
                </c:pt>
                <c:pt idx="145" formatCode="0.0">
                  <c:v>2377.9299999999998</c:v>
                </c:pt>
                <c:pt idx="146" formatCode="0.0">
                  <c:v>2394.33</c:v>
                </c:pt>
                <c:pt idx="147" formatCode="0.0">
                  <c:v>2410.7399999999998</c:v>
                </c:pt>
                <c:pt idx="148" formatCode="0.0">
                  <c:v>2427.14</c:v>
                </c:pt>
                <c:pt idx="149" formatCode="0.0">
                  <c:v>2443.54</c:v>
                </c:pt>
                <c:pt idx="150" formatCode="0.0">
                  <c:v>2459.9499999999998</c:v>
                </c:pt>
                <c:pt idx="151" formatCode="0.0">
                  <c:v>2476.35</c:v>
                </c:pt>
                <c:pt idx="152" formatCode="0.0">
                  <c:v>2492.75</c:v>
                </c:pt>
                <c:pt idx="153" formatCode="0.0">
                  <c:v>2509.16</c:v>
                </c:pt>
                <c:pt idx="154" formatCode="0.0">
                  <c:v>2525.56</c:v>
                </c:pt>
                <c:pt idx="155" formatCode="0.0">
                  <c:v>2541.96</c:v>
                </c:pt>
                <c:pt idx="156" formatCode="0.0">
                  <c:v>2558.37</c:v>
                </c:pt>
                <c:pt idx="157" formatCode="0.0">
                  <c:v>2574.77</c:v>
                </c:pt>
                <c:pt idx="158" formatCode="0.0">
                  <c:v>2591.1799999999998</c:v>
                </c:pt>
                <c:pt idx="159" formatCode="0.0">
                  <c:v>2607.58</c:v>
                </c:pt>
                <c:pt idx="160" formatCode="0.0">
                  <c:v>2623.98</c:v>
                </c:pt>
                <c:pt idx="161" formatCode="0.0">
                  <c:v>2640.39</c:v>
                </c:pt>
                <c:pt idx="162" formatCode="0.0">
                  <c:v>2656.79</c:v>
                </c:pt>
                <c:pt idx="163" formatCode="0.0">
                  <c:v>2673.19</c:v>
                </c:pt>
                <c:pt idx="164" formatCode="0.0">
                  <c:v>2689.6</c:v>
                </c:pt>
                <c:pt idx="165" formatCode="0.0">
                  <c:v>2706</c:v>
                </c:pt>
                <c:pt idx="166" formatCode="0.0">
                  <c:v>2722.4</c:v>
                </c:pt>
                <c:pt idx="167" formatCode="0.0">
                  <c:v>2738.81</c:v>
                </c:pt>
                <c:pt idx="168" formatCode="0.0">
                  <c:v>2755.21</c:v>
                </c:pt>
                <c:pt idx="169" formatCode="0.0">
                  <c:v>2771.61</c:v>
                </c:pt>
                <c:pt idx="170" formatCode="0.0">
                  <c:v>2788.02</c:v>
                </c:pt>
                <c:pt idx="171" formatCode="0.0">
                  <c:v>2804.42</c:v>
                </c:pt>
                <c:pt idx="172" formatCode="0.0">
                  <c:v>2820.82</c:v>
                </c:pt>
                <c:pt idx="173" formatCode="0.0">
                  <c:v>2837.23</c:v>
                </c:pt>
                <c:pt idx="174" formatCode="0.0">
                  <c:v>2853.63</c:v>
                </c:pt>
                <c:pt idx="175" formatCode="0.0">
                  <c:v>2870.03</c:v>
                </c:pt>
                <c:pt idx="176" formatCode="0.0">
                  <c:v>2886.44</c:v>
                </c:pt>
                <c:pt idx="177" formatCode="0.0">
                  <c:v>2902.84</c:v>
                </c:pt>
                <c:pt idx="178" formatCode="0.0">
                  <c:v>2919.24</c:v>
                </c:pt>
                <c:pt idx="179" formatCode="0.0">
                  <c:v>2935.65</c:v>
                </c:pt>
                <c:pt idx="180" formatCode="0.0">
                  <c:v>2952.05</c:v>
                </c:pt>
                <c:pt idx="181" formatCode="0.0">
                  <c:v>2968.45</c:v>
                </c:pt>
                <c:pt idx="182" formatCode="0.0">
                  <c:v>2984.86</c:v>
                </c:pt>
                <c:pt idx="183" formatCode="0.0">
                  <c:v>3001.26</c:v>
                </c:pt>
                <c:pt idx="184" formatCode="0.0">
                  <c:v>3017.66</c:v>
                </c:pt>
                <c:pt idx="185" formatCode="0.0">
                  <c:v>3034.07</c:v>
                </c:pt>
                <c:pt idx="186" formatCode="0.0">
                  <c:v>3050.47</c:v>
                </c:pt>
                <c:pt idx="187" formatCode="0.0">
                  <c:v>3066.87</c:v>
                </c:pt>
                <c:pt idx="188" formatCode="0.0">
                  <c:v>3083.28</c:v>
                </c:pt>
                <c:pt idx="189" formatCode="0.0">
                  <c:v>3099.68</c:v>
                </c:pt>
                <c:pt idx="190" formatCode="0.0">
                  <c:v>3116.09</c:v>
                </c:pt>
                <c:pt idx="191" formatCode="0.0">
                  <c:v>3132.49</c:v>
                </c:pt>
                <c:pt idx="192" formatCode="0.0">
                  <c:v>3148.89</c:v>
                </c:pt>
                <c:pt idx="193" formatCode="0.0">
                  <c:v>3165.3</c:v>
                </c:pt>
                <c:pt idx="194" formatCode="0.0">
                  <c:v>3181.7</c:v>
                </c:pt>
                <c:pt idx="195" formatCode="0.0">
                  <c:v>3198.1</c:v>
                </c:pt>
                <c:pt idx="196" formatCode="0.0">
                  <c:v>3214.51</c:v>
                </c:pt>
                <c:pt idx="197" formatCode="0.0">
                  <c:v>3230.91</c:v>
                </c:pt>
                <c:pt idx="198" formatCode="0.0">
                  <c:v>3247.31</c:v>
                </c:pt>
                <c:pt idx="199" formatCode="0.0">
                  <c:v>3263.72</c:v>
                </c:pt>
                <c:pt idx="200" formatCode="0.0">
                  <c:v>3280.12</c:v>
                </c:pt>
                <c:pt idx="201" formatCode="0.0">
                  <c:v>3296.52</c:v>
                </c:pt>
                <c:pt idx="202" formatCode="0.0">
                  <c:v>3312.93</c:v>
                </c:pt>
                <c:pt idx="203" formatCode="0.0">
                  <c:v>3329.33</c:v>
                </c:pt>
                <c:pt idx="204" formatCode="0.0">
                  <c:v>3345.73</c:v>
                </c:pt>
                <c:pt idx="205" formatCode="0.0">
                  <c:v>3362.13</c:v>
                </c:pt>
                <c:pt idx="206" formatCode="0.0">
                  <c:v>3378.54</c:v>
                </c:pt>
                <c:pt idx="207" formatCode="0.0">
                  <c:v>3394.94</c:v>
                </c:pt>
                <c:pt idx="208" formatCode="0.0">
                  <c:v>3411.34</c:v>
                </c:pt>
                <c:pt idx="209" formatCode="0.0">
                  <c:v>3427.74</c:v>
                </c:pt>
                <c:pt idx="210" formatCode="0.0">
                  <c:v>3444.15</c:v>
                </c:pt>
                <c:pt idx="211" formatCode="0.0">
                  <c:v>3460.55</c:v>
                </c:pt>
                <c:pt idx="212" formatCode="0.0">
                  <c:v>3476.95</c:v>
                </c:pt>
                <c:pt idx="213" formatCode="0.0">
                  <c:v>3493.35</c:v>
                </c:pt>
                <c:pt idx="214" formatCode="0.0">
                  <c:v>3509.76</c:v>
                </c:pt>
                <c:pt idx="215" formatCode="0.0">
                  <c:v>3526.16</c:v>
                </c:pt>
                <c:pt idx="216" formatCode="0.0">
                  <c:v>3542.56</c:v>
                </c:pt>
                <c:pt idx="217" formatCode="0.0">
                  <c:v>3558.97</c:v>
                </c:pt>
                <c:pt idx="218" formatCode="0.0">
                  <c:v>3575.37</c:v>
                </c:pt>
                <c:pt idx="219" formatCode="0.0">
                  <c:v>3591.77</c:v>
                </c:pt>
                <c:pt idx="220" formatCode="0.0">
                  <c:v>3608.17</c:v>
                </c:pt>
                <c:pt idx="221" formatCode="0.0">
                  <c:v>3624.58</c:v>
                </c:pt>
                <c:pt idx="222" formatCode="0.0">
                  <c:v>3640.98</c:v>
                </c:pt>
                <c:pt idx="223" formatCode="0.0">
                  <c:v>3657.38</c:v>
                </c:pt>
                <c:pt idx="224" formatCode="0.0">
                  <c:v>3673.78</c:v>
                </c:pt>
                <c:pt idx="225" formatCode="0.0">
                  <c:v>3690.19</c:v>
                </c:pt>
                <c:pt idx="226" formatCode="0.0">
                  <c:v>3706.59</c:v>
                </c:pt>
                <c:pt idx="227" formatCode="0.0">
                  <c:v>3722.99</c:v>
                </c:pt>
                <c:pt idx="228" formatCode="0.0">
                  <c:v>3739.4</c:v>
                </c:pt>
                <c:pt idx="229" formatCode="0.0">
                  <c:v>3755.8</c:v>
                </c:pt>
                <c:pt idx="230" formatCode="0.0">
                  <c:v>3772.2</c:v>
                </c:pt>
                <c:pt idx="231" formatCode="0.0">
                  <c:v>3788.6</c:v>
                </c:pt>
                <c:pt idx="232" formatCode="0.0">
                  <c:v>3805</c:v>
                </c:pt>
                <c:pt idx="233" formatCode="0.0">
                  <c:v>3821.41</c:v>
                </c:pt>
                <c:pt idx="234" formatCode="0.0">
                  <c:v>3837.81</c:v>
                </c:pt>
                <c:pt idx="235" formatCode="0.0">
                  <c:v>3854.21</c:v>
                </c:pt>
                <c:pt idx="236" formatCode="0.0">
                  <c:v>3870.61</c:v>
                </c:pt>
                <c:pt idx="237" formatCode="0.0">
                  <c:v>3887.01</c:v>
                </c:pt>
                <c:pt idx="238" formatCode="0.0">
                  <c:v>3903.41</c:v>
                </c:pt>
                <c:pt idx="239" formatCode="0.0">
                  <c:v>3919.82</c:v>
                </c:pt>
                <c:pt idx="240" formatCode="0.0">
                  <c:v>3936.22</c:v>
                </c:pt>
                <c:pt idx="241" formatCode="0.0">
                  <c:v>3952.62</c:v>
                </c:pt>
                <c:pt idx="242" formatCode="0.0">
                  <c:v>3969.02</c:v>
                </c:pt>
                <c:pt idx="243" formatCode="0.0">
                  <c:v>3985.42</c:v>
                </c:pt>
                <c:pt idx="244" formatCode="0.0">
                  <c:v>4001.83</c:v>
                </c:pt>
                <c:pt idx="245" formatCode="0.0">
                  <c:v>4018.23</c:v>
                </c:pt>
                <c:pt idx="246" formatCode="0.0">
                  <c:v>4034.63</c:v>
                </c:pt>
                <c:pt idx="247" formatCode="0.0">
                  <c:v>4051.03</c:v>
                </c:pt>
                <c:pt idx="248" formatCode="0.0">
                  <c:v>4067.44</c:v>
                </c:pt>
                <c:pt idx="249" formatCode="0.0">
                  <c:v>4083.84</c:v>
                </c:pt>
                <c:pt idx="250" formatCode="0.0">
                  <c:v>4100.24</c:v>
                </c:pt>
                <c:pt idx="251" formatCode="0.0">
                  <c:v>4116.6499999999996</c:v>
                </c:pt>
                <c:pt idx="252" formatCode="0.0">
                  <c:v>4133.05</c:v>
                </c:pt>
                <c:pt idx="253" formatCode="0.0">
                  <c:v>4149.45</c:v>
                </c:pt>
                <c:pt idx="254" formatCode="0.0">
                  <c:v>4165.8500000000004</c:v>
                </c:pt>
                <c:pt idx="255" formatCode="0.0">
                  <c:v>4182.26</c:v>
                </c:pt>
                <c:pt idx="256" formatCode="0.0">
                  <c:v>4198.66</c:v>
                </c:pt>
                <c:pt idx="257" formatCode="0.0">
                  <c:v>4215.0600000000004</c:v>
                </c:pt>
                <c:pt idx="258" formatCode="0.0">
                  <c:v>4231.46</c:v>
                </c:pt>
                <c:pt idx="259" formatCode="0.0">
                  <c:v>4247.87</c:v>
                </c:pt>
                <c:pt idx="260" formatCode="0.0">
                  <c:v>4264.2700000000004</c:v>
                </c:pt>
                <c:pt idx="261" formatCode="0.0">
                  <c:v>4280.67</c:v>
                </c:pt>
                <c:pt idx="262" formatCode="0.0">
                  <c:v>4297.07</c:v>
                </c:pt>
                <c:pt idx="263" formatCode="0.0">
                  <c:v>4313.47</c:v>
                </c:pt>
                <c:pt idx="264" formatCode="0.0">
                  <c:v>4329.87</c:v>
                </c:pt>
                <c:pt idx="265" formatCode="0.0">
                  <c:v>4346.2700000000004</c:v>
                </c:pt>
                <c:pt idx="266" formatCode="0.0">
                  <c:v>4362.68</c:v>
                </c:pt>
                <c:pt idx="267" formatCode="0.0">
                  <c:v>4379.08</c:v>
                </c:pt>
                <c:pt idx="268" formatCode="0.0">
                  <c:v>4395.4799999999996</c:v>
                </c:pt>
                <c:pt idx="269" formatCode="0.0">
                  <c:v>4411.88</c:v>
                </c:pt>
                <c:pt idx="270" formatCode="0.0">
                  <c:v>4428.28</c:v>
                </c:pt>
                <c:pt idx="271" formatCode="0.0">
                  <c:v>4444.68</c:v>
                </c:pt>
                <c:pt idx="272" formatCode="0.0">
                  <c:v>4461.08</c:v>
                </c:pt>
                <c:pt idx="273" formatCode="0.0">
                  <c:v>4477.46</c:v>
                </c:pt>
                <c:pt idx="274" formatCode="0.0">
                  <c:v>4493.84</c:v>
                </c:pt>
                <c:pt idx="275" formatCode="0.0">
                  <c:v>4510.22</c:v>
                </c:pt>
                <c:pt idx="276" formatCode="0.0">
                  <c:v>4526.59</c:v>
                </c:pt>
                <c:pt idx="277" formatCode="0.0">
                  <c:v>4542.97</c:v>
                </c:pt>
                <c:pt idx="278" formatCode="0.0">
                  <c:v>4559.34</c:v>
                </c:pt>
                <c:pt idx="279" formatCode="0.0">
                  <c:v>4575.6899999999996</c:v>
                </c:pt>
                <c:pt idx="280" formatCode="0.0">
                  <c:v>4592</c:v>
                </c:pt>
                <c:pt idx="281" formatCode="0.0">
                  <c:v>4608.32</c:v>
                </c:pt>
                <c:pt idx="282" formatCode="0.0">
                  <c:v>4624.6400000000003</c:v>
                </c:pt>
                <c:pt idx="283" formatCode="0.0">
                  <c:v>4640.95</c:v>
                </c:pt>
                <c:pt idx="284" formatCode="0.0">
                  <c:v>4657.2700000000004</c:v>
                </c:pt>
                <c:pt idx="285" formatCode="0.0">
                  <c:v>4673.55</c:v>
                </c:pt>
                <c:pt idx="286" formatCode="0.0">
                  <c:v>4689.8100000000004</c:v>
                </c:pt>
                <c:pt idx="287" formatCode="0.0">
                  <c:v>4706.0600000000004</c:v>
                </c:pt>
                <c:pt idx="288" formatCode="0.0">
                  <c:v>4722.32</c:v>
                </c:pt>
                <c:pt idx="289" formatCode="0.0">
                  <c:v>4738.57</c:v>
                </c:pt>
                <c:pt idx="290" formatCode="0.0">
                  <c:v>4754.83</c:v>
                </c:pt>
                <c:pt idx="291" formatCode="0.0">
                  <c:v>4771.05</c:v>
                </c:pt>
                <c:pt idx="292" formatCode="0.0">
                  <c:v>4787.24</c:v>
                </c:pt>
                <c:pt idx="293" formatCode="0.0">
                  <c:v>4803.43</c:v>
                </c:pt>
                <c:pt idx="294" formatCode="0.0">
                  <c:v>4819.63</c:v>
                </c:pt>
                <c:pt idx="295" formatCode="0.0">
                  <c:v>4835.82</c:v>
                </c:pt>
                <c:pt idx="296" formatCode="0.0">
                  <c:v>4852.01</c:v>
                </c:pt>
                <c:pt idx="297" formatCode="0.0">
                  <c:v>4868.16</c:v>
                </c:pt>
                <c:pt idx="298" formatCode="0.0">
                  <c:v>4884.2299999999996</c:v>
                </c:pt>
                <c:pt idx="299" formatCode="0.0">
                  <c:v>4900.3100000000004</c:v>
                </c:pt>
                <c:pt idx="300" formatCode="0.0">
                  <c:v>4916.38</c:v>
                </c:pt>
                <c:pt idx="301" formatCode="0.0">
                  <c:v>4932.46</c:v>
                </c:pt>
                <c:pt idx="302" formatCode="0.0">
                  <c:v>4948.53</c:v>
                </c:pt>
                <c:pt idx="303" formatCode="0.0">
                  <c:v>4964.57</c:v>
                </c:pt>
                <c:pt idx="304" formatCode="0.0">
                  <c:v>4980.51</c:v>
                </c:pt>
                <c:pt idx="305" formatCode="0.0">
                  <c:v>4996.4399999999996</c:v>
                </c:pt>
                <c:pt idx="306" formatCode="0.0">
                  <c:v>5012.38</c:v>
                </c:pt>
                <c:pt idx="307" formatCode="0.0">
                  <c:v>5028.3100000000004</c:v>
                </c:pt>
                <c:pt idx="308" formatCode="0.0">
                  <c:v>5044.24</c:v>
                </c:pt>
                <c:pt idx="309" formatCode="0.0">
                  <c:v>5060.16</c:v>
                </c:pt>
                <c:pt idx="310" formatCode="0.0">
                  <c:v>5075.96</c:v>
                </c:pt>
                <c:pt idx="311" formatCode="0.0">
                  <c:v>5091.76</c:v>
                </c:pt>
                <c:pt idx="312" formatCode="0.0">
                  <c:v>5107.55</c:v>
                </c:pt>
                <c:pt idx="313" formatCode="0.0">
                  <c:v>5123.3500000000004</c:v>
                </c:pt>
                <c:pt idx="314" formatCode="0.0">
                  <c:v>5139.1499999999996</c:v>
                </c:pt>
                <c:pt idx="315" formatCode="0.0">
                  <c:v>5154.95</c:v>
                </c:pt>
                <c:pt idx="316" formatCode="0.0">
                  <c:v>5170.6400000000003</c:v>
                </c:pt>
                <c:pt idx="317" formatCode="0.0">
                  <c:v>5186.34</c:v>
                </c:pt>
                <c:pt idx="318" formatCode="0.0">
                  <c:v>5202.04</c:v>
                </c:pt>
                <c:pt idx="319" formatCode="0.0">
                  <c:v>5217.74</c:v>
                </c:pt>
                <c:pt idx="320" formatCode="0.0">
                  <c:v>5233.43</c:v>
                </c:pt>
                <c:pt idx="321" formatCode="0.0">
                  <c:v>5249.13</c:v>
                </c:pt>
                <c:pt idx="322" formatCode="0.0">
                  <c:v>5264.8</c:v>
                </c:pt>
                <c:pt idx="323" formatCode="0.0">
                  <c:v>5280.47</c:v>
                </c:pt>
                <c:pt idx="324" formatCode="0.0">
                  <c:v>5296.13</c:v>
                </c:pt>
                <c:pt idx="325" formatCode="0.0">
                  <c:v>5311.8</c:v>
                </c:pt>
                <c:pt idx="326" formatCode="0.0">
                  <c:v>5327.47</c:v>
                </c:pt>
                <c:pt idx="327" formatCode="0.0">
                  <c:v>5343.13</c:v>
                </c:pt>
                <c:pt idx="328" formatCode="0.0">
                  <c:v>5358.73</c:v>
                </c:pt>
                <c:pt idx="329" formatCode="0.0">
                  <c:v>5374.31</c:v>
                </c:pt>
                <c:pt idx="330" formatCode="0.0">
                  <c:v>5389.89</c:v>
                </c:pt>
                <c:pt idx="331" formatCode="0.0">
                  <c:v>5405.46</c:v>
                </c:pt>
                <c:pt idx="332" formatCode="0.0">
                  <c:v>5421.04</c:v>
                </c:pt>
                <c:pt idx="333" formatCode="0.0">
                  <c:v>5436.62</c:v>
                </c:pt>
                <c:pt idx="334" formatCode="0.0">
                  <c:v>5452.06</c:v>
                </c:pt>
                <c:pt idx="335" formatCode="0.0">
                  <c:v>5467.45</c:v>
                </c:pt>
                <c:pt idx="336" formatCode="0.0">
                  <c:v>5482.84</c:v>
                </c:pt>
                <c:pt idx="337" formatCode="0.0">
                  <c:v>5498.23</c:v>
                </c:pt>
                <c:pt idx="338" formatCode="0.0">
                  <c:v>5513.62</c:v>
                </c:pt>
                <c:pt idx="339" formatCode="0.0">
                  <c:v>5529.01</c:v>
                </c:pt>
                <c:pt idx="340" formatCode="0.0">
                  <c:v>5544.28</c:v>
                </c:pt>
                <c:pt idx="341" formatCode="0.0">
                  <c:v>5559.48</c:v>
                </c:pt>
                <c:pt idx="342" formatCode="0.0">
                  <c:v>5574.67</c:v>
                </c:pt>
                <c:pt idx="343" formatCode="0.0">
                  <c:v>5589.87</c:v>
                </c:pt>
                <c:pt idx="344" formatCode="0.0">
                  <c:v>5605.06</c:v>
                </c:pt>
                <c:pt idx="345" formatCode="0.0">
                  <c:v>5620.26</c:v>
                </c:pt>
                <c:pt idx="346" formatCode="0.0">
                  <c:v>5635.41</c:v>
                </c:pt>
                <c:pt idx="347" formatCode="0.0">
                  <c:v>5650.53</c:v>
                </c:pt>
                <c:pt idx="348" formatCode="0.0">
                  <c:v>5665.64</c:v>
                </c:pt>
                <c:pt idx="349" formatCode="0.0">
                  <c:v>5680.75</c:v>
                </c:pt>
                <c:pt idx="350" formatCode="0.0">
                  <c:v>5695.87</c:v>
                </c:pt>
                <c:pt idx="351" formatCode="0.0">
                  <c:v>5710.98</c:v>
                </c:pt>
                <c:pt idx="352" formatCode="0.0">
                  <c:v>5726.14</c:v>
                </c:pt>
                <c:pt idx="353" formatCode="0.0">
                  <c:v>5741.35</c:v>
                </c:pt>
                <c:pt idx="354" formatCode="0.0">
                  <c:v>5756.56</c:v>
                </c:pt>
                <c:pt idx="355" formatCode="0.0">
                  <c:v>5771.77</c:v>
                </c:pt>
                <c:pt idx="356" formatCode="0.0">
                  <c:v>5786.98</c:v>
                </c:pt>
                <c:pt idx="357" formatCode="0.0">
                  <c:v>5802.19</c:v>
                </c:pt>
                <c:pt idx="358" formatCode="0.0">
                  <c:v>5817.42</c:v>
                </c:pt>
                <c:pt idx="359" formatCode="0.0">
                  <c:v>5832.71</c:v>
                </c:pt>
                <c:pt idx="360" formatCode="0.0">
                  <c:v>5848</c:v>
                </c:pt>
                <c:pt idx="361" formatCode="0.0">
                  <c:v>5863.29</c:v>
                </c:pt>
                <c:pt idx="362" formatCode="0.0">
                  <c:v>5878.58</c:v>
                </c:pt>
                <c:pt idx="363" formatCode="0.0">
                  <c:v>5893.87</c:v>
                </c:pt>
                <c:pt idx="364" formatCode="0.0">
                  <c:v>5909.16</c:v>
                </c:pt>
                <c:pt idx="365" formatCode="0.0">
                  <c:v>5924.44</c:v>
                </c:pt>
                <c:pt idx="366" formatCode="0.0">
                  <c:v>5939.73</c:v>
                </c:pt>
                <c:pt idx="367" formatCode="0.0">
                  <c:v>5955.02</c:v>
                </c:pt>
                <c:pt idx="368" formatCode="0.0">
                  <c:v>5970.31</c:v>
                </c:pt>
                <c:pt idx="369" formatCode="0.0">
                  <c:v>5985.6</c:v>
                </c:pt>
                <c:pt idx="370" formatCode="0.0">
                  <c:v>6000.88</c:v>
                </c:pt>
                <c:pt idx="371" formatCode="0.0">
                  <c:v>6016.12</c:v>
                </c:pt>
                <c:pt idx="372" formatCode="0.0">
                  <c:v>6031.35</c:v>
                </c:pt>
                <c:pt idx="373" formatCode="0.0">
                  <c:v>6046.59</c:v>
                </c:pt>
                <c:pt idx="374" formatCode="0.0">
                  <c:v>6061.83</c:v>
                </c:pt>
                <c:pt idx="375" formatCode="0.0">
                  <c:v>6077.06</c:v>
                </c:pt>
                <c:pt idx="376" formatCode="0.0">
                  <c:v>6092.3</c:v>
                </c:pt>
                <c:pt idx="377" formatCode="0.0">
                  <c:v>6107.45</c:v>
                </c:pt>
                <c:pt idx="378" formatCode="0.0">
                  <c:v>6122.61</c:v>
                </c:pt>
                <c:pt idx="379" formatCode="0.0">
                  <c:v>6137.76</c:v>
                </c:pt>
                <c:pt idx="380" formatCode="0.0">
                  <c:v>6152.92</c:v>
                </c:pt>
                <c:pt idx="381" formatCode="0.0">
                  <c:v>6168.07</c:v>
                </c:pt>
                <c:pt idx="382" formatCode="0.0">
                  <c:v>6183.23</c:v>
                </c:pt>
                <c:pt idx="383" formatCode="0.0">
                  <c:v>6198.33</c:v>
                </c:pt>
                <c:pt idx="384" formatCode="0.0">
                  <c:v>6213.43</c:v>
                </c:pt>
                <c:pt idx="385" formatCode="0.0">
                  <c:v>6228.53</c:v>
                </c:pt>
                <c:pt idx="386" formatCode="0.0">
                  <c:v>6243.63</c:v>
                </c:pt>
                <c:pt idx="387" formatCode="0.0">
                  <c:v>6258.73</c:v>
                </c:pt>
                <c:pt idx="388" formatCode="0.0">
                  <c:v>6273.83</c:v>
                </c:pt>
                <c:pt idx="389" formatCode="0.0">
                  <c:v>6288.93</c:v>
                </c:pt>
                <c:pt idx="390" formatCode="0.0">
                  <c:v>6304.04</c:v>
                </c:pt>
                <c:pt idx="391" formatCode="0.0">
                  <c:v>6319.14</c:v>
                </c:pt>
                <c:pt idx="392" formatCode="0.0">
                  <c:v>6334.24</c:v>
                </c:pt>
                <c:pt idx="393" formatCode="0.0">
                  <c:v>6349.34</c:v>
                </c:pt>
                <c:pt idx="394" formatCode="0.0">
                  <c:v>6364.44</c:v>
                </c:pt>
                <c:pt idx="395" formatCode="0.0">
                  <c:v>6379.55</c:v>
                </c:pt>
                <c:pt idx="396" formatCode="0.0">
                  <c:v>6394.67</c:v>
                </c:pt>
                <c:pt idx="397" formatCode="0.0">
                  <c:v>6409.78</c:v>
                </c:pt>
                <c:pt idx="398" formatCode="0.0">
                  <c:v>6424.9</c:v>
                </c:pt>
                <c:pt idx="399" formatCode="0.0">
                  <c:v>6440.01</c:v>
                </c:pt>
                <c:pt idx="400" formatCode="0.0">
                  <c:v>6455.13</c:v>
                </c:pt>
                <c:pt idx="401" formatCode="0.0">
                  <c:v>6470.25</c:v>
                </c:pt>
                <c:pt idx="402" formatCode="0.0">
                  <c:v>6485.38</c:v>
                </c:pt>
                <c:pt idx="403" formatCode="0.0">
                  <c:v>6500.5</c:v>
                </c:pt>
                <c:pt idx="404" formatCode="0.0">
                  <c:v>6515.63</c:v>
                </c:pt>
                <c:pt idx="405" formatCode="0.0">
                  <c:v>6530.76</c:v>
                </c:pt>
                <c:pt idx="406" formatCode="0.0">
                  <c:v>6545.89</c:v>
                </c:pt>
                <c:pt idx="407" formatCode="0.0">
                  <c:v>6561.03</c:v>
                </c:pt>
                <c:pt idx="408" formatCode="0.0">
                  <c:v>6576.19</c:v>
                </c:pt>
                <c:pt idx="409" formatCode="0.0">
                  <c:v>6591.34</c:v>
                </c:pt>
                <c:pt idx="410" formatCode="0.0">
                  <c:v>6606.5</c:v>
                </c:pt>
                <c:pt idx="411" formatCode="0.0">
                  <c:v>6621.65</c:v>
                </c:pt>
                <c:pt idx="412" formatCode="0.0">
                  <c:v>6636.81</c:v>
                </c:pt>
                <c:pt idx="413" formatCode="0.0">
                  <c:v>6651.96</c:v>
                </c:pt>
                <c:pt idx="414" formatCode="0.0">
                  <c:v>6667.1</c:v>
                </c:pt>
                <c:pt idx="415" formatCode="0.0">
                  <c:v>6682.24</c:v>
                </c:pt>
                <c:pt idx="416" formatCode="0.0">
                  <c:v>6697.38</c:v>
                </c:pt>
                <c:pt idx="417" formatCode="0.0">
                  <c:v>6712.53</c:v>
                </c:pt>
                <c:pt idx="418" formatCode="0.0">
                  <c:v>6727.67</c:v>
                </c:pt>
                <c:pt idx="419" formatCode="0.0">
                  <c:v>6742.79</c:v>
                </c:pt>
                <c:pt idx="420" formatCode="0.0">
                  <c:v>6757.89</c:v>
                </c:pt>
                <c:pt idx="421" formatCode="0.0">
                  <c:v>6772.99</c:v>
                </c:pt>
                <c:pt idx="422" formatCode="0.0">
                  <c:v>6788.09</c:v>
                </c:pt>
                <c:pt idx="423" formatCode="0.0">
                  <c:v>6803.19</c:v>
                </c:pt>
                <c:pt idx="424" formatCode="0.0">
                  <c:v>6818.29</c:v>
                </c:pt>
                <c:pt idx="425" formatCode="0.0">
                  <c:v>6833.41</c:v>
                </c:pt>
                <c:pt idx="426" formatCode="0.0">
                  <c:v>6848.57</c:v>
                </c:pt>
                <c:pt idx="427" formatCode="0.0">
                  <c:v>6863.72</c:v>
                </c:pt>
                <c:pt idx="428" formatCode="0.0">
                  <c:v>6878.88</c:v>
                </c:pt>
                <c:pt idx="429" formatCode="0.0">
                  <c:v>6894.03</c:v>
                </c:pt>
                <c:pt idx="430" formatCode="0.0">
                  <c:v>6909.19</c:v>
                </c:pt>
                <c:pt idx="431" formatCode="0.0">
                  <c:v>6924.36</c:v>
                </c:pt>
                <c:pt idx="432" formatCode="0.0">
                  <c:v>6939.62</c:v>
                </c:pt>
                <c:pt idx="433" formatCode="0.0">
                  <c:v>6954.89</c:v>
                </c:pt>
                <c:pt idx="434" formatCode="0.0">
                  <c:v>6970.15</c:v>
                </c:pt>
                <c:pt idx="435" formatCode="0.0">
                  <c:v>6985.41</c:v>
                </c:pt>
                <c:pt idx="436" formatCode="0.0">
                  <c:v>7000.68</c:v>
                </c:pt>
                <c:pt idx="437" formatCode="0.0">
                  <c:v>7015.94</c:v>
                </c:pt>
                <c:pt idx="438" formatCode="0.0">
                  <c:v>7031.23</c:v>
                </c:pt>
                <c:pt idx="439" formatCode="0.0">
                  <c:v>7046.52</c:v>
                </c:pt>
                <c:pt idx="440" formatCode="0.0">
                  <c:v>7061.81</c:v>
                </c:pt>
                <c:pt idx="441" formatCode="0.0">
                  <c:v>7077.1</c:v>
                </c:pt>
                <c:pt idx="442" formatCode="0.0">
                  <c:v>7092.39</c:v>
                </c:pt>
                <c:pt idx="443" formatCode="0.0">
                  <c:v>7107.67</c:v>
                </c:pt>
                <c:pt idx="444" formatCode="0.0">
                  <c:v>7122.99</c:v>
                </c:pt>
                <c:pt idx="445" formatCode="0.0">
                  <c:v>7138.3</c:v>
                </c:pt>
                <c:pt idx="446" formatCode="0.0">
                  <c:v>7153.62</c:v>
                </c:pt>
                <c:pt idx="447" formatCode="0.0">
                  <c:v>7168.93</c:v>
                </c:pt>
                <c:pt idx="448" formatCode="0.0">
                  <c:v>7184.25</c:v>
                </c:pt>
                <c:pt idx="449" formatCode="0.0">
                  <c:v>7199.56</c:v>
                </c:pt>
                <c:pt idx="450" formatCode="0.0">
                  <c:v>7214.89</c:v>
                </c:pt>
                <c:pt idx="451" formatCode="0.0">
                  <c:v>7230.22</c:v>
                </c:pt>
                <c:pt idx="452" formatCode="0.0">
                  <c:v>7245.54</c:v>
                </c:pt>
                <c:pt idx="453" formatCode="0.0">
                  <c:v>7260.87</c:v>
                </c:pt>
                <c:pt idx="454" formatCode="0.0">
                  <c:v>7276.2</c:v>
                </c:pt>
                <c:pt idx="455" formatCode="0.0">
                  <c:v>7291.53</c:v>
                </c:pt>
                <c:pt idx="456" formatCode="0.0">
                  <c:v>7306.81</c:v>
                </c:pt>
                <c:pt idx="457" formatCode="0.0">
                  <c:v>7322.09</c:v>
                </c:pt>
                <c:pt idx="458" formatCode="0.0">
                  <c:v>7337.36</c:v>
                </c:pt>
                <c:pt idx="459" formatCode="0.0">
                  <c:v>7352.64</c:v>
                </c:pt>
                <c:pt idx="460" formatCode="0.0">
                  <c:v>7367.92</c:v>
                </c:pt>
                <c:pt idx="461" formatCode="0.0">
                  <c:v>7383.19</c:v>
                </c:pt>
                <c:pt idx="462" formatCode="0.0">
                  <c:v>7398.44</c:v>
                </c:pt>
                <c:pt idx="463" formatCode="0.0">
                  <c:v>7413.68</c:v>
                </c:pt>
                <c:pt idx="464" formatCode="0.0">
                  <c:v>7428.91</c:v>
                </c:pt>
                <c:pt idx="465" formatCode="0.0">
                  <c:v>7444.15</c:v>
                </c:pt>
                <c:pt idx="466" formatCode="0.0">
                  <c:v>7459.39</c:v>
                </c:pt>
                <c:pt idx="467" formatCode="0.0">
                  <c:v>7474.62</c:v>
                </c:pt>
                <c:pt idx="468" formatCode="0.0">
                  <c:v>7489.86</c:v>
                </c:pt>
                <c:pt idx="469" formatCode="0.0">
                  <c:v>7505.09</c:v>
                </c:pt>
                <c:pt idx="470" formatCode="0.0">
                  <c:v>7520.33</c:v>
                </c:pt>
                <c:pt idx="471" formatCode="0.0">
                  <c:v>7535.57</c:v>
                </c:pt>
                <c:pt idx="472" formatCode="0.0">
                  <c:v>7550.8</c:v>
                </c:pt>
                <c:pt idx="473" formatCode="0.0">
                  <c:v>7566.04</c:v>
                </c:pt>
                <c:pt idx="474" formatCode="0.0">
                  <c:v>7581.28</c:v>
                </c:pt>
                <c:pt idx="475" formatCode="0.0">
                  <c:v>7596.51</c:v>
                </c:pt>
                <c:pt idx="476" formatCode="0.0">
                  <c:v>7611.75</c:v>
                </c:pt>
                <c:pt idx="477" formatCode="0.0">
                  <c:v>7626.99</c:v>
                </c:pt>
                <c:pt idx="478" formatCode="0.0">
                  <c:v>7642.22</c:v>
                </c:pt>
                <c:pt idx="479" formatCode="0.0">
                  <c:v>7657.46</c:v>
                </c:pt>
                <c:pt idx="480" formatCode="0.0">
                  <c:v>7672.69</c:v>
                </c:pt>
                <c:pt idx="481" formatCode="0.0">
                  <c:v>7687.91</c:v>
                </c:pt>
                <c:pt idx="482" formatCode="0.0">
                  <c:v>7703.14</c:v>
                </c:pt>
                <c:pt idx="483" formatCode="0.0">
                  <c:v>7718.36</c:v>
                </c:pt>
                <c:pt idx="484" formatCode="0.0">
                  <c:v>7733.58</c:v>
                </c:pt>
                <c:pt idx="485" formatCode="0.0">
                  <c:v>7748.8</c:v>
                </c:pt>
                <c:pt idx="486" formatCode="0.0">
                  <c:v>7764.03</c:v>
                </c:pt>
                <c:pt idx="487" formatCode="0.0">
                  <c:v>7779.25</c:v>
                </c:pt>
                <c:pt idx="488" formatCode="0.0">
                  <c:v>7794.47</c:v>
                </c:pt>
                <c:pt idx="489" formatCode="0.0">
                  <c:v>7809.7</c:v>
                </c:pt>
                <c:pt idx="490" formatCode="0.0">
                  <c:v>7824.92</c:v>
                </c:pt>
                <c:pt idx="491" formatCode="0.0">
                  <c:v>7840.14</c:v>
                </c:pt>
                <c:pt idx="492" formatCode="0.0">
                  <c:v>7855.36</c:v>
                </c:pt>
                <c:pt idx="493" formatCode="0.0">
                  <c:v>7870.56</c:v>
                </c:pt>
                <c:pt idx="494" formatCode="0.0">
                  <c:v>7885.75</c:v>
                </c:pt>
                <c:pt idx="495" formatCode="0.0">
                  <c:v>7900.95</c:v>
                </c:pt>
                <c:pt idx="496" formatCode="0.0">
                  <c:v>7916.14</c:v>
                </c:pt>
                <c:pt idx="497" formatCode="0.0">
                  <c:v>7931.34</c:v>
                </c:pt>
                <c:pt idx="498" formatCode="0.0">
                  <c:v>7946.53</c:v>
                </c:pt>
                <c:pt idx="499" formatCode="0.0">
                  <c:v>7961.67</c:v>
                </c:pt>
                <c:pt idx="500" formatCode="0.0">
                  <c:v>7976.81</c:v>
                </c:pt>
                <c:pt idx="501" formatCode="0.0">
                  <c:v>7991.96</c:v>
                </c:pt>
                <c:pt idx="502" formatCode="0.0">
                  <c:v>8007.1</c:v>
                </c:pt>
                <c:pt idx="503" formatCode="0.0">
                  <c:v>8022.24</c:v>
                </c:pt>
                <c:pt idx="504" formatCode="0.0">
                  <c:v>8037.38</c:v>
                </c:pt>
                <c:pt idx="505" formatCode="0.0">
                  <c:v>8052.51</c:v>
                </c:pt>
                <c:pt idx="506" formatCode="0.0">
                  <c:v>8067.64</c:v>
                </c:pt>
                <c:pt idx="507" formatCode="0.0">
                  <c:v>8082.76</c:v>
                </c:pt>
                <c:pt idx="508" formatCode="0.0">
                  <c:v>8097.89</c:v>
                </c:pt>
                <c:pt idx="509" formatCode="0.0">
                  <c:v>8113.02</c:v>
                </c:pt>
                <c:pt idx="510" formatCode="0.0">
                  <c:v>8128.15</c:v>
                </c:pt>
                <c:pt idx="511" formatCode="0.0">
                  <c:v>8143.25</c:v>
                </c:pt>
                <c:pt idx="512" formatCode="0.0">
                  <c:v>8158.35</c:v>
                </c:pt>
                <c:pt idx="513" formatCode="0.0">
                  <c:v>8173.45</c:v>
                </c:pt>
                <c:pt idx="514" formatCode="0.0">
                  <c:v>8188.55</c:v>
                </c:pt>
                <c:pt idx="515" formatCode="0.0">
                  <c:v>8203.65</c:v>
                </c:pt>
                <c:pt idx="516" formatCode="0.0">
                  <c:v>8218.75</c:v>
                </c:pt>
                <c:pt idx="517" formatCode="0.0">
                  <c:v>8233.82</c:v>
                </c:pt>
                <c:pt idx="518" formatCode="0.0">
                  <c:v>8248.8700000000008</c:v>
                </c:pt>
                <c:pt idx="519" formatCode="0.0">
                  <c:v>8263.93</c:v>
                </c:pt>
                <c:pt idx="520" formatCode="0.0">
                  <c:v>8278.99</c:v>
                </c:pt>
                <c:pt idx="521" formatCode="0.0">
                  <c:v>8294.0499999999993</c:v>
                </c:pt>
                <c:pt idx="522" formatCode="0.0">
                  <c:v>8309.1</c:v>
                </c:pt>
                <c:pt idx="523" formatCode="0.0">
                  <c:v>8324.14</c:v>
                </c:pt>
                <c:pt idx="524" formatCode="0.0">
                  <c:v>8339.17</c:v>
                </c:pt>
                <c:pt idx="525" formatCode="0.0">
                  <c:v>8354.2000000000007</c:v>
                </c:pt>
                <c:pt idx="526" formatCode="0.0">
                  <c:v>8369.23</c:v>
                </c:pt>
                <c:pt idx="527" formatCode="0.0">
                  <c:v>8384.26</c:v>
                </c:pt>
                <c:pt idx="528" formatCode="0.0">
                  <c:v>8399.2900000000009</c:v>
                </c:pt>
                <c:pt idx="529" formatCode="0.0">
                  <c:v>8414.31</c:v>
                </c:pt>
                <c:pt idx="530" formatCode="0.0">
                  <c:v>8429.32</c:v>
                </c:pt>
                <c:pt idx="531" formatCode="0.0">
                  <c:v>8444.34</c:v>
                </c:pt>
                <c:pt idx="532" formatCode="0.0">
                  <c:v>8459.35</c:v>
                </c:pt>
                <c:pt idx="533" formatCode="0.0">
                  <c:v>8474.3700000000008</c:v>
                </c:pt>
                <c:pt idx="534" formatCode="0.0">
                  <c:v>8489.3799999999992</c:v>
                </c:pt>
                <c:pt idx="535" formatCode="0.0">
                  <c:v>8504.42</c:v>
                </c:pt>
                <c:pt idx="536" formatCode="0.0">
                  <c:v>8519.4599999999991</c:v>
                </c:pt>
                <c:pt idx="537" formatCode="0.0">
                  <c:v>8534.5</c:v>
                </c:pt>
                <c:pt idx="538" formatCode="0.0">
                  <c:v>8549.5499999999993</c:v>
                </c:pt>
                <c:pt idx="539" formatCode="0.0">
                  <c:v>8564.59</c:v>
                </c:pt>
                <c:pt idx="540" formatCode="0.0">
                  <c:v>8579.6299999999992</c:v>
                </c:pt>
                <c:pt idx="541" formatCode="0.0">
                  <c:v>8594.68</c:v>
                </c:pt>
                <c:pt idx="542" formatCode="0.0">
                  <c:v>8609.7199999999993</c:v>
                </c:pt>
                <c:pt idx="543" formatCode="0.0">
                  <c:v>8624.76</c:v>
                </c:pt>
                <c:pt idx="544" formatCode="0.0">
                  <c:v>8639.81</c:v>
                </c:pt>
                <c:pt idx="545" formatCode="0.0">
                  <c:v>8654.85</c:v>
                </c:pt>
                <c:pt idx="546" formatCode="0.0">
                  <c:v>8669.89</c:v>
                </c:pt>
                <c:pt idx="547" formatCode="0.0">
                  <c:v>8684.93</c:v>
                </c:pt>
                <c:pt idx="548" formatCode="0.0">
                  <c:v>8699.94</c:v>
                </c:pt>
                <c:pt idx="549" formatCode="0.0">
                  <c:v>8714.9599999999991</c:v>
                </c:pt>
                <c:pt idx="550" formatCode="0.0">
                  <c:v>8729.9699999999993</c:v>
                </c:pt>
                <c:pt idx="551" formatCode="0.0">
                  <c:v>8744.99</c:v>
                </c:pt>
                <c:pt idx="552" formatCode="0.0">
                  <c:v>8760</c:v>
                </c:pt>
                <c:pt idx="553" formatCode="0.0">
                  <c:v>8775.01</c:v>
                </c:pt>
                <c:pt idx="554" formatCode="0.0">
                  <c:v>8790</c:v>
                </c:pt>
                <c:pt idx="555" formatCode="0.0">
                  <c:v>8804.98</c:v>
                </c:pt>
                <c:pt idx="556" formatCode="0.0">
                  <c:v>8819.9699999999993</c:v>
                </c:pt>
                <c:pt idx="557" formatCode="0.0">
                  <c:v>8834.9500000000007</c:v>
                </c:pt>
                <c:pt idx="558" formatCode="0.0">
                  <c:v>8849.94</c:v>
                </c:pt>
                <c:pt idx="559" formatCode="0.0">
                  <c:v>8864.92</c:v>
                </c:pt>
                <c:pt idx="560" formatCode="0.0">
                  <c:v>8879.86</c:v>
                </c:pt>
                <c:pt idx="561" formatCode="0.0">
                  <c:v>8894.7999999999993</c:v>
                </c:pt>
                <c:pt idx="562" formatCode="0.0">
                  <c:v>8909.74</c:v>
                </c:pt>
                <c:pt idx="563" formatCode="0.0">
                  <c:v>8924.69</c:v>
                </c:pt>
                <c:pt idx="564" formatCode="0.0">
                  <c:v>8939.6299999999992</c:v>
                </c:pt>
                <c:pt idx="565" formatCode="0.0">
                  <c:v>8954.57</c:v>
                </c:pt>
                <c:pt idx="566" formatCode="0.0">
                  <c:v>8969.51</c:v>
                </c:pt>
                <c:pt idx="567" formatCode="0.0">
                  <c:v>8984.4500000000007</c:v>
                </c:pt>
                <c:pt idx="568" formatCode="0.0">
                  <c:v>8999.4</c:v>
                </c:pt>
                <c:pt idx="569" formatCode="0.0">
                  <c:v>9014.34</c:v>
                </c:pt>
                <c:pt idx="570" formatCode="0.0">
                  <c:v>9029.2800000000007</c:v>
                </c:pt>
                <c:pt idx="571" formatCode="0.0">
                  <c:v>9044.2199999999993</c:v>
                </c:pt>
                <c:pt idx="572" formatCode="0.0">
                  <c:v>9059.2099999999991</c:v>
                </c:pt>
                <c:pt idx="573" formatCode="0.0">
                  <c:v>9074.19</c:v>
                </c:pt>
                <c:pt idx="574" formatCode="0.0">
                  <c:v>9089.18</c:v>
                </c:pt>
                <c:pt idx="575" formatCode="0.0">
                  <c:v>9104.17</c:v>
                </c:pt>
                <c:pt idx="576" formatCode="0.0">
                  <c:v>9119.15</c:v>
                </c:pt>
                <c:pt idx="577" formatCode="0.0">
                  <c:v>9134.14</c:v>
                </c:pt>
                <c:pt idx="578" formatCode="0.0">
                  <c:v>9149.16</c:v>
                </c:pt>
                <c:pt idx="579" formatCode="0.0">
                  <c:v>9164.19</c:v>
                </c:pt>
                <c:pt idx="580" formatCode="0.0">
                  <c:v>9179.2199999999993</c:v>
                </c:pt>
                <c:pt idx="581" formatCode="0.0">
                  <c:v>9194.25</c:v>
                </c:pt>
                <c:pt idx="582" formatCode="0.0">
                  <c:v>9209.2800000000007</c:v>
                </c:pt>
                <c:pt idx="583" formatCode="0.0">
                  <c:v>9224.31</c:v>
                </c:pt>
                <c:pt idx="584" formatCode="0.0">
                  <c:v>9239.36</c:v>
                </c:pt>
                <c:pt idx="585" formatCode="0.0">
                  <c:v>9254.42</c:v>
                </c:pt>
                <c:pt idx="586" formatCode="0.0">
                  <c:v>9269.48</c:v>
                </c:pt>
                <c:pt idx="587" formatCode="0.0">
                  <c:v>9284.5400000000009</c:v>
                </c:pt>
                <c:pt idx="588" formatCode="0.0">
                  <c:v>9299.59</c:v>
                </c:pt>
                <c:pt idx="589" formatCode="0.0">
                  <c:v>9314.65</c:v>
                </c:pt>
                <c:pt idx="590" formatCode="0.0">
                  <c:v>9329.73</c:v>
                </c:pt>
                <c:pt idx="591" formatCode="0.0">
                  <c:v>9344.81</c:v>
                </c:pt>
                <c:pt idx="592" formatCode="0.0">
                  <c:v>9359.9</c:v>
                </c:pt>
                <c:pt idx="593" formatCode="0.0">
                  <c:v>9374.99</c:v>
                </c:pt>
                <c:pt idx="594" formatCode="0.0">
                  <c:v>9390.07</c:v>
                </c:pt>
                <c:pt idx="595" formatCode="0.0">
                  <c:v>9405.16</c:v>
                </c:pt>
                <c:pt idx="596" formatCode="0.0">
                  <c:v>9420.26</c:v>
                </c:pt>
                <c:pt idx="597" formatCode="0.0">
                  <c:v>9435.3799999999992</c:v>
                </c:pt>
                <c:pt idx="598" formatCode="0.0">
                  <c:v>9450.49</c:v>
                </c:pt>
                <c:pt idx="599" formatCode="0.0">
                  <c:v>9465.6</c:v>
                </c:pt>
                <c:pt idx="600" formatCode="0.0">
                  <c:v>9480.7199999999993</c:v>
                </c:pt>
                <c:pt idx="601" formatCode="0.0">
                  <c:v>9495.83</c:v>
                </c:pt>
                <c:pt idx="602" formatCode="0.0">
                  <c:v>9510.9599999999991</c:v>
                </c:pt>
                <c:pt idx="603" formatCode="0.0">
                  <c:v>9526.1</c:v>
                </c:pt>
                <c:pt idx="604" formatCode="0.0">
                  <c:v>9541.24</c:v>
                </c:pt>
                <c:pt idx="605" formatCode="0.0">
                  <c:v>9556.39</c:v>
                </c:pt>
                <c:pt idx="606" formatCode="0.0">
                  <c:v>9571.5300000000007</c:v>
                </c:pt>
                <c:pt idx="607" formatCode="0.0">
                  <c:v>9586.67</c:v>
                </c:pt>
                <c:pt idx="608" formatCode="0.0">
                  <c:v>9601.92</c:v>
                </c:pt>
                <c:pt idx="609" formatCode="0.0">
                  <c:v>9617.33</c:v>
                </c:pt>
                <c:pt idx="610" formatCode="0.0">
                  <c:v>9632.74</c:v>
                </c:pt>
                <c:pt idx="611" formatCode="0.0">
                  <c:v>9648.15</c:v>
                </c:pt>
                <c:pt idx="612" formatCode="0.0">
                  <c:v>9663.56</c:v>
                </c:pt>
                <c:pt idx="613" formatCode="0.0">
                  <c:v>9678.9699999999993</c:v>
                </c:pt>
                <c:pt idx="614" formatCode="0.0">
                  <c:v>9694.3799999999992</c:v>
                </c:pt>
                <c:pt idx="615" formatCode="0.0">
                  <c:v>9709.7900000000009</c:v>
                </c:pt>
                <c:pt idx="616" formatCode="0.0">
                  <c:v>9725.2000000000007</c:v>
                </c:pt>
                <c:pt idx="617" formatCode="0.0">
                  <c:v>9740.61</c:v>
                </c:pt>
                <c:pt idx="618" formatCode="0.0">
                  <c:v>9756.02</c:v>
                </c:pt>
                <c:pt idx="619" formatCode="0.0">
                  <c:v>9771.43</c:v>
                </c:pt>
                <c:pt idx="620" formatCode="0.0">
                  <c:v>9786.7900000000009</c:v>
                </c:pt>
                <c:pt idx="621" formatCode="0.0">
                  <c:v>9801.9599999999991</c:v>
                </c:pt>
                <c:pt idx="622" formatCode="0.0">
                  <c:v>9817.1299999999992</c:v>
                </c:pt>
                <c:pt idx="623" formatCode="0.0">
                  <c:v>9832.2999999999993</c:v>
                </c:pt>
                <c:pt idx="624" formatCode="0.0">
                  <c:v>9847.4699999999993</c:v>
                </c:pt>
                <c:pt idx="625" formatCode="0.0">
                  <c:v>9862.64</c:v>
                </c:pt>
                <c:pt idx="626" formatCode="0.0">
                  <c:v>9877.81</c:v>
                </c:pt>
                <c:pt idx="627" formatCode="0.0">
                  <c:v>9893.02</c:v>
                </c:pt>
                <c:pt idx="628" formatCode="0.0">
                  <c:v>9908.23</c:v>
                </c:pt>
                <c:pt idx="629" formatCode="0.0">
                  <c:v>9923.44</c:v>
                </c:pt>
                <c:pt idx="630" formatCode="0.0">
                  <c:v>9938.65</c:v>
                </c:pt>
                <c:pt idx="631" formatCode="0.0">
                  <c:v>9953.86</c:v>
                </c:pt>
                <c:pt idx="632" formatCode="0.0">
                  <c:v>9969.07</c:v>
                </c:pt>
                <c:pt idx="633" formatCode="0.0">
                  <c:v>9984.39</c:v>
                </c:pt>
                <c:pt idx="634" formatCode="0.0">
                  <c:v>9999.7000000000007</c:v>
                </c:pt>
                <c:pt idx="635" formatCode="0.0">
                  <c:v>10015.01</c:v>
                </c:pt>
                <c:pt idx="636" formatCode="0.0">
                  <c:v>10030.33</c:v>
                </c:pt>
                <c:pt idx="637" formatCode="0.0">
                  <c:v>10045.64</c:v>
                </c:pt>
                <c:pt idx="638" formatCode="0.0">
                  <c:v>10060.959999999999</c:v>
                </c:pt>
                <c:pt idx="639" formatCode="0.0">
                  <c:v>10076.34</c:v>
                </c:pt>
                <c:pt idx="640" formatCode="0.0">
                  <c:v>10091.73</c:v>
                </c:pt>
                <c:pt idx="641" formatCode="0.0">
                  <c:v>10107.120000000001</c:v>
                </c:pt>
                <c:pt idx="642" formatCode="0.0">
                  <c:v>10122.51</c:v>
                </c:pt>
                <c:pt idx="643" formatCode="0.0">
                  <c:v>10137.9</c:v>
                </c:pt>
                <c:pt idx="644" formatCode="0.0">
                  <c:v>10153.290000000001</c:v>
                </c:pt>
                <c:pt idx="645" formatCode="0.0">
                  <c:v>10168.700000000001</c:v>
                </c:pt>
                <c:pt idx="646" formatCode="0.0">
                  <c:v>10184.120000000001</c:v>
                </c:pt>
                <c:pt idx="647" formatCode="0.0">
                  <c:v>10199.530000000001</c:v>
                </c:pt>
                <c:pt idx="648" formatCode="0.0">
                  <c:v>10214.950000000001</c:v>
                </c:pt>
                <c:pt idx="649" formatCode="0.0">
                  <c:v>10230.36</c:v>
                </c:pt>
                <c:pt idx="650" formatCode="0.0">
                  <c:v>10245.780000000001</c:v>
                </c:pt>
                <c:pt idx="651" formatCode="0.0">
                  <c:v>10261.25</c:v>
                </c:pt>
                <c:pt idx="652" formatCode="0.0">
                  <c:v>10276.73</c:v>
                </c:pt>
                <c:pt idx="653" formatCode="0.0">
                  <c:v>10292.219999999999</c:v>
                </c:pt>
                <c:pt idx="654" formatCode="0.0">
                  <c:v>10307.709999999999</c:v>
                </c:pt>
                <c:pt idx="655" formatCode="0.0">
                  <c:v>10323.19</c:v>
                </c:pt>
                <c:pt idx="656" formatCode="0.0">
                  <c:v>10338.68</c:v>
                </c:pt>
                <c:pt idx="657" formatCode="0.0">
                  <c:v>10354.209999999999</c:v>
                </c:pt>
                <c:pt idx="658" formatCode="0.0">
                  <c:v>10369.77</c:v>
                </c:pt>
                <c:pt idx="659" formatCode="0.0">
                  <c:v>10385.32</c:v>
                </c:pt>
                <c:pt idx="660" formatCode="0.0">
                  <c:v>10400.879999999999</c:v>
                </c:pt>
                <c:pt idx="661" formatCode="0.0">
                  <c:v>10416.44</c:v>
                </c:pt>
                <c:pt idx="662" formatCode="0.0">
                  <c:v>10431.99</c:v>
                </c:pt>
                <c:pt idx="663" formatCode="0.0">
                  <c:v>10447.6</c:v>
                </c:pt>
                <c:pt idx="664" formatCode="0.0">
                  <c:v>10463.24</c:v>
                </c:pt>
                <c:pt idx="665" formatCode="0.0">
                  <c:v>10478.89</c:v>
                </c:pt>
                <c:pt idx="666" formatCode="0.0">
                  <c:v>10494.53</c:v>
                </c:pt>
                <c:pt idx="667" formatCode="0.0">
                  <c:v>10510.18</c:v>
                </c:pt>
                <c:pt idx="668" formatCode="0.0">
                  <c:v>10525.82</c:v>
                </c:pt>
                <c:pt idx="669" formatCode="0.0">
                  <c:v>10541.46</c:v>
                </c:pt>
                <c:pt idx="670" formatCode="0.0">
                  <c:v>10557.11</c:v>
                </c:pt>
                <c:pt idx="671" formatCode="0.0">
                  <c:v>10572.75</c:v>
                </c:pt>
                <c:pt idx="672" formatCode="0.0">
                  <c:v>10588.4</c:v>
                </c:pt>
                <c:pt idx="673" formatCode="0.0">
                  <c:v>10604.04</c:v>
                </c:pt>
                <c:pt idx="674" formatCode="0.0">
                  <c:v>10619.69</c:v>
                </c:pt>
                <c:pt idx="675" formatCode="0.0">
                  <c:v>10635.37</c:v>
                </c:pt>
                <c:pt idx="676" formatCode="0.0">
                  <c:v>10651.13</c:v>
                </c:pt>
                <c:pt idx="677" formatCode="0.0">
                  <c:v>10666.89</c:v>
                </c:pt>
                <c:pt idx="678" formatCode="0.0">
                  <c:v>10682.65</c:v>
                </c:pt>
                <c:pt idx="679" formatCode="0.0">
                  <c:v>10698.41</c:v>
                </c:pt>
                <c:pt idx="680" formatCode="0.0">
                  <c:v>10714.16</c:v>
                </c:pt>
                <c:pt idx="681" formatCode="0.0">
                  <c:v>10729.94</c:v>
                </c:pt>
                <c:pt idx="682" formatCode="0.0">
                  <c:v>10745.78</c:v>
                </c:pt>
                <c:pt idx="683" formatCode="0.0">
                  <c:v>10761.62</c:v>
                </c:pt>
                <c:pt idx="684" formatCode="0.0">
                  <c:v>10777.46</c:v>
                </c:pt>
                <c:pt idx="685" formatCode="0.0">
                  <c:v>10793.29</c:v>
                </c:pt>
                <c:pt idx="686" formatCode="0.0">
                  <c:v>10809.13</c:v>
                </c:pt>
                <c:pt idx="687" formatCode="0.0">
                  <c:v>10824.97</c:v>
                </c:pt>
                <c:pt idx="688" formatCode="0.0">
                  <c:v>10840.81</c:v>
                </c:pt>
                <c:pt idx="689" formatCode="0.0">
                  <c:v>10856.64</c:v>
                </c:pt>
                <c:pt idx="690" formatCode="0.0">
                  <c:v>10872.48</c:v>
                </c:pt>
                <c:pt idx="691" formatCode="0.0">
                  <c:v>10888.32</c:v>
                </c:pt>
                <c:pt idx="692" formatCode="0.0">
                  <c:v>10904.16</c:v>
                </c:pt>
                <c:pt idx="693" formatCode="0.0">
                  <c:v>10920</c:v>
                </c:pt>
                <c:pt idx="694" formatCode="0.0">
                  <c:v>10935.88</c:v>
                </c:pt>
                <c:pt idx="695" formatCode="0.0">
                  <c:v>10951.76</c:v>
                </c:pt>
                <c:pt idx="696" formatCode="0.0">
                  <c:v>10967.64</c:v>
                </c:pt>
                <c:pt idx="697" formatCode="0.0">
                  <c:v>10983.52</c:v>
                </c:pt>
                <c:pt idx="698" formatCode="0.0">
                  <c:v>10999.4</c:v>
                </c:pt>
                <c:pt idx="699" formatCode="0.0">
                  <c:v>11015.29</c:v>
                </c:pt>
                <c:pt idx="700" formatCode="0.0">
                  <c:v>11031.17</c:v>
                </c:pt>
                <c:pt idx="701" formatCode="0.0">
                  <c:v>11047.05</c:v>
                </c:pt>
                <c:pt idx="702" formatCode="0.0">
                  <c:v>11062.93</c:v>
                </c:pt>
                <c:pt idx="703" formatCode="0.0">
                  <c:v>11078.81</c:v>
                </c:pt>
                <c:pt idx="704" formatCode="0.0">
                  <c:v>11094.7</c:v>
                </c:pt>
                <c:pt idx="705" formatCode="0.0">
                  <c:v>11110.58</c:v>
                </c:pt>
                <c:pt idx="706" formatCode="0.0">
                  <c:v>11126.51</c:v>
                </c:pt>
                <c:pt idx="707" formatCode="0.0">
                  <c:v>11142.45</c:v>
                </c:pt>
                <c:pt idx="708" formatCode="0.0">
                  <c:v>11158.4</c:v>
                </c:pt>
                <c:pt idx="709" formatCode="0.0">
                  <c:v>11174.34</c:v>
                </c:pt>
                <c:pt idx="710" formatCode="0.0">
                  <c:v>11190.28</c:v>
                </c:pt>
                <c:pt idx="711" formatCode="0.0">
                  <c:v>11206.22</c:v>
                </c:pt>
                <c:pt idx="712" formatCode="0.0">
                  <c:v>11222.16</c:v>
                </c:pt>
                <c:pt idx="713" formatCode="0.0">
                  <c:v>11238.11</c:v>
                </c:pt>
                <c:pt idx="714" formatCode="0.0">
                  <c:v>11254.05</c:v>
                </c:pt>
                <c:pt idx="715" formatCode="0.0">
                  <c:v>11269.99</c:v>
                </c:pt>
                <c:pt idx="716" formatCode="0.0">
                  <c:v>11285.93</c:v>
                </c:pt>
                <c:pt idx="717" formatCode="0.0">
                  <c:v>11301.88</c:v>
                </c:pt>
                <c:pt idx="718" formatCode="0.0">
                  <c:v>11317.86</c:v>
                </c:pt>
                <c:pt idx="719" formatCode="0.0">
                  <c:v>11333.87</c:v>
                </c:pt>
                <c:pt idx="720" formatCode="0.0">
                  <c:v>11349.88</c:v>
                </c:pt>
                <c:pt idx="721" formatCode="0.0">
                  <c:v>11365.88</c:v>
                </c:pt>
                <c:pt idx="722" formatCode="0.0">
                  <c:v>11381.89</c:v>
                </c:pt>
                <c:pt idx="723" formatCode="0.0">
                  <c:v>11397.9</c:v>
                </c:pt>
                <c:pt idx="724" formatCode="0.0">
                  <c:v>11413.91</c:v>
                </c:pt>
                <c:pt idx="725" formatCode="0.0">
                  <c:v>11429.91</c:v>
                </c:pt>
                <c:pt idx="726" formatCode="0.0">
                  <c:v>11445.92</c:v>
                </c:pt>
                <c:pt idx="727" formatCode="0.0">
                  <c:v>11461.93</c:v>
                </c:pt>
                <c:pt idx="728" formatCode="0.0">
                  <c:v>11477.94</c:v>
                </c:pt>
                <c:pt idx="729" formatCode="0.0">
                  <c:v>11493.94</c:v>
                </c:pt>
                <c:pt idx="730" formatCode="0.0">
                  <c:v>11509.96</c:v>
                </c:pt>
                <c:pt idx="731" formatCode="0.0">
                  <c:v>11525.98</c:v>
                </c:pt>
                <c:pt idx="732" formatCode="0.0">
                  <c:v>11542.01</c:v>
                </c:pt>
                <c:pt idx="733" formatCode="0.0">
                  <c:v>11558.03</c:v>
                </c:pt>
                <c:pt idx="734" formatCode="0.0">
                  <c:v>11574.05</c:v>
                </c:pt>
                <c:pt idx="735" formatCode="0.0">
                  <c:v>11590.07</c:v>
                </c:pt>
                <c:pt idx="736" formatCode="0.0">
                  <c:v>11606.1</c:v>
                </c:pt>
                <c:pt idx="737" formatCode="0.0">
                  <c:v>11622.12</c:v>
                </c:pt>
                <c:pt idx="738" formatCode="0.0">
                  <c:v>11638.14</c:v>
                </c:pt>
                <c:pt idx="739" formatCode="0.0">
                  <c:v>11654.17</c:v>
                </c:pt>
                <c:pt idx="740" formatCode="0.0">
                  <c:v>11670.19</c:v>
                </c:pt>
                <c:pt idx="741" formatCode="0.0">
                  <c:v>11686.21</c:v>
                </c:pt>
                <c:pt idx="742" formatCode="0.0">
                  <c:v>11702.24</c:v>
                </c:pt>
                <c:pt idx="743" formatCode="0.0">
                  <c:v>11718.26</c:v>
                </c:pt>
                <c:pt idx="744" formatCode="0.0">
                  <c:v>11734.28</c:v>
                </c:pt>
                <c:pt idx="745" formatCode="0.0">
                  <c:v>11750.31</c:v>
                </c:pt>
                <c:pt idx="746" formatCode="0.0">
                  <c:v>11766.33</c:v>
                </c:pt>
                <c:pt idx="747" formatCode="0.0">
                  <c:v>11782.35</c:v>
                </c:pt>
                <c:pt idx="748" formatCode="0.0">
                  <c:v>11798.38</c:v>
                </c:pt>
                <c:pt idx="749" formatCode="0.0">
                  <c:v>11814.4</c:v>
                </c:pt>
                <c:pt idx="750" formatCode="0.0">
                  <c:v>11830.42</c:v>
                </c:pt>
                <c:pt idx="751" formatCode="0.0">
                  <c:v>11846.44</c:v>
                </c:pt>
                <c:pt idx="752" formatCode="0.0">
                  <c:v>11862.47</c:v>
                </c:pt>
                <c:pt idx="753" formatCode="0.0">
                  <c:v>11878.49</c:v>
                </c:pt>
                <c:pt idx="754" formatCode="0.0">
                  <c:v>11894.51</c:v>
                </c:pt>
                <c:pt idx="755" formatCode="0.0">
                  <c:v>11910.54</c:v>
                </c:pt>
                <c:pt idx="756" formatCode="0.0">
                  <c:v>11926.56</c:v>
                </c:pt>
                <c:pt idx="757" formatCode="0.0">
                  <c:v>11942.58</c:v>
                </c:pt>
                <c:pt idx="758" formatCode="0.0">
                  <c:v>11958.61</c:v>
                </c:pt>
                <c:pt idx="759" formatCode="0.0">
                  <c:v>11974.63</c:v>
                </c:pt>
                <c:pt idx="760" formatCode="0.0">
                  <c:v>11990.65</c:v>
                </c:pt>
                <c:pt idx="761" formatCode="0.0">
                  <c:v>12006.68</c:v>
                </c:pt>
                <c:pt idx="762" formatCode="0.0">
                  <c:v>12022.7</c:v>
                </c:pt>
                <c:pt idx="763" formatCode="0.0">
                  <c:v>12038.72</c:v>
                </c:pt>
                <c:pt idx="764" formatCode="0.0">
                  <c:v>12054.74</c:v>
                </c:pt>
                <c:pt idx="765" formatCode="0.0">
                  <c:v>12070.77</c:v>
                </c:pt>
                <c:pt idx="766" formatCode="0.0">
                  <c:v>12086.79</c:v>
                </c:pt>
                <c:pt idx="767" formatCode="0.0">
                  <c:v>12102.81</c:v>
                </c:pt>
                <c:pt idx="768" formatCode="0.0">
                  <c:v>12118.84</c:v>
                </c:pt>
                <c:pt idx="769" formatCode="0.0">
                  <c:v>12134.86</c:v>
                </c:pt>
                <c:pt idx="770" formatCode="0.0">
                  <c:v>12150.88</c:v>
                </c:pt>
                <c:pt idx="771" formatCode="0.0">
                  <c:v>12166.91</c:v>
                </c:pt>
                <c:pt idx="772" formatCode="0.0">
                  <c:v>12182.93</c:v>
                </c:pt>
                <c:pt idx="773" formatCode="0.0">
                  <c:v>12198.95</c:v>
                </c:pt>
                <c:pt idx="774" formatCode="0.0">
                  <c:v>12214.98</c:v>
                </c:pt>
                <c:pt idx="775" formatCode="0.0">
                  <c:v>12231</c:v>
                </c:pt>
                <c:pt idx="776" formatCode="0.0">
                  <c:v>12247.02</c:v>
                </c:pt>
                <c:pt idx="777" formatCode="0.0">
                  <c:v>12263.04</c:v>
                </c:pt>
                <c:pt idx="778" formatCode="0.0">
                  <c:v>12279.07</c:v>
                </c:pt>
                <c:pt idx="779" formatCode="0.0">
                  <c:v>12295.09</c:v>
                </c:pt>
                <c:pt idx="780" formatCode="0.0">
                  <c:v>12311.11</c:v>
                </c:pt>
                <c:pt idx="781" formatCode="0.0">
                  <c:v>12327.14</c:v>
                </c:pt>
                <c:pt idx="782" formatCode="0.0">
                  <c:v>12343.16</c:v>
                </c:pt>
                <c:pt idx="783" formatCode="0.0">
                  <c:v>12359.18</c:v>
                </c:pt>
                <c:pt idx="784" formatCode="0.0">
                  <c:v>12375.21</c:v>
                </c:pt>
                <c:pt idx="785" formatCode="0.0">
                  <c:v>12391.23</c:v>
                </c:pt>
                <c:pt idx="786" formatCode="0.0">
                  <c:v>12407.25</c:v>
                </c:pt>
                <c:pt idx="787" formatCode="0.0">
                  <c:v>12423.27</c:v>
                </c:pt>
                <c:pt idx="788" formatCode="0.0">
                  <c:v>12439.3</c:v>
                </c:pt>
                <c:pt idx="789" formatCode="0.0">
                  <c:v>12455.32</c:v>
                </c:pt>
                <c:pt idx="790" formatCode="0.0">
                  <c:v>12471.34</c:v>
                </c:pt>
                <c:pt idx="791" formatCode="0.0">
                  <c:v>12487.37</c:v>
                </c:pt>
                <c:pt idx="792" formatCode="0.0">
                  <c:v>12503.39</c:v>
                </c:pt>
                <c:pt idx="793" formatCode="0.0">
                  <c:v>12519.41</c:v>
                </c:pt>
                <c:pt idx="794" formatCode="0.0">
                  <c:v>12535.44</c:v>
                </c:pt>
                <c:pt idx="795" formatCode="0.0">
                  <c:v>12551.46</c:v>
                </c:pt>
                <c:pt idx="796" formatCode="0.0">
                  <c:v>12567.48</c:v>
                </c:pt>
                <c:pt idx="797" formatCode="0.0">
                  <c:v>12583.51</c:v>
                </c:pt>
                <c:pt idx="798" formatCode="0.0">
                  <c:v>12599.53</c:v>
                </c:pt>
                <c:pt idx="799" formatCode="0.0">
                  <c:v>12615.55</c:v>
                </c:pt>
                <c:pt idx="800" formatCode="0.0">
                  <c:v>12631.57</c:v>
                </c:pt>
                <c:pt idx="801" formatCode="0.0">
                  <c:v>12647.6</c:v>
                </c:pt>
                <c:pt idx="802" formatCode="0.0">
                  <c:v>12663.62</c:v>
                </c:pt>
                <c:pt idx="803" formatCode="0.0">
                  <c:v>12679.64</c:v>
                </c:pt>
                <c:pt idx="804" formatCode="0.0">
                  <c:v>12695.67</c:v>
                </c:pt>
                <c:pt idx="805" formatCode="0.0">
                  <c:v>12711.69</c:v>
                </c:pt>
                <c:pt idx="806" formatCode="0.0">
                  <c:v>12727.71</c:v>
                </c:pt>
                <c:pt idx="807" formatCode="0.0">
                  <c:v>12743.74</c:v>
                </c:pt>
                <c:pt idx="808" formatCode="0.0">
                  <c:v>12759.76</c:v>
                </c:pt>
                <c:pt idx="809" formatCode="0.0">
                  <c:v>12775.78</c:v>
                </c:pt>
                <c:pt idx="810" formatCode="0.0">
                  <c:v>12791.8</c:v>
                </c:pt>
                <c:pt idx="811" formatCode="0.0">
                  <c:v>12807.83</c:v>
                </c:pt>
                <c:pt idx="812" formatCode="0.0">
                  <c:v>12823.85</c:v>
                </c:pt>
                <c:pt idx="813" formatCode="0.0">
                  <c:v>12839.87</c:v>
                </c:pt>
                <c:pt idx="814" formatCode="0.0">
                  <c:v>12855.9</c:v>
                </c:pt>
                <c:pt idx="815" formatCode="0.0">
                  <c:v>12871.92</c:v>
                </c:pt>
                <c:pt idx="816" formatCode="0.0">
                  <c:v>12887.94</c:v>
                </c:pt>
                <c:pt idx="817" formatCode="0.0">
                  <c:v>12903.97</c:v>
                </c:pt>
                <c:pt idx="818" formatCode="0.0">
                  <c:v>12919.99</c:v>
                </c:pt>
                <c:pt idx="819" formatCode="0.0">
                  <c:v>12936.01</c:v>
                </c:pt>
                <c:pt idx="820" formatCode="0.0">
                  <c:v>12952.04</c:v>
                </c:pt>
                <c:pt idx="821" formatCode="0.0">
                  <c:v>12968.06</c:v>
                </c:pt>
                <c:pt idx="822" formatCode="0.0">
                  <c:v>12984.08</c:v>
                </c:pt>
                <c:pt idx="823" formatCode="0.0">
                  <c:v>13000.1</c:v>
                </c:pt>
                <c:pt idx="824" formatCode="0.0">
                  <c:v>13016.13</c:v>
                </c:pt>
                <c:pt idx="825" formatCode="0.0">
                  <c:v>13032.15</c:v>
                </c:pt>
                <c:pt idx="826" formatCode="0.0">
                  <c:v>13048.17</c:v>
                </c:pt>
                <c:pt idx="827" formatCode="0.0">
                  <c:v>13064.2</c:v>
                </c:pt>
                <c:pt idx="828" formatCode="0.0">
                  <c:v>13080.22</c:v>
                </c:pt>
                <c:pt idx="829" formatCode="0.0">
                  <c:v>13096.24</c:v>
                </c:pt>
                <c:pt idx="830" formatCode="0.0">
                  <c:v>13112.27</c:v>
                </c:pt>
                <c:pt idx="831" formatCode="0.0">
                  <c:v>13128.29</c:v>
                </c:pt>
                <c:pt idx="832" formatCode="0.0">
                  <c:v>13144.31</c:v>
                </c:pt>
                <c:pt idx="833" formatCode="0.0">
                  <c:v>13160.33</c:v>
                </c:pt>
                <c:pt idx="834" formatCode="0.0">
                  <c:v>13176.36</c:v>
                </c:pt>
                <c:pt idx="835" formatCode="0.0">
                  <c:v>13192.38</c:v>
                </c:pt>
                <c:pt idx="836" formatCode="0.0">
                  <c:v>13208.4</c:v>
                </c:pt>
                <c:pt idx="837" formatCode="0.0">
                  <c:v>13224.43</c:v>
                </c:pt>
                <c:pt idx="838" formatCode="0.0">
                  <c:v>13240.45</c:v>
                </c:pt>
                <c:pt idx="839" formatCode="0.0">
                  <c:v>13256.47</c:v>
                </c:pt>
                <c:pt idx="840" formatCode="0.0">
                  <c:v>13272.5</c:v>
                </c:pt>
                <c:pt idx="841" formatCode="0.0">
                  <c:v>13288.52</c:v>
                </c:pt>
                <c:pt idx="842" formatCode="0.0">
                  <c:v>13304.54</c:v>
                </c:pt>
                <c:pt idx="843" formatCode="0.0">
                  <c:v>13320.57</c:v>
                </c:pt>
                <c:pt idx="844" formatCode="0.0">
                  <c:v>13336.59</c:v>
                </c:pt>
                <c:pt idx="845" formatCode="0.0">
                  <c:v>13352.61</c:v>
                </c:pt>
                <c:pt idx="846" formatCode="0.0">
                  <c:v>13368.63</c:v>
                </c:pt>
                <c:pt idx="847" formatCode="0.0">
                  <c:v>13384.66</c:v>
                </c:pt>
                <c:pt idx="848" formatCode="0.0">
                  <c:v>13400.68</c:v>
                </c:pt>
                <c:pt idx="849" formatCode="0.0">
                  <c:v>13416.7</c:v>
                </c:pt>
                <c:pt idx="850" formatCode="0.0">
                  <c:v>13432.73</c:v>
                </c:pt>
                <c:pt idx="851" formatCode="0.0">
                  <c:v>13448.75</c:v>
                </c:pt>
                <c:pt idx="852" formatCode="0.0">
                  <c:v>13464.77</c:v>
                </c:pt>
                <c:pt idx="853" formatCode="0.0">
                  <c:v>13480.8</c:v>
                </c:pt>
                <c:pt idx="854" formatCode="0.0">
                  <c:v>13496.82</c:v>
                </c:pt>
                <c:pt idx="855" formatCode="0.0">
                  <c:v>13512.84</c:v>
                </c:pt>
                <c:pt idx="856" formatCode="0.0">
                  <c:v>13528.87</c:v>
                </c:pt>
                <c:pt idx="857" formatCode="0.0">
                  <c:v>13544.89</c:v>
                </c:pt>
                <c:pt idx="858" formatCode="0.0">
                  <c:v>13560.91</c:v>
                </c:pt>
                <c:pt idx="859" formatCode="0.0">
                  <c:v>13576.93</c:v>
                </c:pt>
                <c:pt idx="860" formatCode="0.0">
                  <c:v>13592.96</c:v>
                </c:pt>
                <c:pt idx="861" formatCode="0.0">
                  <c:v>13608.98</c:v>
                </c:pt>
                <c:pt idx="862" formatCode="0.0">
                  <c:v>13625</c:v>
                </c:pt>
                <c:pt idx="863" formatCode="0.0">
                  <c:v>13641.03</c:v>
                </c:pt>
                <c:pt idx="864" formatCode="0.0">
                  <c:v>13657.05</c:v>
                </c:pt>
                <c:pt idx="865" formatCode="0.0">
                  <c:v>13673.07</c:v>
                </c:pt>
                <c:pt idx="866" formatCode="0.0">
                  <c:v>13689.1</c:v>
                </c:pt>
                <c:pt idx="867" formatCode="0.0">
                  <c:v>13705.12</c:v>
                </c:pt>
                <c:pt idx="868" formatCode="0.0">
                  <c:v>13721.14</c:v>
                </c:pt>
                <c:pt idx="869" formatCode="0.0">
                  <c:v>13737.16</c:v>
                </c:pt>
                <c:pt idx="870" formatCode="0.0">
                  <c:v>13753.19</c:v>
                </c:pt>
                <c:pt idx="871" formatCode="0.0">
                  <c:v>13769.21</c:v>
                </c:pt>
                <c:pt idx="872" formatCode="0.0">
                  <c:v>13785.23</c:v>
                </c:pt>
                <c:pt idx="873" formatCode="0.0">
                  <c:v>13801.26</c:v>
                </c:pt>
                <c:pt idx="874" formatCode="0.0">
                  <c:v>13817.28</c:v>
                </c:pt>
                <c:pt idx="875" formatCode="0.0">
                  <c:v>13833.3</c:v>
                </c:pt>
                <c:pt idx="876" formatCode="0.0">
                  <c:v>13849.33</c:v>
                </c:pt>
                <c:pt idx="877" formatCode="0.0">
                  <c:v>13865.35</c:v>
                </c:pt>
                <c:pt idx="878" formatCode="0.0">
                  <c:v>13881.37</c:v>
                </c:pt>
                <c:pt idx="879" formatCode="0.0">
                  <c:v>13897.4</c:v>
                </c:pt>
                <c:pt idx="880" formatCode="0.0">
                  <c:v>13913.42</c:v>
                </c:pt>
                <c:pt idx="881" formatCode="0.0">
                  <c:v>13929.44</c:v>
                </c:pt>
                <c:pt idx="882" formatCode="0.0">
                  <c:v>13945.46</c:v>
                </c:pt>
                <c:pt idx="883" formatCode="0.0">
                  <c:v>13961.49</c:v>
                </c:pt>
                <c:pt idx="884" formatCode="0.0">
                  <c:v>13977.51</c:v>
                </c:pt>
                <c:pt idx="885" formatCode="0.0">
                  <c:v>13993.53</c:v>
                </c:pt>
                <c:pt idx="886" formatCode="0.0">
                  <c:v>14009.56</c:v>
                </c:pt>
                <c:pt idx="887" formatCode="0.0">
                  <c:v>14025.58</c:v>
                </c:pt>
                <c:pt idx="888" formatCode="0.0">
                  <c:v>14041.6</c:v>
                </c:pt>
                <c:pt idx="889" formatCode="0.0">
                  <c:v>14057.63</c:v>
                </c:pt>
                <c:pt idx="890" formatCode="0.0">
                  <c:v>14073.65</c:v>
                </c:pt>
                <c:pt idx="891" formatCode="0.0">
                  <c:v>14089.67</c:v>
                </c:pt>
                <c:pt idx="892" formatCode="0.0">
                  <c:v>14105.69</c:v>
                </c:pt>
                <c:pt idx="893" formatCode="0.0">
                  <c:v>14121.72</c:v>
                </c:pt>
                <c:pt idx="894" formatCode="0.0">
                  <c:v>14137.74</c:v>
                </c:pt>
                <c:pt idx="895" formatCode="0.0">
                  <c:v>14153.76</c:v>
                </c:pt>
                <c:pt idx="896" formatCode="0.0">
                  <c:v>14169.79</c:v>
                </c:pt>
                <c:pt idx="897" formatCode="0.0">
                  <c:v>14185.81</c:v>
                </c:pt>
                <c:pt idx="898" formatCode="0.0">
                  <c:v>14201.83</c:v>
                </c:pt>
                <c:pt idx="899" formatCode="0.0">
                  <c:v>14217.86</c:v>
                </c:pt>
                <c:pt idx="900" formatCode="0.0">
                  <c:v>14233.88</c:v>
                </c:pt>
                <c:pt idx="901" formatCode="0.0">
                  <c:v>14249.9</c:v>
                </c:pt>
                <c:pt idx="902" formatCode="0.0">
                  <c:v>14265.93</c:v>
                </c:pt>
                <c:pt idx="903" formatCode="0.0">
                  <c:v>14281.95</c:v>
                </c:pt>
                <c:pt idx="904" formatCode="0.0">
                  <c:v>14297.97</c:v>
                </c:pt>
                <c:pt idx="905" formatCode="0.0">
                  <c:v>14313.99</c:v>
                </c:pt>
                <c:pt idx="906" formatCode="0.0">
                  <c:v>14330.02</c:v>
                </c:pt>
                <c:pt idx="907" formatCode="0.0">
                  <c:v>14346.04</c:v>
                </c:pt>
                <c:pt idx="908" formatCode="0.0">
                  <c:v>14362.06</c:v>
                </c:pt>
                <c:pt idx="909" formatCode="0.0">
                  <c:v>14378.09</c:v>
                </c:pt>
                <c:pt idx="910" formatCode="0.0">
                  <c:v>14394.11</c:v>
                </c:pt>
                <c:pt idx="911" formatCode="0.0">
                  <c:v>14410.13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4-4F2F-8FF5-7505E34CD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88896"/>
        <c:axId val="219744128"/>
      </c:scatterChart>
      <c:valAx>
        <c:axId val="20588889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</a:t>
                </a:r>
              </a:p>
            </c:rich>
          </c:tx>
          <c:layout>
            <c:manualLayout>
              <c:xMode val="edge"/>
              <c:yMode val="edge"/>
              <c:x val="0.48971749353952881"/>
              <c:y val="4.123711340206185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44128"/>
        <c:crosses val="autoZero"/>
        <c:crossBetween val="midCat"/>
      </c:valAx>
      <c:valAx>
        <c:axId val="21974412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</a:t>
                </a:r>
              </a:p>
            </c:rich>
          </c:tx>
          <c:layout>
            <c:manualLayout>
              <c:xMode val="edge"/>
              <c:yMode val="edge"/>
              <c:x val="2.0565552699228787E-2"/>
              <c:y val="0.50515518034472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888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555526317567"/>
          <c:y val="0.53092837622101363"/>
          <c:w val="8.2262210796915106E-2"/>
          <c:h val="5.67010309278351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20721922155519"/>
          <c:y val="0.17290582683305972"/>
          <c:w val="0.83970457461405634"/>
          <c:h val="0.75935961062766488"/>
        </c:manualLayout>
      </c:layout>
      <c:scatterChart>
        <c:scatterStyle val="lineMarker"/>
        <c:varyColors val="0"/>
        <c:ser>
          <c:idx val="1"/>
          <c:order val="0"/>
          <c:tx>
            <c:v>Depth (alculated)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'NUNR-012'!$C$15:$C$926</c:f>
              <c:numCache>
                <c:formatCode>0.00</c:formatCode>
                <c:ptCount val="912"/>
                <c:pt idx="0">
                  <c:v>0</c:v>
                </c:pt>
                <c:pt idx="1">
                  <c:v>9.49</c:v>
                </c:pt>
                <c:pt idx="2">
                  <c:v>19.38</c:v>
                </c:pt>
                <c:pt idx="3">
                  <c:v>29.27</c:v>
                </c:pt>
                <c:pt idx="4">
                  <c:v>39.159999999999997</c:v>
                </c:pt>
                <c:pt idx="5">
                  <c:v>44.59</c:v>
                </c:pt>
                <c:pt idx="6">
                  <c:v>49.55</c:v>
                </c:pt>
                <c:pt idx="7">
                  <c:v>54.5</c:v>
                </c:pt>
                <c:pt idx="8">
                  <c:v>59.46</c:v>
                </c:pt>
                <c:pt idx="9">
                  <c:v>64.42</c:v>
                </c:pt>
                <c:pt idx="10">
                  <c:v>69.38</c:v>
                </c:pt>
                <c:pt idx="11">
                  <c:v>74.33</c:v>
                </c:pt>
                <c:pt idx="12">
                  <c:v>79.290000000000006</c:v>
                </c:pt>
                <c:pt idx="13">
                  <c:v>84.25</c:v>
                </c:pt>
                <c:pt idx="14">
                  <c:v>89.21</c:v>
                </c:pt>
                <c:pt idx="15">
                  <c:v>94.17</c:v>
                </c:pt>
                <c:pt idx="16">
                  <c:v>99.12</c:v>
                </c:pt>
                <c:pt idx="17">
                  <c:v>104.08</c:v>
                </c:pt>
                <c:pt idx="18">
                  <c:v>109.04</c:v>
                </c:pt>
                <c:pt idx="19">
                  <c:v>114</c:v>
                </c:pt>
                <c:pt idx="20">
                  <c:v>118.95</c:v>
                </c:pt>
                <c:pt idx="21">
                  <c:v>123.91</c:v>
                </c:pt>
                <c:pt idx="22">
                  <c:v>128.87</c:v>
                </c:pt>
                <c:pt idx="23">
                  <c:v>133.83000000000001</c:v>
                </c:pt>
                <c:pt idx="24">
                  <c:v>138.78</c:v>
                </c:pt>
                <c:pt idx="25">
                  <c:v>143.74</c:v>
                </c:pt>
                <c:pt idx="26">
                  <c:v>148.69999999999999</c:v>
                </c:pt>
                <c:pt idx="27">
                  <c:v>153.66</c:v>
                </c:pt>
                <c:pt idx="28">
                  <c:v>158.61000000000001</c:v>
                </c:pt>
                <c:pt idx="29">
                  <c:v>163.57</c:v>
                </c:pt>
                <c:pt idx="30">
                  <c:v>168.53</c:v>
                </c:pt>
                <c:pt idx="31">
                  <c:v>173.49</c:v>
                </c:pt>
                <c:pt idx="32">
                  <c:v>178.45</c:v>
                </c:pt>
                <c:pt idx="33">
                  <c:v>183.4</c:v>
                </c:pt>
                <c:pt idx="34">
                  <c:v>188.36</c:v>
                </c:pt>
                <c:pt idx="35">
                  <c:v>193.32</c:v>
                </c:pt>
                <c:pt idx="36">
                  <c:v>198.28</c:v>
                </c:pt>
                <c:pt idx="37">
                  <c:v>203.23</c:v>
                </c:pt>
                <c:pt idx="38">
                  <c:v>208.19</c:v>
                </c:pt>
                <c:pt idx="39">
                  <c:v>213.15</c:v>
                </c:pt>
                <c:pt idx="40">
                  <c:v>218.11</c:v>
                </c:pt>
                <c:pt idx="41">
                  <c:v>223.06</c:v>
                </c:pt>
                <c:pt idx="42">
                  <c:v>228.02</c:v>
                </c:pt>
                <c:pt idx="43">
                  <c:v>232.98</c:v>
                </c:pt>
                <c:pt idx="44">
                  <c:v>237.94</c:v>
                </c:pt>
                <c:pt idx="45">
                  <c:v>242.9</c:v>
                </c:pt>
                <c:pt idx="46">
                  <c:v>247.85</c:v>
                </c:pt>
                <c:pt idx="47">
                  <c:v>252.81</c:v>
                </c:pt>
                <c:pt idx="48">
                  <c:v>257.77</c:v>
                </c:pt>
                <c:pt idx="49">
                  <c:v>262.73</c:v>
                </c:pt>
                <c:pt idx="50">
                  <c:v>267.68</c:v>
                </c:pt>
                <c:pt idx="51">
                  <c:v>272.64</c:v>
                </c:pt>
                <c:pt idx="52">
                  <c:v>277.60000000000002</c:v>
                </c:pt>
                <c:pt idx="53">
                  <c:v>282.56</c:v>
                </c:pt>
                <c:pt idx="54">
                  <c:v>287.51</c:v>
                </c:pt>
                <c:pt idx="55">
                  <c:v>292.47000000000003</c:v>
                </c:pt>
                <c:pt idx="56">
                  <c:v>297.43</c:v>
                </c:pt>
                <c:pt idx="57">
                  <c:v>302.39</c:v>
                </c:pt>
                <c:pt idx="58">
                  <c:v>307.35000000000002</c:v>
                </c:pt>
                <c:pt idx="59">
                  <c:v>312.3</c:v>
                </c:pt>
                <c:pt idx="60">
                  <c:v>317.26</c:v>
                </c:pt>
                <c:pt idx="61">
                  <c:v>322.22000000000003</c:v>
                </c:pt>
                <c:pt idx="62">
                  <c:v>327.18</c:v>
                </c:pt>
                <c:pt idx="63" formatCode="0.0">
                  <c:v>332.13</c:v>
                </c:pt>
                <c:pt idx="64" formatCode="0.0">
                  <c:v>337.09</c:v>
                </c:pt>
                <c:pt idx="65" formatCode="0.0">
                  <c:v>342.05</c:v>
                </c:pt>
                <c:pt idx="66" formatCode="0.0">
                  <c:v>347.01</c:v>
                </c:pt>
                <c:pt idx="67" formatCode="0.0">
                  <c:v>351.96</c:v>
                </c:pt>
                <c:pt idx="68" formatCode="0.0">
                  <c:v>356.92</c:v>
                </c:pt>
                <c:pt idx="69" formatCode="0.0">
                  <c:v>361.88</c:v>
                </c:pt>
                <c:pt idx="70" formatCode="0.0">
                  <c:v>366.84</c:v>
                </c:pt>
                <c:pt idx="71" formatCode="0.0">
                  <c:v>371.8</c:v>
                </c:pt>
                <c:pt idx="72" formatCode="0.0">
                  <c:v>376.75</c:v>
                </c:pt>
                <c:pt idx="73" formatCode="0.0">
                  <c:v>381.71</c:v>
                </c:pt>
                <c:pt idx="74" formatCode="0.0">
                  <c:v>386.67</c:v>
                </c:pt>
                <c:pt idx="75" formatCode="0.0">
                  <c:v>391.63</c:v>
                </c:pt>
                <c:pt idx="76" formatCode="0.0">
                  <c:v>396.58</c:v>
                </c:pt>
                <c:pt idx="77" formatCode="0.0">
                  <c:v>401.54</c:v>
                </c:pt>
                <c:pt idx="78" formatCode="0.0">
                  <c:v>406.5</c:v>
                </c:pt>
                <c:pt idx="79" formatCode="0.0">
                  <c:v>411.46</c:v>
                </c:pt>
                <c:pt idx="80" formatCode="0.0">
                  <c:v>416.41</c:v>
                </c:pt>
                <c:pt idx="81" formatCode="0.0">
                  <c:v>421.37</c:v>
                </c:pt>
                <c:pt idx="82" formatCode="0.0">
                  <c:v>426.33</c:v>
                </c:pt>
                <c:pt idx="83" formatCode="0.0">
                  <c:v>431.29</c:v>
                </c:pt>
                <c:pt idx="84" formatCode="0.0">
                  <c:v>436.24</c:v>
                </c:pt>
                <c:pt idx="85" formatCode="0.0">
                  <c:v>441.2</c:v>
                </c:pt>
                <c:pt idx="86" formatCode="0.0">
                  <c:v>446.16</c:v>
                </c:pt>
                <c:pt idx="87" formatCode="0.0">
                  <c:v>451.12</c:v>
                </c:pt>
                <c:pt idx="88" formatCode="0.0">
                  <c:v>456.08</c:v>
                </c:pt>
                <c:pt idx="89" formatCode="0.0">
                  <c:v>461.03</c:v>
                </c:pt>
                <c:pt idx="90" formatCode="0.0">
                  <c:v>465.99</c:v>
                </c:pt>
                <c:pt idx="91" formatCode="0.0">
                  <c:v>470.95</c:v>
                </c:pt>
                <c:pt idx="92" formatCode="0.0">
                  <c:v>475.91</c:v>
                </c:pt>
                <c:pt idx="93" formatCode="0.0">
                  <c:v>480.86</c:v>
                </c:pt>
                <c:pt idx="94" formatCode="0.0">
                  <c:v>485.82</c:v>
                </c:pt>
                <c:pt idx="95" formatCode="0.0">
                  <c:v>490.78</c:v>
                </c:pt>
                <c:pt idx="96" formatCode="0.0">
                  <c:v>495.74</c:v>
                </c:pt>
                <c:pt idx="97" formatCode="0.0">
                  <c:v>500.69</c:v>
                </c:pt>
                <c:pt idx="98" formatCode="0.0">
                  <c:v>505.65</c:v>
                </c:pt>
                <c:pt idx="99" formatCode="0.0">
                  <c:v>510.61</c:v>
                </c:pt>
                <c:pt idx="100" formatCode="0.0">
                  <c:v>515.57000000000005</c:v>
                </c:pt>
                <c:pt idx="101" formatCode="0.0">
                  <c:v>520.52</c:v>
                </c:pt>
                <c:pt idx="102" formatCode="0.0">
                  <c:v>525.48</c:v>
                </c:pt>
                <c:pt idx="103" formatCode="0.0">
                  <c:v>530.44000000000005</c:v>
                </c:pt>
                <c:pt idx="104" formatCode="0.0">
                  <c:v>535.4</c:v>
                </c:pt>
                <c:pt idx="105" formatCode="0.0">
                  <c:v>540.36</c:v>
                </c:pt>
                <c:pt idx="106" formatCode="0.0">
                  <c:v>545.30999999999995</c:v>
                </c:pt>
                <c:pt idx="107" formatCode="0.0">
                  <c:v>550.27</c:v>
                </c:pt>
                <c:pt idx="108" formatCode="0.0">
                  <c:v>555.23</c:v>
                </c:pt>
                <c:pt idx="109" formatCode="0.0">
                  <c:v>560.19000000000005</c:v>
                </c:pt>
                <c:pt idx="110" formatCode="0.0">
                  <c:v>565.14</c:v>
                </c:pt>
                <c:pt idx="111" formatCode="0.0">
                  <c:v>570.1</c:v>
                </c:pt>
                <c:pt idx="112" formatCode="0.0">
                  <c:v>575.05999999999995</c:v>
                </c:pt>
                <c:pt idx="113" formatCode="0.0">
                  <c:v>580.02</c:v>
                </c:pt>
                <c:pt idx="114" formatCode="0.0">
                  <c:v>584.97</c:v>
                </c:pt>
                <c:pt idx="115" formatCode="0.0">
                  <c:v>589.92999999999995</c:v>
                </c:pt>
                <c:pt idx="116" formatCode="0.0">
                  <c:v>594.89</c:v>
                </c:pt>
                <c:pt idx="117" formatCode="0.0">
                  <c:v>599.85</c:v>
                </c:pt>
                <c:pt idx="118" formatCode="0.0">
                  <c:v>604.80999999999995</c:v>
                </c:pt>
                <c:pt idx="119" formatCode="0.0">
                  <c:v>609.76</c:v>
                </c:pt>
                <c:pt idx="120" formatCode="0.0">
                  <c:v>614.72</c:v>
                </c:pt>
                <c:pt idx="121" formatCode="0.0">
                  <c:v>619.67999999999995</c:v>
                </c:pt>
                <c:pt idx="122" formatCode="0.0">
                  <c:v>624.64</c:v>
                </c:pt>
                <c:pt idx="123" formatCode="0.0">
                  <c:v>629.59</c:v>
                </c:pt>
                <c:pt idx="124" formatCode="0.0">
                  <c:v>634.54999999999995</c:v>
                </c:pt>
                <c:pt idx="125" formatCode="0.0">
                  <c:v>639.51</c:v>
                </c:pt>
                <c:pt idx="126" formatCode="0.0">
                  <c:v>644.47</c:v>
                </c:pt>
                <c:pt idx="127" formatCode="0.0">
                  <c:v>649.41999999999996</c:v>
                </c:pt>
                <c:pt idx="128" formatCode="0.0">
                  <c:v>654.38</c:v>
                </c:pt>
                <c:pt idx="129" formatCode="0.0">
                  <c:v>659.34</c:v>
                </c:pt>
                <c:pt idx="130" formatCode="0.0">
                  <c:v>664.3</c:v>
                </c:pt>
                <c:pt idx="131" formatCode="0.0">
                  <c:v>669.25</c:v>
                </c:pt>
                <c:pt idx="132" formatCode="0.0">
                  <c:v>674.21</c:v>
                </c:pt>
                <c:pt idx="133" formatCode="0.0">
                  <c:v>679.17</c:v>
                </c:pt>
                <c:pt idx="134" formatCode="0.0">
                  <c:v>684.13</c:v>
                </c:pt>
                <c:pt idx="135" formatCode="0.0">
                  <c:v>689.09</c:v>
                </c:pt>
                <c:pt idx="136" formatCode="0.0">
                  <c:v>694.04</c:v>
                </c:pt>
                <c:pt idx="137" formatCode="0.0">
                  <c:v>699</c:v>
                </c:pt>
                <c:pt idx="138" formatCode="0.0">
                  <c:v>703.96</c:v>
                </c:pt>
                <c:pt idx="139" formatCode="0.0">
                  <c:v>708.92</c:v>
                </c:pt>
                <c:pt idx="140" formatCode="0.0">
                  <c:v>713.87</c:v>
                </c:pt>
                <c:pt idx="141" formatCode="0.0">
                  <c:v>718.83</c:v>
                </c:pt>
                <c:pt idx="142" formatCode="0.0">
                  <c:v>723.79</c:v>
                </c:pt>
                <c:pt idx="143" formatCode="0.0">
                  <c:v>728.75</c:v>
                </c:pt>
                <c:pt idx="144" formatCode="0.0">
                  <c:v>733.7</c:v>
                </c:pt>
                <c:pt idx="145" formatCode="0.0">
                  <c:v>738.66</c:v>
                </c:pt>
                <c:pt idx="146" formatCode="0.0">
                  <c:v>743.62</c:v>
                </c:pt>
                <c:pt idx="147" formatCode="0.0">
                  <c:v>748.58</c:v>
                </c:pt>
                <c:pt idx="148" formatCode="0.0">
                  <c:v>753.53</c:v>
                </c:pt>
                <c:pt idx="149" formatCode="0.0">
                  <c:v>758.49</c:v>
                </c:pt>
                <c:pt idx="150" formatCode="0.0">
                  <c:v>763.45</c:v>
                </c:pt>
                <c:pt idx="151" formatCode="0.0">
                  <c:v>768.41</c:v>
                </c:pt>
                <c:pt idx="152" formatCode="0.0">
                  <c:v>773.37</c:v>
                </c:pt>
                <c:pt idx="153" formatCode="0.0">
                  <c:v>778.32</c:v>
                </c:pt>
                <c:pt idx="154" formatCode="0.0">
                  <c:v>783.28</c:v>
                </c:pt>
                <c:pt idx="155" formatCode="0.0">
                  <c:v>788.24</c:v>
                </c:pt>
                <c:pt idx="156" formatCode="0.0">
                  <c:v>793.2</c:v>
                </c:pt>
                <c:pt idx="157" formatCode="0.0">
                  <c:v>798.15</c:v>
                </c:pt>
                <c:pt idx="158" formatCode="0.0">
                  <c:v>803.11</c:v>
                </c:pt>
                <c:pt idx="159" formatCode="0.0">
                  <c:v>808.07</c:v>
                </c:pt>
                <c:pt idx="160" formatCode="0.0">
                  <c:v>813.03</c:v>
                </c:pt>
                <c:pt idx="161" formatCode="0.0">
                  <c:v>817.98</c:v>
                </c:pt>
                <c:pt idx="162" formatCode="0.0">
                  <c:v>822.94</c:v>
                </c:pt>
                <c:pt idx="163" formatCode="0.0">
                  <c:v>827.9</c:v>
                </c:pt>
                <c:pt idx="164" formatCode="0.0">
                  <c:v>832.86</c:v>
                </c:pt>
                <c:pt idx="165" formatCode="0.0">
                  <c:v>837.81</c:v>
                </c:pt>
                <c:pt idx="166" formatCode="0.0">
                  <c:v>842.77</c:v>
                </c:pt>
                <c:pt idx="167" formatCode="0.0">
                  <c:v>847.73</c:v>
                </c:pt>
                <c:pt idx="168" formatCode="0.0">
                  <c:v>852.69</c:v>
                </c:pt>
                <c:pt idx="169" formatCode="0.0">
                  <c:v>857.64</c:v>
                </c:pt>
                <c:pt idx="170" formatCode="0.0">
                  <c:v>862.6</c:v>
                </c:pt>
                <c:pt idx="171" formatCode="0.0">
                  <c:v>867.56</c:v>
                </c:pt>
                <c:pt idx="172" formatCode="0.0">
                  <c:v>872.51</c:v>
                </c:pt>
                <c:pt idx="173" formatCode="0.0">
                  <c:v>877.47</c:v>
                </c:pt>
                <c:pt idx="174" formatCode="0.0">
                  <c:v>882.43</c:v>
                </c:pt>
                <c:pt idx="175" formatCode="0.0">
                  <c:v>887.39</c:v>
                </c:pt>
                <c:pt idx="176" formatCode="0.0">
                  <c:v>892.34</c:v>
                </c:pt>
                <c:pt idx="177" formatCode="0.0">
                  <c:v>897.3</c:v>
                </c:pt>
                <c:pt idx="178" formatCode="0.0">
                  <c:v>902.26</c:v>
                </c:pt>
                <c:pt idx="179" formatCode="0.0">
                  <c:v>907.22</c:v>
                </c:pt>
                <c:pt idx="180" formatCode="0.0">
                  <c:v>912.17</c:v>
                </c:pt>
                <c:pt idx="181" formatCode="0.0">
                  <c:v>917.13</c:v>
                </c:pt>
                <c:pt idx="182" formatCode="0.0">
                  <c:v>922.09</c:v>
                </c:pt>
                <c:pt idx="183" formatCode="0.0">
                  <c:v>927.05</c:v>
                </c:pt>
                <c:pt idx="184" formatCode="0.0">
                  <c:v>932</c:v>
                </c:pt>
                <c:pt idx="185" formatCode="0.0">
                  <c:v>936.96</c:v>
                </c:pt>
                <c:pt idx="186" formatCode="0.0">
                  <c:v>941.92</c:v>
                </c:pt>
                <c:pt idx="187" formatCode="0.0">
                  <c:v>946.88</c:v>
                </c:pt>
                <c:pt idx="188" formatCode="0.0">
                  <c:v>951.83</c:v>
                </c:pt>
                <c:pt idx="189" formatCode="0.0">
                  <c:v>956.79</c:v>
                </c:pt>
                <c:pt idx="190" formatCode="0.0">
                  <c:v>961.75</c:v>
                </c:pt>
                <c:pt idx="191" formatCode="0.0">
                  <c:v>966.71</c:v>
                </c:pt>
                <c:pt idx="192" formatCode="0.0">
                  <c:v>971.66</c:v>
                </c:pt>
                <c:pt idx="193" formatCode="0.0">
                  <c:v>976.62</c:v>
                </c:pt>
                <c:pt idx="194" formatCode="0.0">
                  <c:v>981.58</c:v>
                </c:pt>
                <c:pt idx="195" formatCode="0.0">
                  <c:v>986.54</c:v>
                </c:pt>
                <c:pt idx="196" formatCode="0.0">
                  <c:v>991.5</c:v>
                </c:pt>
                <c:pt idx="197" formatCode="0.0">
                  <c:v>996.45</c:v>
                </c:pt>
                <c:pt idx="198" formatCode="0.0">
                  <c:v>1001.41</c:v>
                </c:pt>
                <c:pt idx="199" formatCode="0.0">
                  <c:v>1006.37</c:v>
                </c:pt>
                <c:pt idx="200" formatCode="0.0">
                  <c:v>1011.32</c:v>
                </c:pt>
                <c:pt idx="201" formatCode="0.0">
                  <c:v>1016.28</c:v>
                </c:pt>
                <c:pt idx="202" formatCode="0.0">
                  <c:v>1021.24</c:v>
                </c:pt>
                <c:pt idx="203" formatCode="0.0">
                  <c:v>1026.2</c:v>
                </c:pt>
                <c:pt idx="204" formatCode="0.0">
                  <c:v>1031.1500000000001</c:v>
                </c:pt>
                <c:pt idx="205" formatCode="0.0">
                  <c:v>1036.1099999999999</c:v>
                </c:pt>
                <c:pt idx="206" formatCode="0.0">
                  <c:v>1041.07</c:v>
                </c:pt>
                <c:pt idx="207" formatCode="0.0">
                  <c:v>1046.03</c:v>
                </c:pt>
                <c:pt idx="208" formatCode="0.0">
                  <c:v>1050.98</c:v>
                </c:pt>
                <c:pt idx="209" formatCode="0.0">
                  <c:v>1055.94</c:v>
                </c:pt>
                <c:pt idx="210" formatCode="0.0">
                  <c:v>1060.9000000000001</c:v>
                </c:pt>
                <c:pt idx="211" formatCode="0.0">
                  <c:v>1065.8499999999999</c:v>
                </c:pt>
                <c:pt idx="212" formatCode="0.0">
                  <c:v>1070.81</c:v>
                </c:pt>
                <c:pt idx="213" formatCode="0.0">
                  <c:v>1075.77</c:v>
                </c:pt>
                <c:pt idx="214" formatCode="0.0">
                  <c:v>1080.73</c:v>
                </c:pt>
                <c:pt idx="215" formatCode="0.0">
                  <c:v>1085.68</c:v>
                </c:pt>
                <c:pt idx="216" formatCode="0.0">
                  <c:v>1090.6400000000001</c:v>
                </c:pt>
                <c:pt idx="217" formatCode="0.0">
                  <c:v>1095.5999999999999</c:v>
                </c:pt>
                <c:pt idx="218" formatCode="0.0">
                  <c:v>1100.56</c:v>
                </c:pt>
                <c:pt idx="219" formatCode="0.0">
                  <c:v>1105.51</c:v>
                </c:pt>
                <c:pt idx="220" formatCode="0.0">
                  <c:v>1110.28</c:v>
                </c:pt>
                <c:pt idx="221" formatCode="0.0">
                  <c:v>1114.8599999999999</c:v>
                </c:pt>
                <c:pt idx="222" formatCode="0.0">
                  <c:v>1119.44</c:v>
                </c:pt>
                <c:pt idx="223" formatCode="0.0">
                  <c:v>1124.03</c:v>
                </c:pt>
                <c:pt idx="224" formatCode="0.0">
                  <c:v>1128.6199999999999</c:v>
                </c:pt>
                <c:pt idx="225" formatCode="0.0">
                  <c:v>1133.22</c:v>
                </c:pt>
                <c:pt idx="226" formatCode="0.0">
                  <c:v>1137.81</c:v>
                </c:pt>
                <c:pt idx="227" formatCode="0.0">
                  <c:v>1142.4100000000001</c:v>
                </c:pt>
                <c:pt idx="228" formatCode="0.0">
                  <c:v>1147</c:v>
                </c:pt>
                <c:pt idx="229" formatCode="0.0">
                  <c:v>1151.5999999999999</c:v>
                </c:pt>
                <c:pt idx="230" formatCode="0.0">
                  <c:v>1156.19</c:v>
                </c:pt>
                <c:pt idx="231" formatCode="0.0">
                  <c:v>1160.78</c:v>
                </c:pt>
                <c:pt idx="232" formatCode="0.0">
                  <c:v>1165.3800000000001</c:v>
                </c:pt>
                <c:pt idx="233" formatCode="0.0">
                  <c:v>1169.97</c:v>
                </c:pt>
                <c:pt idx="234" formatCode="0.0">
                  <c:v>1174.57</c:v>
                </c:pt>
                <c:pt idx="235" formatCode="0.0">
                  <c:v>1179.1600000000001</c:v>
                </c:pt>
                <c:pt idx="236" formatCode="0.0">
                  <c:v>1183.76</c:v>
                </c:pt>
                <c:pt idx="237" formatCode="0.0">
                  <c:v>1188.3499999999999</c:v>
                </c:pt>
                <c:pt idx="238" formatCode="0.0">
                  <c:v>1192.94</c:v>
                </c:pt>
                <c:pt idx="239" formatCode="0.0">
                  <c:v>1197.54</c:v>
                </c:pt>
                <c:pt idx="240" formatCode="0.0">
                  <c:v>1202.1300000000001</c:v>
                </c:pt>
                <c:pt idx="241" formatCode="0.0">
                  <c:v>1206.73</c:v>
                </c:pt>
                <c:pt idx="242" formatCode="0.0">
                  <c:v>1211.32</c:v>
                </c:pt>
                <c:pt idx="243" formatCode="0.0">
                  <c:v>1215.92</c:v>
                </c:pt>
                <c:pt idx="244" formatCode="0.0">
                  <c:v>1220.47</c:v>
                </c:pt>
                <c:pt idx="245" formatCode="0.0">
                  <c:v>1224.6500000000001</c:v>
                </c:pt>
                <c:pt idx="246" formatCode="0.0">
                  <c:v>1228.83</c:v>
                </c:pt>
                <c:pt idx="247" formatCode="0.0">
                  <c:v>1233.02</c:v>
                </c:pt>
                <c:pt idx="248" formatCode="0.0">
                  <c:v>1237.2</c:v>
                </c:pt>
                <c:pt idx="249" formatCode="0.0">
                  <c:v>1241.3900000000001</c:v>
                </c:pt>
                <c:pt idx="250" formatCode="0.0">
                  <c:v>1245.57</c:v>
                </c:pt>
                <c:pt idx="251" formatCode="0.0">
                  <c:v>1249.76</c:v>
                </c:pt>
                <c:pt idx="252" formatCode="0.0">
                  <c:v>1253.94</c:v>
                </c:pt>
                <c:pt idx="253" formatCode="0.0">
                  <c:v>1258.1199999999999</c:v>
                </c:pt>
                <c:pt idx="254" formatCode="0.0">
                  <c:v>1262.31</c:v>
                </c:pt>
                <c:pt idx="255" formatCode="0.0">
                  <c:v>1266.49</c:v>
                </c:pt>
                <c:pt idx="256" formatCode="0.0">
                  <c:v>1270.68</c:v>
                </c:pt>
                <c:pt idx="257" formatCode="0.0">
                  <c:v>1274.8599999999999</c:v>
                </c:pt>
                <c:pt idx="258" formatCode="0.0">
                  <c:v>1279.05</c:v>
                </c:pt>
                <c:pt idx="259" formatCode="0.0">
                  <c:v>1283.23</c:v>
                </c:pt>
                <c:pt idx="260" formatCode="0.0">
                  <c:v>1287.4100000000001</c:v>
                </c:pt>
                <c:pt idx="261" formatCode="0.0">
                  <c:v>1291.5999999999999</c:v>
                </c:pt>
                <c:pt idx="262" formatCode="0.0">
                  <c:v>1295.78</c:v>
                </c:pt>
                <c:pt idx="263" formatCode="0.0">
                  <c:v>1299.97</c:v>
                </c:pt>
                <c:pt idx="264" formatCode="0.0">
                  <c:v>1304.1500000000001</c:v>
                </c:pt>
                <c:pt idx="265" formatCode="0.0">
                  <c:v>1308.33</c:v>
                </c:pt>
                <c:pt idx="266" formatCode="0.0">
                  <c:v>1312.52</c:v>
                </c:pt>
                <c:pt idx="267" formatCode="0.0">
                  <c:v>1316.7</c:v>
                </c:pt>
                <c:pt idx="268" formatCode="0.0">
                  <c:v>1320.88</c:v>
                </c:pt>
                <c:pt idx="269" formatCode="0.0">
                  <c:v>1325.06</c:v>
                </c:pt>
                <c:pt idx="270" formatCode="0.0">
                  <c:v>1329.23</c:v>
                </c:pt>
                <c:pt idx="271" formatCode="0.0">
                  <c:v>1333.4</c:v>
                </c:pt>
                <c:pt idx="272" formatCode="0.0">
                  <c:v>1337.58</c:v>
                </c:pt>
                <c:pt idx="273" formatCode="0.0">
                  <c:v>1341.75</c:v>
                </c:pt>
                <c:pt idx="274" formatCode="0.0">
                  <c:v>1345.91</c:v>
                </c:pt>
                <c:pt idx="275" formatCode="0.0">
                  <c:v>1350.08</c:v>
                </c:pt>
                <c:pt idx="276" formatCode="0.0">
                  <c:v>1354.25</c:v>
                </c:pt>
                <c:pt idx="277" formatCode="0.0">
                  <c:v>1358.41</c:v>
                </c:pt>
                <c:pt idx="278" formatCode="0.0">
                  <c:v>1362.58</c:v>
                </c:pt>
                <c:pt idx="279" formatCode="0.0">
                  <c:v>1366.74</c:v>
                </c:pt>
                <c:pt idx="280" formatCode="0.0">
                  <c:v>1370.89</c:v>
                </c:pt>
                <c:pt idx="281" formatCode="0.0">
                  <c:v>1375.04</c:v>
                </c:pt>
                <c:pt idx="282" formatCode="0.0">
                  <c:v>1379.19</c:v>
                </c:pt>
                <c:pt idx="283" formatCode="0.0">
                  <c:v>1383.35</c:v>
                </c:pt>
                <c:pt idx="284" formatCode="0.0">
                  <c:v>1387.5</c:v>
                </c:pt>
                <c:pt idx="285" formatCode="0.0">
                  <c:v>1391.64</c:v>
                </c:pt>
                <c:pt idx="286" formatCode="0.0">
                  <c:v>1395.78</c:v>
                </c:pt>
                <c:pt idx="287" formatCode="0.0">
                  <c:v>1399.91</c:v>
                </c:pt>
                <c:pt idx="288" formatCode="0.0">
                  <c:v>1404.05</c:v>
                </c:pt>
                <c:pt idx="289" formatCode="0.0">
                  <c:v>1408.19</c:v>
                </c:pt>
                <c:pt idx="290" formatCode="0.0">
                  <c:v>1412.32</c:v>
                </c:pt>
                <c:pt idx="291" formatCode="0.0">
                  <c:v>1416.45</c:v>
                </c:pt>
                <c:pt idx="292" formatCode="0.0">
                  <c:v>1420.56</c:v>
                </c:pt>
                <c:pt idx="293" formatCode="0.0">
                  <c:v>1424.63</c:v>
                </c:pt>
                <c:pt idx="294" formatCode="0.0">
                  <c:v>1428.7</c:v>
                </c:pt>
                <c:pt idx="295" formatCode="0.0">
                  <c:v>1432.77</c:v>
                </c:pt>
                <c:pt idx="296" formatCode="0.0">
                  <c:v>1436.84</c:v>
                </c:pt>
                <c:pt idx="297" formatCode="0.0">
                  <c:v>1440.89</c:v>
                </c:pt>
                <c:pt idx="298" formatCode="0.0">
                  <c:v>1444.93</c:v>
                </c:pt>
                <c:pt idx="299" formatCode="0.0">
                  <c:v>1448.97</c:v>
                </c:pt>
                <c:pt idx="300" formatCode="0.0">
                  <c:v>1453.01</c:v>
                </c:pt>
                <c:pt idx="301" formatCode="0.0">
                  <c:v>1457.05</c:v>
                </c:pt>
                <c:pt idx="302" formatCode="0.0">
                  <c:v>1461.09</c:v>
                </c:pt>
                <c:pt idx="303" formatCode="0.0">
                  <c:v>1465.12</c:v>
                </c:pt>
                <c:pt idx="304" formatCode="0.0">
                  <c:v>1469.12</c:v>
                </c:pt>
                <c:pt idx="305" formatCode="0.0">
                  <c:v>1473.13</c:v>
                </c:pt>
                <c:pt idx="306" formatCode="0.0">
                  <c:v>1477.13</c:v>
                </c:pt>
                <c:pt idx="307" formatCode="0.0">
                  <c:v>1481.13</c:v>
                </c:pt>
                <c:pt idx="308" formatCode="0.0">
                  <c:v>1485.14</c:v>
                </c:pt>
                <c:pt idx="309" formatCode="0.0">
                  <c:v>1489.14</c:v>
                </c:pt>
                <c:pt idx="310" formatCode="0.0">
                  <c:v>1493.11</c:v>
                </c:pt>
                <c:pt idx="311" formatCode="0.0">
                  <c:v>1497.07</c:v>
                </c:pt>
                <c:pt idx="312" formatCode="0.0">
                  <c:v>1501.04</c:v>
                </c:pt>
                <c:pt idx="313" formatCode="0.0">
                  <c:v>1505.01</c:v>
                </c:pt>
                <c:pt idx="314" formatCode="0.0">
                  <c:v>1508.98</c:v>
                </c:pt>
                <c:pt idx="315" formatCode="0.0">
                  <c:v>1512.95</c:v>
                </c:pt>
                <c:pt idx="316" formatCode="0.0">
                  <c:v>1516.89</c:v>
                </c:pt>
                <c:pt idx="317" formatCode="0.0">
                  <c:v>1520.8</c:v>
                </c:pt>
                <c:pt idx="318" formatCode="0.0">
                  <c:v>1524.57</c:v>
                </c:pt>
                <c:pt idx="319" formatCode="0.0">
                  <c:v>1528.33</c:v>
                </c:pt>
                <c:pt idx="320" formatCode="0.0">
                  <c:v>1532.09</c:v>
                </c:pt>
                <c:pt idx="321" formatCode="0.0">
                  <c:v>1535.86</c:v>
                </c:pt>
                <c:pt idx="322" formatCode="0.0">
                  <c:v>1539.62</c:v>
                </c:pt>
                <c:pt idx="323" formatCode="0.0">
                  <c:v>1543.37</c:v>
                </c:pt>
                <c:pt idx="324" formatCode="0.0">
                  <c:v>1547.13</c:v>
                </c:pt>
                <c:pt idx="325" formatCode="0.0">
                  <c:v>1550.89</c:v>
                </c:pt>
                <c:pt idx="326" formatCode="0.0">
                  <c:v>1554.64</c:v>
                </c:pt>
                <c:pt idx="327" formatCode="0.0">
                  <c:v>1558.4</c:v>
                </c:pt>
                <c:pt idx="328" formatCode="0.0">
                  <c:v>1562.14</c:v>
                </c:pt>
                <c:pt idx="329" formatCode="0.0">
                  <c:v>1565.88</c:v>
                </c:pt>
                <c:pt idx="330" formatCode="0.0">
                  <c:v>1569.61</c:v>
                </c:pt>
                <c:pt idx="331" formatCode="0.0">
                  <c:v>1573.35</c:v>
                </c:pt>
                <c:pt idx="332" formatCode="0.0">
                  <c:v>1577.08</c:v>
                </c:pt>
                <c:pt idx="333" formatCode="0.0">
                  <c:v>1580.82</c:v>
                </c:pt>
                <c:pt idx="334" formatCode="0.0">
                  <c:v>1584.52</c:v>
                </c:pt>
                <c:pt idx="335" formatCode="0.0">
                  <c:v>1588.21</c:v>
                </c:pt>
                <c:pt idx="336" formatCode="0.0">
                  <c:v>1591.9</c:v>
                </c:pt>
                <c:pt idx="337" formatCode="0.0">
                  <c:v>1595.59</c:v>
                </c:pt>
                <c:pt idx="338" formatCode="0.0">
                  <c:v>1599.29</c:v>
                </c:pt>
                <c:pt idx="339" formatCode="0.0">
                  <c:v>1602.98</c:v>
                </c:pt>
                <c:pt idx="340" formatCode="0.0">
                  <c:v>1606.64</c:v>
                </c:pt>
                <c:pt idx="341" formatCode="0.0">
                  <c:v>1610.28</c:v>
                </c:pt>
                <c:pt idx="342" formatCode="0.0">
                  <c:v>1613.93</c:v>
                </c:pt>
                <c:pt idx="343" formatCode="0.0">
                  <c:v>1617.57</c:v>
                </c:pt>
                <c:pt idx="344" formatCode="0.0">
                  <c:v>1621.14</c:v>
                </c:pt>
                <c:pt idx="345" formatCode="0.0">
                  <c:v>1624.56</c:v>
                </c:pt>
                <c:pt idx="346" formatCode="0.0">
                  <c:v>1627.97</c:v>
                </c:pt>
                <c:pt idx="347" formatCode="0.0">
                  <c:v>1631.38</c:v>
                </c:pt>
                <c:pt idx="348" formatCode="0.0">
                  <c:v>1634.78</c:v>
                </c:pt>
                <c:pt idx="349" formatCode="0.0">
                  <c:v>1638.19</c:v>
                </c:pt>
                <c:pt idx="350" formatCode="0.0">
                  <c:v>1641.59</c:v>
                </c:pt>
                <c:pt idx="351" formatCode="0.0">
                  <c:v>1645</c:v>
                </c:pt>
                <c:pt idx="352" formatCode="0.0">
                  <c:v>1648.41</c:v>
                </c:pt>
                <c:pt idx="353" formatCode="0.0">
                  <c:v>1651.83</c:v>
                </c:pt>
                <c:pt idx="354" formatCode="0.0">
                  <c:v>1655.26</c:v>
                </c:pt>
                <c:pt idx="355" formatCode="0.0">
                  <c:v>1658.69</c:v>
                </c:pt>
                <c:pt idx="356" formatCode="0.0">
                  <c:v>1662.11</c:v>
                </c:pt>
                <c:pt idx="357" formatCode="0.0">
                  <c:v>1665.54</c:v>
                </c:pt>
                <c:pt idx="358" formatCode="0.0">
                  <c:v>1668.97</c:v>
                </c:pt>
                <c:pt idx="359" formatCode="0.0">
                  <c:v>1672.41</c:v>
                </c:pt>
                <c:pt idx="360" formatCode="0.0">
                  <c:v>1675.86</c:v>
                </c:pt>
                <c:pt idx="361" formatCode="0.0">
                  <c:v>1679.3</c:v>
                </c:pt>
                <c:pt idx="362" formatCode="0.0">
                  <c:v>1682.74</c:v>
                </c:pt>
                <c:pt idx="363" formatCode="0.0">
                  <c:v>1686.19</c:v>
                </c:pt>
                <c:pt idx="364" formatCode="0.0">
                  <c:v>1689.63</c:v>
                </c:pt>
                <c:pt idx="365" formatCode="0.0">
                  <c:v>1693.07</c:v>
                </c:pt>
                <c:pt idx="366" formatCode="0.0">
                  <c:v>1696.52</c:v>
                </c:pt>
                <c:pt idx="367" formatCode="0.0">
                  <c:v>1699.96</c:v>
                </c:pt>
                <c:pt idx="368" formatCode="0.0">
                  <c:v>1703.4</c:v>
                </c:pt>
                <c:pt idx="369" formatCode="0.0">
                  <c:v>1706.85</c:v>
                </c:pt>
                <c:pt idx="370" formatCode="0.0">
                  <c:v>1710.29</c:v>
                </c:pt>
                <c:pt idx="371" formatCode="0.0">
                  <c:v>1713.72</c:v>
                </c:pt>
                <c:pt idx="372" formatCode="0.0">
                  <c:v>1717.15</c:v>
                </c:pt>
                <c:pt idx="373" formatCode="0.0">
                  <c:v>1720.48</c:v>
                </c:pt>
                <c:pt idx="374" formatCode="0.0">
                  <c:v>1723.31</c:v>
                </c:pt>
                <c:pt idx="375" formatCode="0.0">
                  <c:v>1726.14</c:v>
                </c:pt>
                <c:pt idx="376" formatCode="0.0">
                  <c:v>1728.98</c:v>
                </c:pt>
                <c:pt idx="377" formatCode="0.0">
                  <c:v>1731.79</c:v>
                </c:pt>
                <c:pt idx="378" formatCode="0.0">
                  <c:v>1734.61</c:v>
                </c:pt>
                <c:pt idx="379" formatCode="0.0">
                  <c:v>1737.43</c:v>
                </c:pt>
                <c:pt idx="380" formatCode="0.0">
                  <c:v>1740.24</c:v>
                </c:pt>
                <c:pt idx="381" formatCode="0.0">
                  <c:v>1743.06</c:v>
                </c:pt>
                <c:pt idx="382" formatCode="0.0">
                  <c:v>1745.88</c:v>
                </c:pt>
                <c:pt idx="383" formatCode="0.0">
                  <c:v>1748.69</c:v>
                </c:pt>
                <c:pt idx="384" formatCode="0.0">
                  <c:v>1751.49</c:v>
                </c:pt>
                <c:pt idx="385" formatCode="0.0">
                  <c:v>1754.3</c:v>
                </c:pt>
                <c:pt idx="386" formatCode="0.0">
                  <c:v>1757.11</c:v>
                </c:pt>
                <c:pt idx="387" formatCode="0.0">
                  <c:v>1759.91</c:v>
                </c:pt>
                <c:pt idx="388" formatCode="0.0">
                  <c:v>1762.72</c:v>
                </c:pt>
                <c:pt idx="389" formatCode="0.0">
                  <c:v>1765.53</c:v>
                </c:pt>
                <c:pt idx="390" formatCode="0.0">
                  <c:v>1768.33</c:v>
                </c:pt>
                <c:pt idx="391" formatCode="0.0">
                  <c:v>1771.14</c:v>
                </c:pt>
                <c:pt idx="392" formatCode="0.0">
                  <c:v>1773.95</c:v>
                </c:pt>
                <c:pt idx="393" formatCode="0.0">
                  <c:v>1776.75</c:v>
                </c:pt>
                <c:pt idx="394" formatCode="0.0">
                  <c:v>1779.56</c:v>
                </c:pt>
                <c:pt idx="395" formatCode="0.0">
                  <c:v>1782.37</c:v>
                </c:pt>
                <c:pt idx="396" formatCode="0.0">
                  <c:v>1785.18</c:v>
                </c:pt>
                <c:pt idx="397" formatCode="0.0">
                  <c:v>1787.99</c:v>
                </c:pt>
                <c:pt idx="398" formatCode="0.0">
                  <c:v>1790.8</c:v>
                </c:pt>
                <c:pt idx="399" formatCode="0.0">
                  <c:v>1793.61</c:v>
                </c:pt>
                <c:pt idx="400" formatCode="0.0">
                  <c:v>1796.42</c:v>
                </c:pt>
                <c:pt idx="401" formatCode="0.0">
                  <c:v>1799.23</c:v>
                </c:pt>
                <c:pt idx="402" formatCode="0.0">
                  <c:v>1802.04</c:v>
                </c:pt>
                <c:pt idx="403" formatCode="0.0">
                  <c:v>1804.85</c:v>
                </c:pt>
                <c:pt idx="404" formatCode="0.0">
                  <c:v>1807.66</c:v>
                </c:pt>
                <c:pt idx="405" formatCode="0.0">
                  <c:v>1810.48</c:v>
                </c:pt>
                <c:pt idx="406" formatCode="0.0">
                  <c:v>1813.29</c:v>
                </c:pt>
                <c:pt idx="407" formatCode="0.0">
                  <c:v>1816.1</c:v>
                </c:pt>
                <c:pt idx="408" formatCode="0.0">
                  <c:v>1818.92</c:v>
                </c:pt>
                <c:pt idx="409" formatCode="0.0">
                  <c:v>1821.94</c:v>
                </c:pt>
                <c:pt idx="410" formatCode="0.0">
                  <c:v>1825.08</c:v>
                </c:pt>
                <c:pt idx="411" formatCode="0.0">
                  <c:v>1828.23</c:v>
                </c:pt>
                <c:pt idx="412" formatCode="0.0">
                  <c:v>1831.37</c:v>
                </c:pt>
                <c:pt idx="413" formatCode="0.0">
                  <c:v>1834.51</c:v>
                </c:pt>
                <c:pt idx="414" formatCode="0.0">
                  <c:v>1837.66</c:v>
                </c:pt>
                <c:pt idx="415" formatCode="0.0">
                  <c:v>1840.8</c:v>
                </c:pt>
                <c:pt idx="416" formatCode="0.0">
                  <c:v>1843.94</c:v>
                </c:pt>
                <c:pt idx="417" formatCode="0.0">
                  <c:v>1847.08</c:v>
                </c:pt>
                <c:pt idx="418" formatCode="0.0">
                  <c:v>1850.22</c:v>
                </c:pt>
                <c:pt idx="419" formatCode="0.0">
                  <c:v>1853.36</c:v>
                </c:pt>
                <c:pt idx="420" formatCode="0.0">
                  <c:v>1856.49</c:v>
                </c:pt>
                <c:pt idx="421" formatCode="0.0">
                  <c:v>1859.63</c:v>
                </c:pt>
                <c:pt idx="422" formatCode="0.0">
                  <c:v>1862.76</c:v>
                </c:pt>
                <c:pt idx="423" formatCode="0.0">
                  <c:v>1865.89</c:v>
                </c:pt>
                <c:pt idx="424" formatCode="0.0">
                  <c:v>1869.02</c:v>
                </c:pt>
                <c:pt idx="425" formatCode="0.0">
                  <c:v>1872.16</c:v>
                </c:pt>
                <c:pt idx="426" formatCode="0.0">
                  <c:v>1875.3</c:v>
                </c:pt>
                <c:pt idx="427" formatCode="0.0">
                  <c:v>1878.45</c:v>
                </c:pt>
                <c:pt idx="428" formatCode="0.0">
                  <c:v>1881.59</c:v>
                </c:pt>
                <c:pt idx="429" formatCode="0.0">
                  <c:v>1884.74</c:v>
                </c:pt>
                <c:pt idx="430" formatCode="0.0">
                  <c:v>1887.88</c:v>
                </c:pt>
                <c:pt idx="431" formatCode="0.0">
                  <c:v>1891.03</c:v>
                </c:pt>
                <c:pt idx="432" formatCode="0.0">
                  <c:v>1894.2</c:v>
                </c:pt>
                <c:pt idx="433" formatCode="0.0">
                  <c:v>1897.36</c:v>
                </c:pt>
                <c:pt idx="434" formatCode="0.0">
                  <c:v>1900.53</c:v>
                </c:pt>
                <c:pt idx="435" formatCode="0.0">
                  <c:v>1903.7</c:v>
                </c:pt>
                <c:pt idx="436" formatCode="0.0">
                  <c:v>1906.86</c:v>
                </c:pt>
                <c:pt idx="437" formatCode="0.0">
                  <c:v>1910.03</c:v>
                </c:pt>
                <c:pt idx="438" formatCode="0.0">
                  <c:v>1913.2</c:v>
                </c:pt>
                <c:pt idx="439" formatCode="0.0">
                  <c:v>1916.37</c:v>
                </c:pt>
                <c:pt idx="440" formatCode="0.0">
                  <c:v>1919.54</c:v>
                </c:pt>
                <c:pt idx="441" formatCode="0.0">
                  <c:v>1922.88</c:v>
                </c:pt>
                <c:pt idx="442" formatCode="0.0">
                  <c:v>1926.25</c:v>
                </c:pt>
                <c:pt idx="443" formatCode="0.0">
                  <c:v>1929.62</c:v>
                </c:pt>
                <c:pt idx="444" formatCode="0.0">
                  <c:v>1932.99</c:v>
                </c:pt>
                <c:pt idx="445" formatCode="0.0">
                  <c:v>1936.37</c:v>
                </c:pt>
                <c:pt idx="446" formatCode="0.0">
                  <c:v>1939.74</c:v>
                </c:pt>
                <c:pt idx="447" formatCode="0.0">
                  <c:v>1943.11</c:v>
                </c:pt>
                <c:pt idx="448" formatCode="0.0">
                  <c:v>1946.49</c:v>
                </c:pt>
                <c:pt idx="449" formatCode="0.0">
                  <c:v>1949.86</c:v>
                </c:pt>
                <c:pt idx="450" formatCode="0.0">
                  <c:v>1953.24</c:v>
                </c:pt>
                <c:pt idx="451" formatCode="0.0">
                  <c:v>1956.61</c:v>
                </c:pt>
                <c:pt idx="452" formatCode="0.0">
                  <c:v>1959.99</c:v>
                </c:pt>
                <c:pt idx="453" formatCode="0.0">
                  <c:v>1963.36</c:v>
                </c:pt>
                <c:pt idx="454" formatCode="0.0">
                  <c:v>1966.74</c:v>
                </c:pt>
                <c:pt idx="455" formatCode="0.0">
                  <c:v>1970.12</c:v>
                </c:pt>
                <c:pt idx="456" formatCode="0.0">
                  <c:v>1973.48</c:v>
                </c:pt>
                <c:pt idx="457" formatCode="0.0">
                  <c:v>1976.85</c:v>
                </c:pt>
                <c:pt idx="458" formatCode="0.0">
                  <c:v>1980.21</c:v>
                </c:pt>
                <c:pt idx="459" formatCode="0.0">
                  <c:v>1983.58</c:v>
                </c:pt>
                <c:pt idx="460" formatCode="0.0">
                  <c:v>1986.94</c:v>
                </c:pt>
                <c:pt idx="461" formatCode="0.0">
                  <c:v>1990.31</c:v>
                </c:pt>
                <c:pt idx="462" formatCode="0.0">
                  <c:v>1993.67</c:v>
                </c:pt>
                <c:pt idx="463" formatCode="0.0">
                  <c:v>1997.02</c:v>
                </c:pt>
                <c:pt idx="464" formatCode="0.0">
                  <c:v>2000.38</c:v>
                </c:pt>
                <c:pt idx="465" formatCode="0.0">
                  <c:v>2003.73</c:v>
                </c:pt>
                <c:pt idx="466" formatCode="0.0">
                  <c:v>2007.09</c:v>
                </c:pt>
                <c:pt idx="467" formatCode="0.0">
                  <c:v>2010.45</c:v>
                </c:pt>
                <c:pt idx="468" formatCode="0.0">
                  <c:v>2013.8</c:v>
                </c:pt>
                <c:pt idx="469" formatCode="0.0">
                  <c:v>2017.16</c:v>
                </c:pt>
                <c:pt idx="470" formatCode="0.0">
                  <c:v>2020.48</c:v>
                </c:pt>
                <c:pt idx="471" formatCode="0.0">
                  <c:v>2023.65</c:v>
                </c:pt>
                <c:pt idx="472" formatCode="0.0">
                  <c:v>2026.81</c:v>
                </c:pt>
                <c:pt idx="473" formatCode="0.0">
                  <c:v>2029.97</c:v>
                </c:pt>
                <c:pt idx="474" formatCode="0.0">
                  <c:v>2033.13</c:v>
                </c:pt>
                <c:pt idx="475" formatCode="0.0">
                  <c:v>2036.29</c:v>
                </c:pt>
                <c:pt idx="476" formatCode="0.0">
                  <c:v>2039.45</c:v>
                </c:pt>
                <c:pt idx="477" formatCode="0.0">
                  <c:v>2042.61</c:v>
                </c:pt>
                <c:pt idx="478" formatCode="0.0">
                  <c:v>2045.77</c:v>
                </c:pt>
                <c:pt idx="479" formatCode="0.0">
                  <c:v>2048.9299999999998</c:v>
                </c:pt>
                <c:pt idx="480" formatCode="0.0">
                  <c:v>2052.09</c:v>
                </c:pt>
                <c:pt idx="481" formatCode="0.0">
                  <c:v>2055.25</c:v>
                </c:pt>
                <c:pt idx="482" formatCode="0.0">
                  <c:v>2058.41</c:v>
                </c:pt>
                <c:pt idx="483" formatCode="0.0">
                  <c:v>2061.5700000000002</c:v>
                </c:pt>
                <c:pt idx="484" formatCode="0.0">
                  <c:v>2064.73</c:v>
                </c:pt>
                <c:pt idx="485" formatCode="0.0">
                  <c:v>2067.88</c:v>
                </c:pt>
                <c:pt idx="486" formatCode="0.0">
                  <c:v>2071.04</c:v>
                </c:pt>
                <c:pt idx="487" formatCode="0.0">
                  <c:v>2074.1999999999998</c:v>
                </c:pt>
                <c:pt idx="488" formatCode="0.0">
                  <c:v>2077.36</c:v>
                </c:pt>
                <c:pt idx="489" formatCode="0.0">
                  <c:v>2080.52</c:v>
                </c:pt>
                <c:pt idx="490" formatCode="0.0">
                  <c:v>2083.6799999999998</c:v>
                </c:pt>
                <c:pt idx="491" formatCode="0.0">
                  <c:v>2086.83</c:v>
                </c:pt>
                <c:pt idx="492" formatCode="0.0">
                  <c:v>2089.9899999999998</c:v>
                </c:pt>
                <c:pt idx="493" formatCode="0.0">
                  <c:v>2093.14</c:v>
                </c:pt>
                <c:pt idx="494" formatCode="0.0">
                  <c:v>2096.3000000000002</c:v>
                </c:pt>
                <c:pt idx="495" formatCode="0.0">
                  <c:v>2099.4499999999998</c:v>
                </c:pt>
                <c:pt idx="496" formatCode="0.0">
                  <c:v>2102.6</c:v>
                </c:pt>
                <c:pt idx="497" formatCode="0.0">
                  <c:v>2105.7600000000002</c:v>
                </c:pt>
                <c:pt idx="498" formatCode="0.0">
                  <c:v>2108.91</c:v>
                </c:pt>
                <c:pt idx="499" formatCode="0.0">
                  <c:v>2112.0500000000002</c:v>
                </c:pt>
                <c:pt idx="500" formatCode="0.0">
                  <c:v>2115.19</c:v>
                </c:pt>
                <c:pt idx="501" formatCode="0.0">
                  <c:v>2118.33</c:v>
                </c:pt>
                <c:pt idx="502" formatCode="0.0">
                  <c:v>2121.5</c:v>
                </c:pt>
                <c:pt idx="503" formatCode="0.0">
                  <c:v>2124.6999999999998</c:v>
                </c:pt>
                <c:pt idx="504" formatCode="0.0">
                  <c:v>2127.9</c:v>
                </c:pt>
                <c:pt idx="505" formatCode="0.0">
                  <c:v>2131.1</c:v>
                </c:pt>
                <c:pt idx="506" formatCode="0.0">
                  <c:v>2134.3000000000002</c:v>
                </c:pt>
                <c:pt idx="507" formatCode="0.0">
                  <c:v>2137.5</c:v>
                </c:pt>
                <c:pt idx="508" formatCode="0.0">
                  <c:v>2140.6999999999998</c:v>
                </c:pt>
                <c:pt idx="509" formatCode="0.0">
                  <c:v>2143.89</c:v>
                </c:pt>
                <c:pt idx="510" formatCode="0.0">
                  <c:v>2147.09</c:v>
                </c:pt>
                <c:pt idx="511" formatCode="0.0">
                  <c:v>2150.29</c:v>
                </c:pt>
                <c:pt idx="512" formatCode="0.0">
                  <c:v>2153.48</c:v>
                </c:pt>
                <c:pt idx="513" formatCode="0.0">
                  <c:v>2156.67</c:v>
                </c:pt>
                <c:pt idx="514" formatCode="0.0">
                  <c:v>2159.86</c:v>
                </c:pt>
                <c:pt idx="515" formatCode="0.0">
                  <c:v>2163.0500000000002</c:v>
                </c:pt>
                <c:pt idx="516" formatCode="0.0">
                  <c:v>2166.25</c:v>
                </c:pt>
                <c:pt idx="517" formatCode="0.0">
                  <c:v>2169.4299999999998</c:v>
                </c:pt>
                <c:pt idx="518" formatCode="0.0">
                  <c:v>2172.62</c:v>
                </c:pt>
                <c:pt idx="519" formatCode="0.0">
                  <c:v>2175.8000000000002</c:v>
                </c:pt>
                <c:pt idx="520" formatCode="0.0">
                  <c:v>2178.98</c:v>
                </c:pt>
                <c:pt idx="521" formatCode="0.0">
                  <c:v>2182.17</c:v>
                </c:pt>
                <c:pt idx="522" formatCode="0.0">
                  <c:v>2185.35</c:v>
                </c:pt>
                <c:pt idx="523" formatCode="0.0">
                  <c:v>2188.5300000000002</c:v>
                </c:pt>
                <c:pt idx="524" formatCode="0.0">
                  <c:v>2191.71</c:v>
                </c:pt>
                <c:pt idx="525" formatCode="0.0">
                  <c:v>2194.88</c:v>
                </c:pt>
                <c:pt idx="526" formatCode="0.0">
                  <c:v>2198.06</c:v>
                </c:pt>
                <c:pt idx="527" formatCode="0.0">
                  <c:v>2201.2399999999998</c:v>
                </c:pt>
                <c:pt idx="528" formatCode="0.0">
                  <c:v>2204.42</c:v>
                </c:pt>
                <c:pt idx="529" formatCode="0.0">
                  <c:v>2207.59</c:v>
                </c:pt>
                <c:pt idx="530" formatCode="0.0">
                  <c:v>2210.77</c:v>
                </c:pt>
                <c:pt idx="531" formatCode="0.0">
                  <c:v>2213.94</c:v>
                </c:pt>
                <c:pt idx="532" formatCode="0.0">
                  <c:v>2217.12</c:v>
                </c:pt>
                <c:pt idx="533" formatCode="0.0">
                  <c:v>2220.2800000000002</c:v>
                </c:pt>
                <c:pt idx="534" formatCode="0.0">
                  <c:v>2223.39</c:v>
                </c:pt>
                <c:pt idx="535" formatCode="0.0">
                  <c:v>2226.5</c:v>
                </c:pt>
                <c:pt idx="536" formatCode="0.0">
                  <c:v>2229.62</c:v>
                </c:pt>
                <c:pt idx="537" formatCode="0.0">
                  <c:v>2232.73</c:v>
                </c:pt>
                <c:pt idx="538" formatCode="0.0">
                  <c:v>2235.85</c:v>
                </c:pt>
                <c:pt idx="539" formatCode="0.0">
                  <c:v>2238.96</c:v>
                </c:pt>
                <c:pt idx="540" formatCode="0.0">
                  <c:v>2242.08</c:v>
                </c:pt>
                <c:pt idx="541" formatCode="0.0">
                  <c:v>2245.19</c:v>
                </c:pt>
                <c:pt idx="542" formatCode="0.0">
                  <c:v>2248.31</c:v>
                </c:pt>
                <c:pt idx="543" formatCode="0.0">
                  <c:v>2251.42</c:v>
                </c:pt>
                <c:pt idx="544" formatCode="0.0">
                  <c:v>2254.54</c:v>
                </c:pt>
                <c:pt idx="545" formatCode="0.0">
                  <c:v>2257.65</c:v>
                </c:pt>
                <c:pt idx="546" formatCode="0.0">
                  <c:v>2260.77</c:v>
                </c:pt>
                <c:pt idx="547" formatCode="0.0">
                  <c:v>2263.88</c:v>
                </c:pt>
                <c:pt idx="548" formatCode="0.0">
                  <c:v>2266.9899999999998</c:v>
                </c:pt>
                <c:pt idx="549" formatCode="0.0">
                  <c:v>2270.09</c:v>
                </c:pt>
                <c:pt idx="550" formatCode="0.0">
                  <c:v>2273.1999999999998</c:v>
                </c:pt>
                <c:pt idx="551" formatCode="0.0">
                  <c:v>2276.31</c:v>
                </c:pt>
                <c:pt idx="552" formatCode="0.0">
                  <c:v>2279.42</c:v>
                </c:pt>
                <c:pt idx="553" formatCode="0.0">
                  <c:v>2282.5300000000002</c:v>
                </c:pt>
                <c:pt idx="554" formatCode="0.0">
                  <c:v>2285.63</c:v>
                </c:pt>
                <c:pt idx="555" formatCode="0.0">
                  <c:v>2289.62</c:v>
                </c:pt>
                <c:pt idx="556" formatCode="0.0">
                  <c:v>2293.63</c:v>
                </c:pt>
                <c:pt idx="557" formatCode="0.0">
                  <c:v>2297.64</c:v>
                </c:pt>
                <c:pt idx="558" formatCode="0.0">
                  <c:v>2301.65</c:v>
                </c:pt>
                <c:pt idx="559" formatCode="0.0">
                  <c:v>2305.66</c:v>
                </c:pt>
                <c:pt idx="560" formatCode="0.0">
                  <c:v>2309.66</c:v>
                </c:pt>
                <c:pt idx="561" formatCode="0.0">
                  <c:v>2313.66</c:v>
                </c:pt>
                <c:pt idx="562" formatCode="0.0">
                  <c:v>2317.66</c:v>
                </c:pt>
                <c:pt idx="563" formatCode="0.0">
                  <c:v>2321.66</c:v>
                </c:pt>
                <c:pt idx="564" formatCode="0.0">
                  <c:v>2325.66</c:v>
                </c:pt>
                <c:pt idx="565" formatCode="0.0">
                  <c:v>2329.66</c:v>
                </c:pt>
                <c:pt idx="566" formatCode="0.0">
                  <c:v>2333.5100000000002</c:v>
                </c:pt>
                <c:pt idx="567" formatCode="0.0">
                  <c:v>2337.35</c:v>
                </c:pt>
                <c:pt idx="568" formatCode="0.0">
                  <c:v>2341.1799999999998</c:v>
                </c:pt>
                <c:pt idx="569" formatCode="0.0">
                  <c:v>2345.02</c:v>
                </c:pt>
                <c:pt idx="570" formatCode="0.0">
                  <c:v>2348.85</c:v>
                </c:pt>
                <c:pt idx="571" formatCode="0.0">
                  <c:v>2352.36</c:v>
                </c:pt>
                <c:pt idx="572" formatCode="0.0">
                  <c:v>2355.33</c:v>
                </c:pt>
                <c:pt idx="573" formatCode="0.0">
                  <c:v>2358.31</c:v>
                </c:pt>
                <c:pt idx="574" formatCode="0.0">
                  <c:v>2361.2800000000002</c:v>
                </c:pt>
                <c:pt idx="575" formatCode="0.0">
                  <c:v>2364.2600000000002</c:v>
                </c:pt>
                <c:pt idx="576" formatCode="0.0">
                  <c:v>2367.23</c:v>
                </c:pt>
                <c:pt idx="577" formatCode="0.0">
                  <c:v>2370.1999999999998</c:v>
                </c:pt>
                <c:pt idx="578" formatCode="0.0">
                  <c:v>2373.1799999999998</c:v>
                </c:pt>
                <c:pt idx="579" formatCode="0.0">
                  <c:v>2376.17</c:v>
                </c:pt>
                <c:pt idx="580" formatCode="0.0">
                  <c:v>2379.15</c:v>
                </c:pt>
                <c:pt idx="581" formatCode="0.0">
                  <c:v>2382.13</c:v>
                </c:pt>
                <c:pt idx="582" formatCode="0.0">
                  <c:v>2385.11</c:v>
                </c:pt>
                <c:pt idx="583" formatCode="0.0">
                  <c:v>2388.09</c:v>
                </c:pt>
                <c:pt idx="584" formatCode="0.0">
                  <c:v>2391.08</c:v>
                </c:pt>
                <c:pt idx="585" formatCode="0.0">
                  <c:v>2394.0700000000002</c:v>
                </c:pt>
                <c:pt idx="586" formatCode="0.0">
                  <c:v>2397.06</c:v>
                </c:pt>
                <c:pt idx="587" formatCode="0.0">
                  <c:v>2400.04</c:v>
                </c:pt>
                <c:pt idx="588" formatCode="0.0">
                  <c:v>2403.0300000000002</c:v>
                </c:pt>
                <c:pt idx="589" formatCode="0.0">
                  <c:v>2406.02</c:v>
                </c:pt>
                <c:pt idx="590" formatCode="0.0">
                  <c:v>2409.0100000000002</c:v>
                </c:pt>
                <c:pt idx="591" formatCode="0.0">
                  <c:v>2412</c:v>
                </c:pt>
                <c:pt idx="592" formatCode="0.0">
                  <c:v>2415</c:v>
                </c:pt>
                <c:pt idx="593" formatCode="0.0">
                  <c:v>2417.9899999999998</c:v>
                </c:pt>
                <c:pt idx="594" formatCode="0.0">
                  <c:v>2420.98</c:v>
                </c:pt>
                <c:pt idx="595" formatCode="0.0">
                  <c:v>2423.98</c:v>
                </c:pt>
                <c:pt idx="596" formatCode="0.0">
                  <c:v>2426.9699999999998</c:v>
                </c:pt>
                <c:pt idx="597" formatCode="0.0">
                  <c:v>2429.9699999999998</c:v>
                </c:pt>
                <c:pt idx="598" formatCode="0.0">
                  <c:v>2432.9699999999998</c:v>
                </c:pt>
                <c:pt idx="599" formatCode="0.0">
                  <c:v>2435.94</c:v>
                </c:pt>
                <c:pt idx="600" formatCode="0.0">
                  <c:v>2438.86</c:v>
                </c:pt>
                <c:pt idx="601" formatCode="0.0">
                  <c:v>2441.77</c:v>
                </c:pt>
                <c:pt idx="602" formatCode="0.0">
                  <c:v>2444.6999999999998</c:v>
                </c:pt>
                <c:pt idx="603" formatCode="0.0">
                  <c:v>2447.62</c:v>
                </c:pt>
                <c:pt idx="604" formatCode="0.0">
                  <c:v>2450.54</c:v>
                </c:pt>
                <c:pt idx="605" formatCode="0.0">
                  <c:v>2453.46</c:v>
                </c:pt>
                <c:pt idx="606" formatCode="0.0">
                  <c:v>2456.39</c:v>
                </c:pt>
                <c:pt idx="607" formatCode="0.0">
                  <c:v>2459.31</c:v>
                </c:pt>
                <c:pt idx="608" formatCode="0.0">
                  <c:v>2462.25</c:v>
                </c:pt>
                <c:pt idx="609" formatCode="0.0">
                  <c:v>2465.23</c:v>
                </c:pt>
                <c:pt idx="610" formatCode="0.0">
                  <c:v>2468.1999999999998</c:v>
                </c:pt>
                <c:pt idx="611" formatCode="0.0">
                  <c:v>2471.1799999999998</c:v>
                </c:pt>
                <c:pt idx="612" formatCode="0.0">
                  <c:v>2474.15</c:v>
                </c:pt>
                <c:pt idx="613" formatCode="0.0">
                  <c:v>2477.13</c:v>
                </c:pt>
                <c:pt idx="614" formatCode="0.0">
                  <c:v>2480.1</c:v>
                </c:pt>
                <c:pt idx="615" formatCode="0.0">
                  <c:v>2483.08</c:v>
                </c:pt>
                <c:pt idx="616" formatCode="0.0">
                  <c:v>2486.0500000000002</c:v>
                </c:pt>
                <c:pt idx="617" formatCode="0.0">
                  <c:v>2489.0300000000002</c:v>
                </c:pt>
                <c:pt idx="618" formatCode="0.0">
                  <c:v>2492</c:v>
                </c:pt>
                <c:pt idx="619" formatCode="0.0">
                  <c:v>2494.98</c:v>
                </c:pt>
                <c:pt idx="620" formatCode="0.0">
                  <c:v>2497.94</c:v>
                </c:pt>
                <c:pt idx="621" formatCode="0.0">
                  <c:v>2500.87</c:v>
                </c:pt>
                <c:pt idx="622" formatCode="0.0">
                  <c:v>2503.8000000000002</c:v>
                </c:pt>
                <c:pt idx="623" formatCode="0.0">
                  <c:v>2506.73</c:v>
                </c:pt>
                <c:pt idx="624" formatCode="0.0">
                  <c:v>2509.66</c:v>
                </c:pt>
                <c:pt idx="625" formatCode="0.0">
                  <c:v>2512.59</c:v>
                </c:pt>
                <c:pt idx="626" formatCode="0.0">
                  <c:v>2515.52</c:v>
                </c:pt>
                <c:pt idx="627" formatCode="0.0">
                  <c:v>2518.4499999999998</c:v>
                </c:pt>
                <c:pt idx="628" formatCode="0.0">
                  <c:v>2521.39</c:v>
                </c:pt>
                <c:pt idx="629" formatCode="0.0">
                  <c:v>2524.33</c:v>
                </c:pt>
                <c:pt idx="630" formatCode="0.0">
                  <c:v>2527.2600000000002</c:v>
                </c:pt>
                <c:pt idx="631" formatCode="0.0">
                  <c:v>2530.1999999999998</c:v>
                </c:pt>
                <c:pt idx="632" formatCode="0.0">
                  <c:v>2533.13</c:v>
                </c:pt>
                <c:pt idx="633" formatCode="0.0">
                  <c:v>2536.08</c:v>
                </c:pt>
                <c:pt idx="634" formatCode="0.0">
                  <c:v>2539.02</c:v>
                </c:pt>
                <c:pt idx="635" formatCode="0.0">
                  <c:v>2541.9499999999998</c:v>
                </c:pt>
                <c:pt idx="636" formatCode="0.0">
                  <c:v>2544.88</c:v>
                </c:pt>
                <c:pt idx="637" formatCode="0.0">
                  <c:v>2547.8200000000002</c:v>
                </c:pt>
                <c:pt idx="638" formatCode="0.0">
                  <c:v>2550.75</c:v>
                </c:pt>
                <c:pt idx="639" formatCode="0.0">
                  <c:v>2553.6999999999998</c:v>
                </c:pt>
                <c:pt idx="640" formatCode="0.0">
                  <c:v>2556.65</c:v>
                </c:pt>
                <c:pt idx="641" formatCode="0.0">
                  <c:v>2559.59</c:v>
                </c:pt>
                <c:pt idx="642" formatCode="0.0">
                  <c:v>2562.54</c:v>
                </c:pt>
                <c:pt idx="643" formatCode="0.0">
                  <c:v>2565.4899999999998</c:v>
                </c:pt>
                <c:pt idx="644" formatCode="0.0">
                  <c:v>2568.44</c:v>
                </c:pt>
                <c:pt idx="645" formatCode="0.0">
                  <c:v>2571.39</c:v>
                </c:pt>
                <c:pt idx="646" formatCode="0.0">
                  <c:v>2574.34</c:v>
                </c:pt>
                <c:pt idx="647" formatCode="0.0">
                  <c:v>2577.3000000000002</c:v>
                </c:pt>
                <c:pt idx="648" formatCode="0.0">
                  <c:v>2580.25</c:v>
                </c:pt>
                <c:pt idx="649" formatCode="0.0">
                  <c:v>2583.1999999999998</c:v>
                </c:pt>
                <c:pt idx="650" formatCode="0.0">
                  <c:v>2586.16</c:v>
                </c:pt>
                <c:pt idx="651" formatCode="0.0">
                  <c:v>2589.12</c:v>
                </c:pt>
                <c:pt idx="652" formatCode="0.0">
                  <c:v>2592.09</c:v>
                </c:pt>
                <c:pt idx="653" formatCode="0.0">
                  <c:v>2595.0500000000002</c:v>
                </c:pt>
                <c:pt idx="654" formatCode="0.0">
                  <c:v>2598.02</c:v>
                </c:pt>
                <c:pt idx="655" formatCode="0.0">
                  <c:v>2600.9899999999998</c:v>
                </c:pt>
                <c:pt idx="656" formatCode="0.0">
                  <c:v>2603.9499999999998</c:v>
                </c:pt>
                <c:pt idx="657" formatCode="0.0">
                  <c:v>2606.9299999999998</c:v>
                </c:pt>
                <c:pt idx="658" formatCode="0.0">
                  <c:v>2609.91</c:v>
                </c:pt>
                <c:pt idx="659" formatCode="0.0">
                  <c:v>2612.89</c:v>
                </c:pt>
                <c:pt idx="660" formatCode="0.0">
                  <c:v>2615.87</c:v>
                </c:pt>
                <c:pt idx="661" formatCode="0.0">
                  <c:v>2618.85</c:v>
                </c:pt>
                <c:pt idx="662" formatCode="0.0">
                  <c:v>2621.83</c:v>
                </c:pt>
                <c:pt idx="663" formatCode="0.0">
                  <c:v>2624.82</c:v>
                </c:pt>
                <c:pt idx="664" formatCode="0.0">
                  <c:v>2627.82</c:v>
                </c:pt>
                <c:pt idx="665" formatCode="0.0">
                  <c:v>2630.81</c:v>
                </c:pt>
                <c:pt idx="666" formatCode="0.0">
                  <c:v>2633.81</c:v>
                </c:pt>
                <c:pt idx="667" formatCode="0.0">
                  <c:v>2636.81</c:v>
                </c:pt>
                <c:pt idx="668" formatCode="0.0">
                  <c:v>2639.82</c:v>
                </c:pt>
                <c:pt idx="669" formatCode="0.0">
                  <c:v>2642.83</c:v>
                </c:pt>
                <c:pt idx="670" formatCode="0.0">
                  <c:v>2645.84</c:v>
                </c:pt>
                <c:pt idx="671" formatCode="0.0">
                  <c:v>2648.85</c:v>
                </c:pt>
                <c:pt idx="672" formatCode="0.0">
                  <c:v>2651.86</c:v>
                </c:pt>
                <c:pt idx="673" formatCode="0.0">
                  <c:v>2654.87</c:v>
                </c:pt>
                <c:pt idx="674" formatCode="0.0">
                  <c:v>2657.87</c:v>
                </c:pt>
                <c:pt idx="675" formatCode="0.0">
                  <c:v>2660.89</c:v>
                </c:pt>
                <c:pt idx="676" formatCode="0.0">
                  <c:v>2663.92</c:v>
                </c:pt>
                <c:pt idx="677" formatCode="0.0">
                  <c:v>2666.95</c:v>
                </c:pt>
                <c:pt idx="678" formatCode="0.0">
                  <c:v>2669.98</c:v>
                </c:pt>
                <c:pt idx="679" formatCode="0.0">
                  <c:v>2673.01</c:v>
                </c:pt>
                <c:pt idx="680" formatCode="0.0">
                  <c:v>2676.04</c:v>
                </c:pt>
                <c:pt idx="681" formatCode="0.0">
                  <c:v>2679.08</c:v>
                </c:pt>
                <c:pt idx="682" formatCode="0.0">
                  <c:v>2682.12</c:v>
                </c:pt>
                <c:pt idx="683" formatCode="0.0">
                  <c:v>2685.17</c:v>
                </c:pt>
                <c:pt idx="684" formatCode="0.0">
                  <c:v>2688.21</c:v>
                </c:pt>
                <c:pt idx="685" formatCode="0.0">
                  <c:v>2691.26</c:v>
                </c:pt>
                <c:pt idx="686" formatCode="0.0">
                  <c:v>2694.31</c:v>
                </c:pt>
                <c:pt idx="687" formatCode="0.0">
                  <c:v>2697.35</c:v>
                </c:pt>
                <c:pt idx="688" formatCode="0.0">
                  <c:v>2700.4</c:v>
                </c:pt>
                <c:pt idx="689" formatCode="0.0">
                  <c:v>2703.44</c:v>
                </c:pt>
                <c:pt idx="690" formatCode="0.0">
                  <c:v>2706.49</c:v>
                </c:pt>
                <c:pt idx="691" formatCode="0.0">
                  <c:v>2709.53</c:v>
                </c:pt>
                <c:pt idx="692" formatCode="0.0">
                  <c:v>2712.58</c:v>
                </c:pt>
                <c:pt idx="693" formatCode="0.0">
                  <c:v>2715.63</c:v>
                </c:pt>
                <c:pt idx="694" formatCode="0.0">
                  <c:v>2718.68</c:v>
                </c:pt>
                <c:pt idx="695" formatCode="0.0">
                  <c:v>2721.73</c:v>
                </c:pt>
                <c:pt idx="696" formatCode="0.0">
                  <c:v>2724.79</c:v>
                </c:pt>
                <c:pt idx="697" formatCode="0.0">
                  <c:v>2727.84</c:v>
                </c:pt>
                <c:pt idx="698" formatCode="0.0">
                  <c:v>2730.9</c:v>
                </c:pt>
                <c:pt idx="699" formatCode="0.0">
                  <c:v>2733.95</c:v>
                </c:pt>
                <c:pt idx="700" formatCode="0.0">
                  <c:v>2736.9</c:v>
                </c:pt>
                <c:pt idx="701" formatCode="0.0">
                  <c:v>2739.8</c:v>
                </c:pt>
                <c:pt idx="702" formatCode="0.0">
                  <c:v>2742.71</c:v>
                </c:pt>
                <c:pt idx="703" formatCode="0.0">
                  <c:v>2745.61</c:v>
                </c:pt>
                <c:pt idx="704" formatCode="0.0">
                  <c:v>2748.51</c:v>
                </c:pt>
                <c:pt idx="705" formatCode="0.0">
                  <c:v>2751.42</c:v>
                </c:pt>
                <c:pt idx="706" formatCode="0.0">
                  <c:v>2754.33</c:v>
                </c:pt>
                <c:pt idx="707" formatCode="0.0">
                  <c:v>2757.24</c:v>
                </c:pt>
                <c:pt idx="708" formatCode="0.0">
                  <c:v>2760.16</c:v>
                </c:pt>
                <c:pt idx="709" formatCode="0.0">
                  <c:v>2763.07</c:v>
                </c:pt>
                <c:pt idx="710" formatCode="0.0">
                  <c:v>2765.99</c:v>
                </c:pt>
                <c:pt idx="711" formatCode="0.0">
                  <c:v>2768.9</c:v>
                </c:pt>
                <c:pt idx="712" formatCode="0.0">
                  <c:v>2771.82</c:v>
                </c:pt>
                <c:pt idx="713" formatCode="0.0">
                  <c:v>2774.73</c:v>
                </c:pt>
                <c:pt idx="714" formatCode="0.0">
                  <c:v>2777.65</c:v>
                </c:pt>
                <c:pt idx="715" formatCode="0.0">
                  <c:v>2780.56</c:v>
                </c:pt>
                <c:pt idx="716" formatCode="0.0">
                  <c:v>2783.47</c:v>
                </c:pt>
                <c:pt idx="717" formatCode="0.0">
                  <c:v>2786.39</c:v>
                </c:pt>
                <c:pt idx="718" formatCode="0.0">
                  <c:v>2789.31</c:v>
                </c:pt>
                <c:pt idx="719" formatCode="0.0">
                  <c:v>2792.24</c:v>
                </c:pt>
                <c:pt idx="720" formatCode="0.0">
                  <c:v>2795.16</c:v>
                </c:pt>
                <c:pt idx="721" formatCode="0.0">
                  <c:v>2798.09</c:v>
                </c:pt>
                <c:pt idx="722" formatCode="0.0">
                  <c:v>2801.02</c:v>
                </c:pt>
                <c:pt idx="723" formatCode="0.0">
                  <c:v>2803.94</c:v>
                </c:pt>
                <c:pt idx="724" formatCode="0.0">
                  <c:v>2806.87</c:v>
                </c:pt>
                <c:pt idx="725" formatCode="0.0">
                  <c:v>2809.8</c:v>
                </c:pt>
                <c:pt idx="726" formatCode="0.0">
                  <c:v>2812.72</c:v>
                </c:pt>
                <c:pt idx="727" formatCode="0.0">
                  <c:v>2815.65</c:v>
                </c:pt>
                <c:pt idx="728" formatCode="0.0">
                  <c:v>2818.58</c:v>
                </c:pt>
                <c:pt idx="729" formatCode="0.0">
                  <c:v>2821.5</c:v>
                </c:pt>
                <c:pt idx="730" formatCode="0.0">
                  <c:v>2824.43</c:v>
                </c:pt>
                <c:pt idx="731" formatCode="0.0">
                  <c:v>2827.36</c:v>
                </c:pt>
                <c:pt idx="732" formatCode="0.0">
                  <c:v>2830.29</c:v>
                </c:pt>
                <c:pt idx="733" formatCode="0.0">
                  <c:v>2833.22</c:v>
                </c:pt>
                <c:pt idx="734" formatCode="0.0">
                  <c:v>2836.15</c:v>
                </c:pt>
                <c:pt idx="735" formatCode="0.0">
                  <c:v>2839.08</c:v>
                </c:pt>
                <c:pt idx="736" formatCode="0.0">
                  <c:v>2842.02</c:v>
                </c:pt>
                <c:pt idx="737" formatCode="0.0">
                  <c:v>2844.95</c:v>
                </c:pt>
                <c:pt idx="738" formatCode="0.0">
                  <c:v>2847.89</c:v>
                </c:pt>
                <c:pt idx="739" formatCode="0.0">
                  <c:v>2850.82</c:v>
                </c:pt>
                <c:pt idx="740" formatCode="0.0">
                  <c:v>2853.76</c:v>
                </c:pt>
                <c:pt idx="741" formatCode="0.0">
                  <c:v>2856.69</c:v>
                </c:pt>
                <c:pt idx="742" formatCode="0.0">
                  <c:v>2859.63</c:v>
                </c:pt>
                <c:pt idx="743" formatCode="0.0">
                  <c:v>2862.56</c:v>
                </c:pt>
                <c:pt idx="744" formatCode="0.0">
                  <c:v>2865.5</c:v>
                </c:pt>
                <c:pt idx="745" formatCode="0.0">
                  <c:v>2868.43</c:v>
                </c:pt>
                <c:pt idx="746" formatCode="0.0">
                  <c:v>2871.37</c:v>
                </c:pt>
                <c:pt idx="747" formatCode="0.0">
                  <c:v>2874.3</c:v>
                </c:pt>
                <c:pt idx="748" formatCode="0.0">
                  <c:v>2877.23</c:v>
                </c:pt>
                <c:pt idx="749" formatCode="0.0">
                  <c:v>2880.17</c:v>
                </c:pt>
                <c:pt idx="750" formatCode="0.0">
                  <c:v>2883.1</c:v>
                </c:pt>
                <c:pt idx="751" formatCode="0.0">
                  <c:v>2886.04</c:v>
                </c:pt>
                <c:pt idx="752" formatCode="0.0">
                  <c:v>2888.97</c:v>
                </c:pt>
                <c:pt idx="753" formatCode="0.0">
                  <c:v>2891.91</c:v>
                </c:pt>
                <c:pt idx="754" formatCode="0.0">
                  <c:v>2894.84</c:v>
                </c:pt>
                <c:pt idx="755" formatCode="0.0">
                  <c:v>2897.78</c:v>
                </c:pt>
                <c:pt idx="756" formatCode="0.0">
                  <c:v>2900.71</c:v>
                </c:pt>
                <c:pt idx="757" formatCode="0.0">
                  <c:v>2903.65</c:v>
                </c:pt>
                <c:pt idx="758" formatCode="0.0">
                  <c:v>2906.58</c:v>
                </c:pt>
                <c:pt idx="759" formatCode="0.0">
                  <c:v>2909.52</c:v>
                </c:pt>
                <c:pt idx="760" formatCode="0.0">
                  <c:v>2912.45</c:v>
                </c:pt>
                <c:pt idx="761" formatCode="0.0">
                  <c:v>2915.38</c:v>
                </c:pt>
                <c:pt idx="762" formatCode="0.0">
                  <c:v>2918.32</c:v>
                </c:pt>
                <c:pt idx="763" formatCode="0.0">
                  <c:v>2921.25</c:v>
                </c:pt>
                <c:pt idx="764" formatCode="0.0">
                  <c:v>2924.19</c:v>
                </c:pt>
                <c:pt idx="765" formatCode="0.0">
                  <c:v>2927.12</c:v>
                </c:pt>
                <c:pt idx="766" formatCode="0.0">
                  <c:v>2930.06</c:v>
                </c:pt>
                <c:pt idx="767" formatCode="0.0">
                  <c:v>2932.99</c:v>
                </c:pt>
                <c:pt idx="768" formatCode="0.0">
                  <c:v>2935.81</c:v>
                </c:pt>
                <c:pt idx="769" formatCode="0.0">
                  <c:v>2938.43</c:v>
                </c:pt>
                <c:pt idx="770" formatCode="0.0">
                  <c:v>2941.05</c:v>
                </c:pt>
                <c:pt idx="771" formatCode="0.0">
                  <c:v>2943.67</c:v>
                </c:pt>
                <c:pt idx="772" formatCode="0.0">
                  <c:v>2946.28</c:v>
                </c:pt>
                <c:pt idx="773" formatCode="0.0">
                  <c:v>2948.9</c:v>
                </c:pt>
                <c:pt idx="774" formatCode="0.0">
                  <c:v>2951.52</c:v>
                </c:pt>
                <c:pt idx="775" formatCode="0.0">
                  <c:v>2954.14</c:v>
                </c:pt>
                <c:pt idx="776" formatCode="0.0">
                  <c:v>2956.76</c:v>
                </c:pt>
                <c:pt idx="777" formatCode="0.0">
                  <c:v>2959.38</c:v>
                </c:pt>
                <c:pt idx="778" formatCode="0.0">
                  <c:v>2961.99</c:v>
                </c:pt>
                <c:pt idx="779" formatCode="0.0">
                  <c:v>2964.61</c:v>
                </c:pt>
                <c:pt idx="780" formatCode="0.0">
                  <c:v>2967.23</c:v>
                </c:pt>
                <c:pt idx="781" formatCode="0.0">
                  <c:v>2969.85</c:v>
                </c:pt>
                <c:pt idx="782" formatCode="0.0">
                  <c:v>2972.47</c:v>
                </c:pt>
                <c:pt idx="783" formatCode="0.0">
                  <c:v>2975.08</c:v>
                </c:pt>
                <c:pt idx="784" formatCode="0.0">
                  <c:v>2977.7</c:v>
                </c:pt>
                <c:pt idx="785" formatCode="0.0">
                  <c:v>2980.32</c:v>
                </c:pt>
                <c:pt idx="786" formatCode="0.0">
                  <c:v>2982.94</c:v>
                </c:pt>
                <c:pt idx="787" formatCode="0.0">
                  <c:v>2985.56</c:v>
                </c:pt>
                <c:pt idx="788" formatCode="0.0">
                  <c:v>2988.17</c:v>
                </c:pt>
                <c:pt idx="789" formatCode="0.0">
                  <c:v>2990.79</c:v>
                </c:pt>
                <c:pt idx="790" formatCode="0.0">
                  <c:v>2993.41</c:v>
                </c:pt>
                <c:pt idx="791" formatCode="0.0">
                  <c:v>2996.03</c:v>
                </c:pt>
                <c:pt idx="792" formatCode="0.0">
                  <c:v>2998.65</c:v>
                </c:pt>
                <c:pt idx="793" formatCode="0.0">
                  <c:v>3001.27</c:v>
                </c:pt>
                <c:pt idx="794" formatCode="0.0">
                  <c:v>3003.88</c:v>
                </c:pt>
                <c:pt idx="795" formatCode="0.0">
                  <c:v>3006.5</c:v>
                </c:pt>
                <c:pt idx="796" formatCode="0.0">
                  <c:v>3009.12</c:v>
                </c:pt>
                <c:pt idx="797" formatCode="0.0">
                  <c:v>3011.74</c:v>
                </c:pt>
                <c:pt idx="798" formatCode="0.0">
                  <c:v>3014.36</c:v>
                </c:pt>
                <c:pt idx="799" formatCode="0.0">
                  <c:v>3016.97</c:v>
                </c:pt>
                <c:pt idx="800" formatCode="0.0">
                  <c:v>3019.59</c:v>
                </c:pt>
                <c:pt idx="801" formatCode="0.0">
                  <c:v>3022.21</c:v>
                </c:pt>
                <c:pt idx="802" formatCode="0.0">
                  <c:v>3024.83</c:v>
                </c:pt>
                <c:pt idx="803" formatCode="0.0">
                  <c:v>3027.45</c:v>
                </c:pt>
                <c:pt idx="804" formatCode="0.0">
                  <c:v>3030.07</c:v>
                </c:pt>
                <c:pt idx="805" formatCode="0.0">
                  <c:v>3032.68</c:v>
                </c:pt>
                <c:pt idx="806" formatCode="0.0">
                  <c:v>3035.33</c:v>
                </c:pt>
                <c:pt idx="807" formatCode="0.0">
                  <c:v>3038.12</c:v>
                </c:pt>
                <c:pt idx="808" formatCode="0.0">
                  <c:v>3040.9</c:v>
                </c:pt>
                <c:pt idx="809" formatCode="0.0">
                  <c:v>3043.69</c:v>
                </c:pt>
                <c:pt idx="810" formatCode="0.0">
                  <c:v>3046.48</c:v>
                </c:pt>
                <c:pt idx="811" formatCode="0.0">
                  <c:v>3049.26</c:v>
                </c:pt>
                <c:pt idx="812" formatCode="0.0">
                  <c:v>3052.05</c:v>
                </c:pt>
                <c:pt idx="813" formatCode="0.0">
                  <c:v>3054.84</c:v>
                </c:pt>
                <c:pt idx="814" formatCode="0.0">
                  <c:v>3057.62</c:v>
                </c:pt>
                <c:pt idx="815" formatCode="0.0">
                  <c:v>3060.41</c:v>
                </c:pt>
                <c:pt idx="816" formatCode="0.0">
                  <c:v>3063.2</c:v>
                </c:pt>
                <c:pt idx="817" formatCode="0.0">
                  <c:v>3065.98</c:v>
                </c:pt>
                <c:pt idx="818" formatCode="0.0">
                  <c:v>3068.77</c:v>
                </c:pt>
                <c:pt idx="819" formatCode="0.0">
                  <c:v>3071.56</c:v>
                </c:pt>
                <c:pt idx="820" formatCode="0.0">
                  <c:v>3074.34</c:v>
                </c:pt>
                <c:pt idx="821" formatCode="0.0">
                  <c:v>3077.13</c:v>
                </c:pt>
                <c:pt idx="822" formatCode="0.0">
                  <c:v>3079.92</c:v>
                </c:pt>
                <c:pt idx="823" formatCode="0.0">
                  <c:v>3082.7</c:v>
                </c:pt>
                <c:pt idx="824" formatCode="0.0">
                  <c:v>3085.49</c:v>
                </c:pt>
                <c:pt idx="825" formatCode="0.0">
                  <c:v>3088.28</c:v>
                </c:pt>
                <c:pt idx="826" formatCode="0.0">
                  <c:v>3091.06</c:v>
                </c:pt>
                <c:pt idx="827" formatCode="0.0">
                  <c:v>3093.85</c:v>
                </c:pt>
                <c:pt idx="828" formatCode="0.0">
                  <c:v>3096.64</c:v>
                </c:pt>
                <c:pt idx="829" formatCode="0.0">
                  <c:v>3099.42</c:v>
                </c:pt>
                <c:pt idx="830" formatCode="0.0">
                  <c:v>3102.21</c:v>
                </c:pt>
                <c:pt idx="831" formatCode="0.0">
                  <c:v>3105</c:v>
                </c:pt>
                <c:pt idx="832" formatCode="0.0">
                  <c:v>3107.78</c:v>
                </c:pt>
                <c:pt idx="833" formatCode="0.0">
                  <c:v>3110.57</c:v>
                </c:pt>
                <c:pt idx="834" formatCode="0.0">
                  <c:v>3113.36</c:v>
                </c:pt>
                <c:pt idx="835" formatCode="0.0">
                  <c:v>3116.14</c:v>
                </c:pt>
                <c:pt idx="836" formatCode="0.0">
                  <c:v>3118.93</c:v>
                </c:pt>
                <c:pt idx="837" formatCode="0.0">
                  <c:v>3121.72</c:v>
                </c:pt>
                <c:pt idx="838" formatCode="0.0">
                  <c:v>3124.5</c:v>
                </c:pt>
                <c:pt idx="839" formatCode="0.0">
                  <c:v>3127.29</c:v>
                </c:pt>
                <c:pt idx="840" formatCode="0.0">
                  <c:v>3130.08</c:v>
                </c:pt>
                <c:pt idx="841" formatCode="0.0">
                  <c:v>3132.86</c:v>
                </c:pt>
                <c:pt idx="842" formatCode="0.0">
                  <c:v>3135.69</c:v>
                </c:pt>
                <c:pt idx="843" formatCode="0.0">
                  <c:v>3138.6</c:v>
                </c:pt>
                <c:pt idx="844" formatCode="0.0">
                  <c:v>3141.51</c:v>
                </c:pt>
                <c:pt idx="845" formatCode="0.0">
                  <c:v>3144.43</c:v>
                </c:pt>
                <c:pt idx="846" formatCode="0.0">
                  <c:v>3147.34</c:v>
                </c:pt>
                <c:pt idx="847" formatCode="0.0">
                  <c:v>3150.25</c:v>
                </c:pt>
                <c:pt idx="848" formatCode="0.0">
                  <c:v>3153.17</c:v>
                </c:pt>
                <c:pt idx="849" formatCode="0.0">
                  <c:v>3156.08</c:v>
                </c:pt>
                <c:pt idx="850" formatCode="0.0">
                  <c:v>3158.99</c:v>
                </c:pt>
                <c:pt idx="851" formatCode="0.0">
                  <c:v>3161.91</c:v>
                </c:pt>
                <c:pt idx="852" formatCode="0.0">
                  <c:v>3164.82</c:v>
                </c:pt>
                <c:pt idx="853" formatCode="0.0">
                  <c:v>3167.73</c:v>
                </c:pt>
                <c:pt idx="854" formatCode="0.0">
                  <c:v>3170.65</c:v>
                </c:pt>
                <c:pt idx="855" formatCode="0.0">
                  <c:v>3173.56</c:v>
                </c:pt>
                <c:pt idx="856" formatCode="0.0">
                  <c:v>3176.47</c:v>
                </c:pt>
                <c:pt idx="857" formatCode="0.0">
                  <c:v>3179.38</c:v>
                </c:pt>
                <c:pt idx="858" formatCode="0.0">
                  <c:v>3182.3</c:v>
                </c:pt>
                <c:pt idx="859" formatCode="0.0">
                  <c:v>3185.21</c:v>
                </c:pt>
                <c:pt idx="860" formatCode="0.0">
                  <c:v>3188.12</c:v>
                </c:pt>
                <c:pt idx="861" formatCode="0.0">
                  <c:v>3191.04</c:v>
                </c:pt>
                <c:pt idx="862" formatCode="0.0">
                  <c:v>3193.95</c:v>
                </c:pt>
                <c:pt idx="863" formatCode="0.0">
                  <c:v>3196.86</c:v>
                </c:pt>
                <c:pt idx="864" formatCode="0.0">
                  <c:v>3199.78</c:v>
                </c:pt>
                <c:pt idx="865" formatCode="0.0">
                  <c:v>3202.69</c:v>
                </c:pt>
                <c:pt idx="866" formatCode="0.0">
                  <c:v>3205.6</c:v>
                </c:pt>
                <c:pt idx="867" formatCode="0.0">
                  <c:v>3208.52</c:v>
                </c:pt>
                <c:pt idx="868" formatCode="0.0">
                  <c:v>3211.43</c:v>
                </c:pt>
                <c:pt idx="869" formatCode="0.0">
                  <c:v>3214.34</c:v>
                </c:pt>
                <c:pt idx="870" formatCode="0.0">
                  <c:v>3217.26</c:v>
                </c:pt>
                <c:pt idx="871" formatCode="0.0">
                  <c:v>3220.17</c:v>
                </c:pt>
                <c:pt idx="872" formatCode="0.0">
                  <c:v>3223.08</c:v>
                </c:pt>
                <c:pt idx="873" formatCode="0.0">
                  <c:v>3226</c:v>
                </c:pt>
                <c:pt idx="874" formatCode="0.0">
                  <c:v>3228.91</c:v>
                </c:pt>
                <c:pt idx="875" formatCode="0.0">
                  <c:v>3231.82</c:v>
                </c:pt>
                <c:pt idx="876" formatCode="0.0">
                  <c:v>3234.74</c:v>
                </c:pt>
                <c:pt idx="877" formatCode="0.0">
                  <c:v>3237.51</c:v>
                </c:pt>
                <c:pt idx="878" formatCode="0.0">
                  <c:v>3240.28</c:v>
                </c:pt>
                <c:pt idx="879" formatCode="0.0">
                  <c:v>3243.05</c:v>
                </c:pt>
                <c:pt idx="880" formatCode="0.0">
                  <c:v>3245.82</c:v>
                </c:pt>
                <c:pt idx="881" formatCode="0.0">
                  <c:v>3248.59</c:v>
                </c:pt>
                <c:pt idx="882" formatCode="0.0">
                  <c:v>3251.36</c:v>
                </c:pt>
                <c:pt idx="883" formatCode="0.0">
                  <c:v>3254.12</c:v>
                </c:pt>
                <c:pt idx="884" formatCode="0.0">
                  <c:v>3256.89</c:v>
                </c:pt>
                <c:pt idx="885" formatCode="0.0">
                  <c:v>3259.66</c:v>
                </c:pt>
                <c:pt idx="886" formatCode="0.0">
                  <c:v>3262.43</c:v>
                </c:pt>
                <c:pt idx="887" formatCode="0.0">
                  <c:v>3265.2</c:v>
                </c:pt>
                <c:pt idx="888" formatCode="0.0">
                  <c:v>3267.97</c:v>
                </c:pt>
                <c:pt idx="889" formatCode="0.0">
                  <c:v>3270.74</c:v>
                </c:pt>
                <c:pt idx="890" formatCode="0.0">
                  <c:v>3273.5</c:v>
                </c:pt>
                <c:pt idx="891" formatCode="0.0">
                  <c:v>3276.27</c:v>
                </c:pt>
                <c:pt idx="892" formatCode="0.0">
                  <c:v>3279.04</c:v>
                </c:pt>
                <c:pt idx="893" formatCode="0.0">
                  <c:v>3281.81</c:v>
                </c:pt>
                <c:pt idx="894" formatCode="0.0">
                  <c:v>3284.58</c:v>
                </c:pt>
                <c:pt idx="895" formatCode="0.0">
                  <c:v>3287.35</c:v>
                </c:pt>
                <c:pt idx="896" formatCode="0.0">
                  <c:v>3290.12</c:v>
                </c:pt>
                <c:pt idx="897" formatCode="0.0">
                  <c:v>3292.88</c:v>
                </c:pt>
                <c:pt idx="898" formatCode="0.0">
                  <c:v>3295.65</c:v>
                </c:pt>
                <c:pt idx="899" formatCode="0.0">
                  <c:v>3298.42</c:v>
                </c:pt>
                <c:pt idx="900" formatCode="0.0">
                  <c:v>3301.19</c:v>
                </c:pt>
                <c:pt idx="901" formatCode="0.0">
                  <c:v>3303.96</c:v>
                </c:pt>
                <c:pt idx="902" formatCode="0.0">
                  <c:v>3306.73</c:v>
                </c:pt>
                <c:pt idx="903" formatCode="0.0">
                  <c:v>3309.5</c:v>
                </c:pt>
                <c:pt idx="904" formatCode="0.0">
                  <c:v>3312.26</c:v>
                </c:pt>
                <c:pt idx="905" formatCode="0.0">
                  <c:v>3315.02</c:v>
                </c:pt>
                <c:pt idx="906" formatCode="0.0">
                  <c:v>3317.6</c:v>
                </c:pt>
                <c:pt idx="907" formatCode="0.0">
                  <c:v>3320.18</c:v>
                </c:pt>
                <c:pt idx="908" formatCode="0.0">
                  <c:v>3322.76</c:v>
                </c:pt>
                <c:pt idx="909" formatCode="0.0">
                  <c:v>3325.33</c:v>
                </c:pt>
                <c:pt idx="910" formatCode="0.0">
                  <c:v>3327.91</c:v>
                </c:pt>
                <c:pt idx="911" formatCode="0.0">
                  <c:v>3330.49</c:v>
                </c:pt>
              </c:numCache>
            </c:numRef>
          </c:xVal>
          <c:yVal>
            <c:numRef>
              <c:f>'NUNR-012'!$F$15:$F$926</c:f>
              <c:numCache>
                <c:formatCode>0.0</c:formatCode>
                <c:ptCount val="912"/>
                <c:pt idx="0">
                  <c:v>0</c:v>
                </c:pt>
                <c:pt idx="1">
                  <c:v>27.610945361903998</c:v>
                </c:pt>
                <c:pt idx="2">
                  <c:v>56.449169609001615</c:v>
                </c:pt>
                <c:pt idx="3">
                  <c:v>85.352335906852858</c:v>
                </c:pt>
                <c:pt idx="4">
                  <c:v>114.32059050128261</c:v>
                </c:pt>
                <c:pt idx="5">
                  <c:v>130.25303581691901</c:v>
                </c:pt>
                <c:pt idx="6">
                  <c:v>144.82363550988575</c:v>
                </c:pt>
                <c:pt idx="7">
                  <c:v>159.38125590016176</c:v>
                </c:pt>
                <c:pt idx="8">
                  <c:v>173.98473418898274</c:v>
                </c:pt>
                <c:pt idx="9">
                  <c:v>188.60469621280046</c:v>
                </c:pt>
                <c:pt idx="10">
                  <c:v>203.2411605776974</c:v>
                </c:pt>
                <c:pt idx="11">
                  <c:v>217.86458696850167</c:v>
                </c:pt>
                <c:pt idx="12">
                  <c:v>232.53407855305744</c:v>
                </c:pt>
                <c:pt idx="13">
                  <c:v>247.22012838538291</c:v>
                </c:pt>
                <c:pt idx="14">
                  <c:v>261.92275515566541</c:v>
                </c:pt>
                <c:pt idx="15">
                  <c:v>276.64197757519372</c:v>
                </c:pt>
                <c:pt idx="16">
                  <c:v>291.34808830081806</c:v>
                </c:pt>
                <c:pt idx="17">
                  <c:v>306.10052468376978</c:v>
                </c:pt>
                <c:pt idx="18">
                  <c:v>320.86961293876482</c:v>
                </c:pt>
                <c:pt idx="19">
                  <c:v>335.65537186167359</c:v>
                </c:pt>
                <c:pt idx="20">
                  <c:v>350.42795982082129</c:v>
                </c:pt>
                <c:pt idx="21">
                  <c:v>365.24708284694333</c:v>
                </c:pt>
                <c:pt idx="22">
                  <c:v>380.08293301792986</c:v>
                </c:pt>
                <c:pt idx="23">
                  <c:v>394.93552921461031</c:v>
                </c:pt>
                <c:pt idx="24">
                  <c:v>409.77489490974392</c:v>
                </c:pt>
                <c:pt idx="25">
                  <c:v>424.66100602812025</c:v>
                </c:pt>
                <c:pt idx="26">
                  <c:v>439.56391990443808</c:v>
                </c:pt>
                <c:pt idx="27">
                  <c:v>454.48365550488012</c:v>
                </c:pt>
                <c:pt idx="28">
                  <c:v>469.39010079685784</c:v>
                </c:pt>
                <c:pt idx="29">
                  <c:v>484.34350281922985</c:v>
                </c:pt>
                <c:pt idx="30">
                  <c:v>499.31378355442524</c:v>
                </c:pt>
                <c:pt idx="31">
                  <c:v>514.30096205435757</c:v>
                </c:pt>
                <c:pt idx="32">
                  <c:v>529.30505739244711</c:v>
                </c:pt>
                <c:pt idx="33">
                  <c:v>544.29578727550222</c:v>
                </c:pt>
                <c:pt idx="34">
                  <c:v>559.33373939348803</c:v>
                </c:pt>
                <c:pt idx="35">
                  <c:v>574.38866566055765</c:v>
                </c:pt>
                <c:pt idx="36">
                  <c:v>589.46058523635031</c:v>
                </c:pt>
                <c:pt idx="37">
                  <c:v>604.51907894015096</c:v>
                </c:pt>
                <c:pt idx="38">
                  <c:v>619.6250083414086</c:v>
                </c:pt>
                <c:pt idx="39">
                  <c:v>634.74798862138073</c:v>
                </c:pt>
                <c:pt idx="40">
                  <c:v>649.88803902631685</c:v>
                </c:pt>
                <c:pt idx="41">
                  <c:v>665.01460286919917</c:v>
                </c:pt>
                <c:pt idx="42">
                  <c:v>680.18881683699317</c:v>
                </c:pt>
                <c:pt idx="43">
                  <c:v>695.38015875998474</c:v>
                </c:pt>
                <c:pt idx="44">
                  <c:v>710.58864797141678</c:v>
                </c:pt>
                <c:pt idx="45">
                  <c:v>725.81430382636574</c:v>
                </c:pt>
                <c:pt idx="46">
                  <c:v>741.02639686302325</c:v>
                </c:pt>
                <c:pt idx="47">
                  <c:v>756.28640944974813</c:v>
                </c:pt>
                <c:pt idx="48">
                  <c:v>771.56364683720585</c:v>
                </c:pt>
                <c:pt idx="49">
                  <c:v>786.85812846795727</c:v>
                </c:pt>
                <c:pt idx="50">
                  <c:v>802.13898597130424</c:v>
                </c:pt>
                <c:pt idx="51">
                  <c:v>817.4679796393774</c:v>
                </c:pt>
                <c:pt idx="52">
                  <c:v>832.81427597085553</c:v>
                </c:pt>
                <c:pt idx="53">
                  <c:v>848.17789449618635</c:v>
                </c:pt>
                <c:pt idx="54">
                  <c:v>863.52782730786078</c:v>
                </c:pt>
                <c:pt idx="55">
                  <c:v>878.92611387809484</c:v>
                </c:pt>
                <c:pt idx="56">
                  <c:v>894.34178132637714</c:v>
                </c:pt>
                <c:pt idx="57">
                  <c:v>909.77484927144246</c:v>
                </c:pt>
                <c:pt idx="58">
                  <c:v>925.22533735417414</c:v>
                </c:pt>
                <c:pt idx="59">
                  <c:v>940.66206234096171</c:v>
                </c:pt>
                <c:pt idx="60">
                  <c:v>956.14741448997404</c:v>
                </c:pt>
                <c:pt idx="61">
                  <c:v>971.65024579265992</c:v>
                </c:pt>
                <c:pt idx="62">
                  <c:v>987.17057597867802</c:v>
                </c:pt>
                <c:pt idx="63">
                  <c:v>1002.6770808543065</c:v>
                </c:pt>
                <c:pt idx="64">
                  <c:v>1018.2324327054952</c:v>
                </c:pt>
                <c:pt idx="65">
                  <c:v>1033.8053427227999</c:v>
                </c:pt>
                <c:pt idx="66">
                  <c:v>1049.3958307250746</c:v>
                </c:pt>
                <c:pt idx="67">
                  <c:v>1064.9724309212781</c:v>
                </c:pt>
                <c:pt idx="68">
                  <c:v>1080.5980989000111</c:v>
                </c:pt>
                <c:pt idx="69">
                  <c:v>1096.2414044144775</c:v>
                </c:pt>
                <c:pt idx="70">
                  <c:v>1111.9023673731092</c:v>
                </c:pt>
                <c:pt idx="71">
                  <c:v>1127.5810077068243</c:v>
                </c:pt>
                <c:pt idx="72">
                  <c:v>1143.2456817095033</c:v>
                </c:pt>
                <c:pt idx="73">
                  <c:v>1158.9597009356426</c:v>
                </c:pt>
                <c:pt idx="74">
                  <c:v>1174.6914574243406</c:v>
                </c:pt>
                <c:pt idx="75">
                  <c:v>1190.4409711965984</c:v>
                </c:pt>
                <c:pt idx="76">
                  <c:v>1206.1764555046761</c:v>
                </c:pt>
                <c:pt idx="77">
                  <c:v>1221.9615080954593</c:v>
                </c:pt>
                <c:pt idx="78">
                  <c:v>1237.764378127993</c:v>
                </c:pt>
                <c:pt idx="79">
                  <c:v>1253.5850857137871</c:v>
                </c:pt>
                <c:pt idx="80">
                  <c:v>1269.3917004168725</c:v>
                </c:pt>
                <c:pt idx="81">
                  <c:v>1285.2481074702141</c:v>
                </c:pt>
                <c:pt idx="82">
                  <c:v>1301.1224125069477</c:v>
                </c:pt>
                <c:pt idx="83">
                  <c:v>1317.0146357294921</c:v>
                </c:pt>
                <c:pt idx="84">
                  <c:v>1332.8927023641152</c:v>
                </c:pt>
                <c:pt idx="85">
                  <c:v>1348.8207864294254</c:v>
                </c:pt>
                <c:pt idx="86">
                  <c:v>1364.7668493838439</c:v>
                </c:pt>
                <c:pt idx="87">
                  <c:v>1380.7309115211103</c:v>
                </c:pt>
                <c:pt idx="88">
                  <c:v>1396.7129931578777</c:v>
                </c:pt>
                <c:pt idx="89">
                  <c:v>1412.6808381620058</c:v>
                </c:pt>
                <c:pt idx="90">
                  <c:v>1428.6989834072835</c:v>
                </c:pt>
                <c:pt idx="91">
                  <c:v>1444.735209198587</c:v>
                </c:pt>
                <c:pt idx="92">
                  <c:v>1460.7895359444062</c:v>
                </c:pt>
                <c:pt idx="93">
                  <c:v>1476.8295617025713</c:v>
                </c:pt>
                <c:pt idx="94">
                  <c:v>1492.9201150781771</c:v>
                </c:pt>
                <c:pt idx="95">
                  <c:v>1509.0288307307762</c:v>
                </c:pt>
                <c:pt idx="96">
                  <c:v>1525.155729161115</c:v>
                </c:pt>
                <c:pt idx="97">
                  <c:v>1541.2682619578786</c:v>
                </c:pt>
                <c:pt idx="98">
                  <c:v>1557.431550776196</c:v>
                </c:pt>
                <c:pt idx="99">
                  <c:v>1573.613083971934</c:v>
                </c:pt>
                <c:pt idx="100">
                  <c:v>1589.8128821385053</c:v>
                </c:pt>
                <c:pt idx="101">
                  <c:v>1605.9982497333531</c:v>
                </c:pt>
                <c:pt idx="102">
                  <c:v>1622.2346027863464</c:v>
                </c:pt>
                <c:pt idx="103">
                  <c:v>1638.4892826883122</c:v>
                </c:pt>
                <c:pt idx="104">
                  <c:v>1654.7623101257477</c:v>
                </c:pt>
                <c:pt idx="105">
                  <c:v>1671.0537058085126</c:v>
                </c:pt>
                <c:pt idx="106">
                  <c:v>1687.3305893256679</c:v>
                </c:pt>
                <c:pt idx="107">
                  <c:v>1703.6587465848847</c:v>
                </c:pt>
                <c:pt idx="108">
                  <c:v>1720.0053343174422</c:v>
                </c:pt>
                <c:pt idx="109">
                  <c:v>1736.3703733268073</c:v>
                </c:pt>
                <c:pt idx="110">
                  <c:v>1752.7208345700335</c:v>
                </c:pt>
                <c:pt idx="111">
                  <c:v>1769.1228013322072</c:v>
                </c:pt>
                <c:pt idx="112">
                  <c:v>1785.543281880495</c:v>
                </c:pt>
                <c:pt idx="113">
                  <c:v>1801.9822971124026</c:v>
                </c:pt>
                <c:pt idx="114">
                  <c:v>1818.4066686811043</c:v>
                </c:pt>
                <c:pt idx="115">
                  <c:v>1834.8827785933618</c:v>
                </c:pt>
                <c:pt idx="116">
                  <c:v>1851.3774859811094</c:v>
                </c:pt>
                <c:pt idx="117">
                  <c:v>1867.8908118363224</c:v>
                </c:pt>
                <c:pt idx="118">
                  <c:v>1884.4227771746714</c:v>
                </c:pt>
                <c:pt idx="119">
                  <c:v>1900.9400160510561</c:v>
                </c:pt>
                <c:pt idx="120">
                  <c:v>1917.5092858119087</c:v>
                </c:pt>
                <c:pt idx="121">
                  <c:v>1934.0972582028085</c:v>
                </c:pt>
                <c:pt idx="122">
                  <c:v>1950.7039543344204</c:v>
                </c:pt>
                <c:pt idx="123">
                  <c:v>1967.2958574348397</c:v>
                </c:pt>
                <c:pt idx="124">
                  <c:v>1983.9400266191856</c:v>
                </c:pt>
                <c:pt idx="125">
                  <c:v>2000.6029829766014</c:v>
                </c:pt>
                <c:pt idx="126">
                  <c:v>2017.2847477131866</c:v>
                </c:pt>
                <c:pt idx="127">
                  <c:v>2033.9516525484298</c:v>
                </c:pt>
                <c:pt idx="128">
                  <c:v>2050.671059730249</c:v>
                </c:pt>
                <c:pt idx="129">
                  <c:v>2067.4093390103303</c:v>
                </c:pt>
                <c:pt idx="130">
                  <c:v>2084.1665116906333</c:v>
                </c:pt>
                <c:pt idx="131">
                  <c:v>2100.9087572971721</c:v>
                </c:pt>
                <c:pt idx="132">
                  <c:v>2117.7037425809294</c:v>
                </c:pt>
                <c:pt idx="133">
                  <c:v>2134.5176852720351</c:v>
                </c:pt>
                <c:pt idx="134">
                  <c:v>2151.3506067687485</c:v>
                </c:pt>
                <c:pt idx="135">
                  <c:v>2168.2025284934639</c:v>
                </c:pt>
                <c:pt idx="136">
                  <c:v>2185.0394387431807</c:v>
                </c:pt>
                <c:pt idx="137">
                  <c:v>2201.9293868728128</c:v>
                </c:pt>
                <c:pt idx="138">
                  <c:v>2218.8383995994927</c:v>
                </c:pt>
                <c:pt idx="139">
                  <c:v>2235.7664984424587</c:v>
                </c:pt>
                <c:pt idx="140">
                  <c:v>2252.6795179528312</c:v>
                </c:pt>
                <c:pt idx="141">
                  <c:v>2269.6458150945796</c:v>
                </c:pt>
                <c:pt idx="142">
                  <c:v>2286.6312630126276</c:v>
                </c:pt>
                <c:pt idx="143">
                  <c:v>2303.6358833234935</c:v>
                </c:pt>
                <c:pt idx="144">
                  <c:v>2320.6253561374297</c:v>
                </c:pt>
                <c:pt idx="145">
                  <c:v>2337.6683474179663</c:v>
                </c:pt>
                <c:pt idx="146">
                  <c:v>2354.7305760436248</c:v>
                </c:pt>
                <c:pt idx="147">
                  <c:v>2371.8120637286352</c:v>
                </c:pt>
                <c:pt idx="148">
                  <c:v>2388.8783354442453</c:v>
                </c:pt>
                <c:pt idx="149">
                  <c:v>2405.9983675503531</c:v>
                </c:pt>
                <c:pt idx="150">
                  <c:v>2423.1377239617259</c:v>
                </c:pt>
                <c:pt idx="151">
                  <c:v>2440.2964264907473</c:v>
                </c:pt>
                <c:pt idx="152">
                  <c:v>2457.4744969744279</c:v>
                </c:pt>
                <c:pt idx="153">
                  <c:v>2474.6372654539941</c:v>
                </c:pt>
                <c:pt idx="154">
                  <c:v>2491.8540982981076</c:v>
                </c:pt>
                <c:pt idx="155">
                  <c:v>2509.0903647117102</c:v>
                </c:pt>
                <c:pt idx="156">
                  <c:v>2526.346086630519</c:v>
                </c:pt>
                <c:pt idx="157">
                  <c:v>2543.5864373743111</c:v>
                </c:pt>
                <c:pt idx="158">
                  <c:v>2560.881096874215</c:v>
                </c:pt>
                <c:pt idx="159">
                  <c:v>2578.1952777907577</c:v>
                </c:pt>
                <c:pt idx="160">
                  <c:v>2595.5290021588157</c:v>
                </c:pt>
                <c:pt idx="161">
                  <c:v>2612.8472858682844</c:v>
                </c:pt>
                <c:pt idx="162">
                  <c:v>2630.2201238301682</c:v>
                </c:pt>
                <c:pt idx="163">
                  <c:v>2647.6125714529426</c:v>
                </c:pt>
                <c:pt idx="164">
                  <c:v>2665.0246508710957</c:v>
                </c:pt>
                <c:pt idx="165">
                  <c:v>2682.4212198329847</c:v>
                </c:pt>
                <c:pt idx="166">
                  <c:v>2699.872589653336</c:v>
                </c:pt>
                <c:pt idx="167">
                  <c:v>2717.3436577777288</c:v>
                </c:pt>
                <c:pt idx="168">
                  <c:v>2734.8344464407091</c:v>
                </c:pt>
                <c:pt idx="169">
                  <c:v>2752.3096545342432</c:v>
                </c:pt>
                <c:pt idx="170">
                  <c:v>2769.8399112070333</c:v>
                </c:pt>
                <c:pt idx="171">
                  <c:v>2787.3899552277226</c:v>
                </c:pt>
                <c:pt idx="172">
                  <c:v>2804.924365895055</c:v>
                </c:pt>
                <c:pt idx="173">
                  <c:v>2822.514011635426</c:v>
                </c:pt>
                <c:pt idx="174">
                  <c:v>2840.1235117593401</c:v>
                </c:pt>
                <c:pt idx="175">
                  <c:v>2857.7528886775167</c:v>
                </c:pt>
                <c:pt idx="176">
                  <c:v>2875.3665615736136</c:v>
                </c:pt>
                <c:pt idx="177">
                  <c:v>2893.03571922636</c:v>
                </c:pt>
                <c:pt idx="178">
                  <c:v>2910.7248210120429</c:v>
                </c:pt>
                <c:pt idx="179">
                  <c:v>2928.433889442686</c:v>
                </c:pt>
                <c:pt idx="180">
                  <c:v>2946.1271828630738</c:v>
                </c:pt>
                <c:pt idx="181">
                  <c:v>2963.8762118523891</c:v>
                </c:pt>
                <c:pt idx="182">
                  <c:v>2981.6452751297329</c:v>
                </c:pt>
                <c:pt idx="183">
                  <c:v>2999.4343953088933</c:v>
                </c:pt>
                <c:pt idx="184">
                  <c:v>3017.207669168733</c:v>
                </c:pt>
                <c:pt idx="185">
                  <c:v>3035.0369305435429</c:v>
                </c:pt>
                <c:pt idx="186">
                  <c:v>3052.8863167690138</c:v>
                </c:pt>
                <c:pt idx="187">
                  <c:v>3070.7558505611478</c:v>
                </c:pt>
                <c:pt idx="188">
                  <c:v>3088.6094664025541</c:v>
                </c:pt>
                <c:pt idx="189">
                  <c:v>3106.519322843862</c:v>
                </c:pt>
                <c:pt idx="190">
                  <c:v>3124.4493951078412</c:v>
                </c:pt>
                <c:pt idx="191">
                  <c:v>3142.3997060131737</c:v>
                </c:pt>
                <c:pt idx="192">
                  <c:v>3160.3340270125645</c:v>
                </c:pt>
                <c:pt idx="193">
                  <c:v>3178.3248428408397</c:v>
                </c:pt>
                <c:pt idx="194">
                  <c:v>3196.3359658750128</c:v>
                </c:pt>
                <c:pt idx="195">
                  <c:v>3214.3674190369275</c:v>
                </c:pt>
                <c:pt idx="196">
                  <c:v>3232.4192252742978</c:v>
                </c:pt>
                <c:pt idx="197">
                  <c:v>3250.454951194989</c:v>
                </c:pt>
                <c:pt idx="198">
                  <c:v>3268.5474913797766</c:v>
                </c:pt>
                <c:pt idx="199">
                  <c:v>3286.6604535922443</c:v>
                </c:pt>
                <c:pt idx="200">
                  <c:v>3304.7572810110769</c:v>
                </c:pt>
                <c:pt idx="201">
                  <c:v>3322.911115169577</c:v>
                </c:pt>
                <c:pt idx="202">
                  <c:v>3341.085440541578</c:v>
                </c:pt>
                <c:pt idx="203">
                  <c:v>3359.2802802566148</c:v>
                </c:pt>
                <c:pt idx="204">
                  <c:v>3377.4589122425923</c:v>
                </c:pt>
                <c:pt idx="205">
                  <c:v>3395.6948086604598</c:v>
                </c:pt>
                <c:pt idx="206">
                  <c:v>3413.9512889199314</c:v>
                </c:pt>
                <c:pt idx="207">
                  <c:v>3432.2283762551015</c:v>
                </c:pt>
                <c:pt idx="208">
                  <c:v>3450.4891825960904</c:v>
                </c:pt>
                <c:pt idx="209">
                  <c:v>3468.8075122260593</c:v>
                </c:pt>
                <c:pt idx="210">
                  <c:v>3487.1465187444533</c:v>
                </c:pt>
                <c:pt idx="211">
                  <c:v>3505.4691891118518</c:v>
                </c:pt>
                <c:pt idx="212">
                  <c:v>3523.8495776458408</c:v>
                </c:pt>
                <c:pt idx="213">
                  <c:v>3542.2507131174916</c:v>
                </c:pt>
                <c:pt idx="214">
                  <c:v>3560.6726189449955</c:v>
                </c:pt>
                <c:pt idx="215">
                  <c:v>3579.0781147758671</c:v>
                </c:pt>
                <c:pt idx="216">
                  <c:v>3597.5415896814707</c:v>
                </c:pt>
                <c:pt idx="217">
                  <c:v>3616.0259053088125</c:v>
                </c:pt>
                <c:pt idx="218">
                  <c:v>3634.5310851819449</c:v>
                </c:pt>
                <c:pt idx="219">
                  <c:v>3653.0197808789967</c:v>
                </c:pt>
                <c:pt idx="220">
                  <c:v>3670.855864937872</c:v>
                </c:pt>
                <c:pt idx="221">
                  <c:v>3687.9997162496115</c:v>
                </c:pt>
                <c:pt idx="222">
                  <c:v>3705.1614354293934</c:v>
                </c:pt>
                <c:pt idx="223">
                  <c:v>3722.3785707387019</c:v>
                </c:pt>
                <c:pt idx="224">
                  <c:v>3739.6136894950032</c:v>
                </c:pt>
                <c:pt idx="225">
                  <c:v>3756.9044186477404</c:v>
                </c:pt>
                <c:pt idx="226">
                  <c:v>3774.1755999512952</c:v>
                </c:pt>
                <c:pt idx="227">
                  <c:v>3791.5025080097862</c:v>
                </c:pt>
                <c:pt idx="228">
                  <c:v>3808.8098273174191</c:v>
                </c:pt>
                <c:pt idx="229">
                  <c:v>3826.1729899819552</c:v>
                </c:pt>
                <c:pt idx="230">
                  <c:v>3843.5165229083777</c:v>
                </c:pt>
                <c:pt idx="231">
                  <c:v>3860.8781713051958</c:v>
                </c:pt>
                <c:pt idx="232">
                  <c:v>3878.2958383557739</c:v>
                </c:pt>
                <c:pt idx="233">
                  <c:v>3895.6938140488883</c:v>
                </c:pt>
                <c:pt idx="234">
                  <c:v>3913.1479256084908</c:v>
                </c:pt>
                <c:pt idx="235">
                  <c:v>3930.5823046086821</c:v>
                </c:pt>
                <c:pt idx="236">
                  <c:v>3948.0729369333449</c:v>
                </c:pt>
                <c:pt idx="237">
                  <c:v>3965.5437954104364</c:v>
                </c:pt>
                <c:pt idx="238">
                  <c:v>3983.0329023505656</c:v>
                </c:pt>
                <c:pt idx="239">
                  <c:v>4000.5784391989514</c:v>
                </c:pt>
                <c:pt idx="240">
                  <c:v>4018.104140128039</c:v>
                </c:pt>
                <c:pt idx="241">
                  <c:v>4035.6863890386194</c:v>
                </c:pt>
                <c:pt idx="242">
                  <c:v>4053.2487605254692</c:v>
                </c:pt>
                <c:pt idx="243">
                  <c:v>4070.8677983141042</c:v>
                </c:pt>
                <c:pt idx="244">
                  <c:v>4088.3134684891015</c:v>
                </c:pt>
                <c:pt idx="245">
                  <c:v>4104.3563989982795</c:v>
                </c:pt>
                <c:pt idx="246">
                  <c:v>4120.4145889649026</c:v>
                </c:pt>
                <c:pt idx="247">
                  <c:v>4136.5265244918592</c:v>
                </c:pt>
                <c:pt idx="248">
                  <c:v>4152.6153135226996</c:v>
                </c:pt>
                <c:pt idx="249">
                  <c:v>4168.7579505266576</c:v>
                </c:pt>
                <c:pt idx="250">
                  <c:v>4184.877396928583</c:v>
                </c:pt>
                <c:pt idx="251">
                  <c:v>4201.0507939115505</c:v>
                </c:pt>
                <c:pt idx="252">
                  <c:v>4217.2009561025352</c:v>
                </c:pt>
                <c:pt idx="253">
                  <c:v>4233.3664797458787</c:v>
                </c:pt>
                <c:pt idx="254">
                  <c:v>4249.5861081873354</c:v>
                </c:pt>
                <c:pt idx="255">
                  <c:v>4265.782435420444</c:v>
                </c:pt>
                <c:pt idx="256">
                  <c:v>4282.0329705489803</c:v>
                </c:pt>
                <c:pt idx="257">
                  <c:v>4298.2601600684447</c:v>
                </c:pt>
                <c:pt idx="258">
                  <c:v>4314.5416607771003</c:v>
                </c:pt>
                <c:pt idx="259">
                  <c:v>4330.7997713913619</c:v>
                </c:pt>
                <c:pt idx="260">
                  <c:v>4347.0733461346281</c:v>
                </c:pt>
                <c:pt idx="261">
                  <c:v>4363.4013873149588</c:v>
                </c:pt>
                <c:pt idx="262">
                  <c:v>4379.7059715405976</c:v>
                </c:pt>
                <c:pt idx="263">
                  <c:v>4396.0651259897186</c:v>
                </c:pt>
                <c:pt idx="264">
                  <c:v>4412.4007787866485</c:v>
                </c:pt>
                <c:pt idx="265">
                  <c:v>4428.7519694679122</c:v>
                </c:pt>
                <c:pt idx="266">
                  <c:v>4445.1578863609793</c:v>
                </c:pt>
                <c:pt idx="267">
                  <c:v>4461.5402344226704</c:v>
                </c:pt>
                <c:pt idx="268">
                  <c:v>4477.9381647835507</c:v>
                </c:pt>
                <c:pt idx="269">
                  <c:v>4494.3516922649424</c:v>
                </c:pt>
                <c:pt idx="270">
                  <c:v>4510.741508899222</c:v>
                </c:pt>
                <c:pt idx="271">
                  <c:v>4527.1468776236188</c:v>
                </c:pt>
                <c:pt idx="272">
                  <c:v>4543.6072106595793</c:v>
                </c:pt>
                <c:pt idx="273">
                  <c:v>4560.0437652335122</c:v>
                </c:pt>
                <c:pt idx="274">
                  <c:v>4576.4564439793457</c:v>
                </c:pt>
                <c:pt idx="275">
                  <c:v>4592.9241687761159</c:v>
                </c:pt>
                <c:pt idx="276">
                  <c:v>4609.4075195890755</c:v>
                </c:pt>
                <c:pt idx="277">
                  <c:v>4625.8669265974668</c:v>
                </c:pt>
                <c:pt idx="278">
                  <c:v>4642.3815363774884</c:v>
                </c:pt>
                <c:pt idx="279">
                  <c:v>4658.8721569459931</c:v>
                </c:pt>
                <c:pt idx="280">
                  <c:v>4675.3386905455809</c:v>
                </c:pt>
                <c:pt idx="281">
                  <c:v>4691.8207740561702</c:v>
                </c:pt>
                <c:pt idx="282">
                  <c:v>4708.3184221620777</c:v>
                </c:pt>
                <c:pt idx="283">
                  <c:v>4724.8714592981905</c:v>
                </c:pt>
                <c:pt idx="284">
                  <c:v>4741.4003182968418</c:v>
                </c:pt>
                <c:pt idx="285">
                  <c:v>4757.9049011028937</c:v>
                </c:pt>
                <c:pt idx="286">
                  <c:v>4774.4250321771842</c:v>
                </c:pt>
                <c:pt idx="287">
                  <c:v>4790.9207661150949</c:v>
                </c:pt>
                <c:pt idx="288">
                  <c:v>4807.4720000370826</c:v>
                </c:pt>
                <c:pt idx="289">
                  <c:v>4824.0388261753496</c:v>
                </c:pt>
                <c:pt idx="290">
                  <c:v>4840.5811862173823</c:v>
                </c:pt>
                <c:pt idx="291">
                  <c:v>4857.1390924561429</c:v>
                </c:pt>
                <c:pt idx="292">
                  <c:v>4873.6322630628574</c:v>
                </c:pt>
                <c:pt idx="293">
                  <c:v>4889.9801165718018</c:v>
                </c:pt>
                <c:pt idx="294">
                  <c:v>4906.3431101834503</c:v>
                </c:pt>
                <c:pt idx="295">
                  <c:v>4922.7212579193811</c:v>
                </c:pt>
                <c:pt idx="296">
                  <c:v>4939.1145738141622</c:v>
                </c:pt>
                <c:pt idx="297">
                  <c:v>4955.4424033327814</c:v>
                </c:pt>
                <c:pt idx="298">
                  <c:v>4971.7449087434443</c:v>
                </c:pt>
                <c:pt idx="299">
                  <c:v>4988.0624009195717</c:v>
                </c:pt>
                <c:pt idx="300">
                  <c:v>5004.3948936383813</c:v>
                </c:pt>
                <c:pt idx="301">
                  <c:v>5020.7424006897527</c:v>
                </c:pt>
                <c:pt idx="302">
                  <c:v>5037.1049358762475</c:v>
                </c:pt>
                <c:pt idx="303">
                  <c:v>5053.4419558742802</c:v>
                </c:pt>
                <c:pt idx="304">
                  <c:v>5069.6721747381307</c:v>
                </c:pt>
                <c:pt idx="305">
                  <c:v>5085.9577971234321</c:v>
                </c:pt>
                <c:pt idx="306">
                  <c:v>5102.2176114546601</c:v>
                </c:pt>
                <c:pt idx="307">
                  <c:v>5118.4922252431998</c:v>
                </c:pt>
                <c:pt idx="308">
                  <c:v>5134.8223940998314</c:v>
                </c:pt>
                <c:pt idx="309">
                  <c:v>5151.1266843089716</c:v>
                </c:pt>
                <c:pt idx="310">
                  <c:v>5167.3233657148685</c:v>
                </c:pt>
                <c:pt idx="311">
                  <c:v>5183.4938255673906</c:v>
                </c:pt>
                <c:pt idx="312">
                  <c:v>5199.7197460453071</c:v>
                </c:pt>
                <c:pt idx="313">
                  <c:v>5215.9603243162492</c:v>
                </c:pt>
                <c:pt idx="314">
                  <c:v>5232.2155736214327</c:v>
                </c:pt>
                <c:pt idx="315">
                  <c:v>5248.4855072140354</c:v>
                </c:pt>
                <c:pt idx="316">
                  <c:v>5264.6470255473869</c:v>
                </c:pt>
                <c:pt idx="317">
                  <c:v>5280.6998107766576</c:v>
                </c:pt>
                <c:pt idx="318">
                  <c:v>5296.1913400409958</c:v>
                </c:pt>
                <c:pt idx="319">
                  <c:v>5311.6550139454203</c:v>
                </c:pt>
                <c:pt idx="320">
                  <c:v>5327.1319178207668</c:v>
                </c:pt>
                <c:pt idx="321">
                  <c:v>5342.663277845556</c:v>
                </c:pt>
                <c:pt idx="322">
                  <c:v>5358.1667108906358</c:v>
                </c:pt>
                <c:pt idx="323">
                  <c:v>5373.6421225099912</c:v>
                </c:pt>
                <c:pt idx="324">
                  <c:v>5389.1720595551305</c:v>
                </c:pt>
                <c:pt idx="325">
                  <c:v>5404.7152832627262</c:v>
                </c:pt>
                <c:pt idx="326">
                  <c:v>5420.2304136256171</c:v>
                </c:pt>
                <c:pt idx="327">
                  <c:v>5435.8002093576733</c:v>
                </c:pt>
                <c:pt idx="328">
                  <c:v>5451.3004016766581</c:v>
                </c:pt>
                <c:pt idx="329">
                  <c:v>5466.8137846415739</c:v>
                </c:pt>
                <c:pt idx="330">
                  <c:v>5482.298836932584</c:v>
                </c:pt>
                <c:pt idx="331">
                  <c:v>5497.8385995304379</c:v>
                </c:pt>
                <c:pt idx="332">
                  <c:v>5513.3499832796733</c:v>
                </c:pt>
                <c:pt idx="333">
                  <c:v>5528.9161703675409</c:v>
                </c:pt>
                <c:pt idx="334">
                  <c:v>5544.3289091809165</c:v>
                </c:pt>
                <c:pt idx="335">
                  <c:v>5559.7129152597063</c:v>
                </c:pt>
                <c:pt idx="336">
                  <c:v>5575.109838012927</c:v>
                </c:pt>
                <c:pt idx="337">
                  <c:v>5590.519688285638</c:v>
                </c:pt>
                <c:pt idx="338">
                  <c:v>5605.9842906962367</c:v>
                </c:pt>
                <c:pt idx="339">
                  <c:v>5621.4200636870992</c:v>
                </c:pt>
                <c:pt idx="340">
                  <c:v>5636.7431450761451</c:v>
                </c:pt>
                <c:pt idx="341">
                  <c:v>5651.9951502337053</c:v>
                </c:pt>
                <c:pt idx="342">
                  <c:v>5667.3017408690457</c:v>
                </c:pt>
                <c:pt idx="343">
                  <c:v>5682.5790557391147</c:v>
                </c:pt>
                <c:pt idx="344">
                  <c:v>5697.5748665842248</c:v>
                </c:pt>
                <c:pt idx="345">
                  <c:v>5711.9520253661876</c:v>
                </c:pt>
                <c:pt idx="346">
                  <c:v>5726.2982843409191</c:v>
                </c:pt>
                <c:pt idx="347">
                  <c:v>5740.6556743140136</c:v>
                </c:pt>
                <c:pt idx="348">
                  <c:v>5754.9820511770558</c:v>
                </c:pt>
                <c:pt idx="349">
                  <c:v>5769.3616963570466</c:v>
                </c:pt>
                <c:pt idx="350">
                  <c:v>5783.7102803539628</c:v>
                </c:pt>
                <c:pt idx="351">
                  <c:v>5798.1122152383641</c:v>
                </c:pt>
                <c:pt idx="352">
                  <c:v>5812.5253243190427</c:v>
                </c:pt>
                <c:pt idx="353">
                  <c:v>5826.9919326960016</c:v>
                </c:pt>
                <c:pt idx="354">
                  <c:v>5841.5121478324027</c:v>
                </c:pt>
                <c:pt idx="355">
                  <c:v>5856.0436950383846</c:v>
                </c:pt>
                <c:pt idx="356">
                  <c:v>5870.5441675748489</c:v>
                </c:pt>
                <c:pt idx="357">
                  <c:v>5885.0983723561321</c:v>
                </c:pt>
                <c:pt idx="358">
                  <c:v>5899.6639357336726</c:v>
                </c:pt>
                <c:pt idx="359">
                  <c:v>5914.2833815403528</c:v>
                </c:pt>
                <c:pt idx="360">
                  <c:v>5928.9568184784239</c:v>
                </c:pt>
                <c:pt idx="361">
                  <c:v>5943.5991921234572</c:v>
                </c:pt>
                <c:pt idx="362">
                  <c:v>5958.2530265038113</c:v>
                </c:pt>
                <c:pt idx="363">
                  <c:v>5972.9609790161358</c:v>
                </c:pt>
                <c:pt idx="364">
                  <c:v>5987.6377951668219</c:v>
                </c:pt>
                <c:pt idx="365">
                  <c:v>6002.3260990113331</c:v>
                </c:pt>
                <c:pt idx="366">
                  <c:v>6017.0686482871224</c:v>
                </c:pt>
                <c:pt idx="367">
                  <c:v>6031.7799879608101</c:v>
                </c:pt>
                <c:pt idx="368">
                  <c:v>6046.5028423502335</c:v>
                </c:pt>
                <c:pt idx="369">
                  <c:v>6061.2800697696839</c:v>
                </c:pt>
                <c:pt idx="370">
                  <c:v>6076.026014174281</c:v>
                </c:pt>
                <c:pt idx="371">
                  <c:v>6090.7405839750718</c:v>
                </c:pt>
                <c:pt idx="372">
                  <c:v>6105.4666375264342</c:v>
                </c:pt>
                <c:pt idx="373">
                  <c:v>6119.7743549875213</c:v>
                </c:pt>
                <c:pt idx="374">
                  <c:v>6131.9422873933345</c:v>
                </c:pt>
                <c:pt idx="375">
                  <c:v>6144.1180543778755</c:v>
                </c:pt>
                <c:pt idx="376">
                  <c:v>6156.3447265048908</c:v>
                </c:pt>
                <c:pt idx="377">
                  <c:v>6168.4500191142752</c:v>
                </c:pt>
                <c:pt idx="378">
                  <c:v>6180.6061715700162</c:v>
                </c:pt>
                <c:pt idx="379">
                  <c:v>6192.7701233536218</c:v>
                </c:pt>
                <c:pt idx="380">
                  <c:v>6204.8987034190841</c:v>
                </c:pt>
                <c:pt idx="381">
                  <c:v>6217.0782411721111</c:v>
                </c:pt>
                <c:pt idx="382">
                  <c:v>6229.2655932568941</c:v>
                </c:pt>
                <c:pt idx="383">
                  <c:v>6241.4175055774876</c:v>
                </c:pt>
                <c:pt idx="384">
                  <c:v>6253.5339001816037</c:v>
                </c:pt>
                <c:pt idx="385">
                  <c:v>6265.701327697102</c:v>
                </c:pt>
                <c:pt idx="386">
                  <c:v>6277.8765340827949</c:v>
                </c:pt>
                <c:pt idx="387">
                  <c:v>6290.0161546679128</c:v>
                </c:pt>
                <c:pt idx="388">
                  <c:v>6302.2069059896694</c:v>
                </c:pt>
                <c:pt idx="389">
                  <c:v>6314.4054510929818</c:v>
                </c:pt>
                <c:pt idx="390">
                  <c:v>6326.5683421811063</c:v>
                </c:pt>
                <c:pt idx="391">
                  <c:v>6338.782462018652</c:v>
                </c:pt>
                <c:pt idx="392">
                  <c:v>6351.0043905776902</c:v>
                </c:pt>
                <c:pt idx="393">
                  <c:v>6363.1905967761732</c:v>
                </c:pt>
                <c:pt idx="394">
                  <c:v>6375.4281299247386</c:v>
                </c:pt>
                <c:pt idx="395">
                  <c:v>6387.673486763375</c:v>
                </c:pt>
                <c:pt idx="396">
                  <c:v>6399.9266722939228</c:v>
                </c:pt>
                <c:pt idx="397">
                  <c:v>6412.1876915214079</c:v>
                </c:pt>
                <c:pt idx="398">
                  <c:v>6424.4565494540693</c:v>
                </c:pt>
                <c:pt idx="399">
                  <c:v>6436.7332511033383</c:v>
                </c:pt>
                <c:pt idx="400">
                  <c:v>6449.0178014838575</c:v>
                </c:pt>
                <c:pt idx="401">
                  <c:v>6461.3102056134694</c:v>
                </c:pt>
                <c:pt idx="402">
                  <c:v>6473.6104685132241</c:v>
                </c:pt>
                <c:pt idx="403">
                  <c:v>6485.9185952073876</c:v>
                </c:pt>
                <c:pt idx="404">
                  <c:v>6498.2345907234348</c:v>
                </c:pt>
                <c:pt idx="405">
                  <c:v>6510.6023313446922</c:v>
                </c:pt>
                <c:pt idx="406">
                  <c:v>6522.9341076475221</c:v>
                </c:pt>
                <c:pt idx="407">
                  <c:v>6535.2737678918829</c:v>
                </c:pt>
                <c:pt idx="408">
                  <c:v>6547.6652726677576</c:v>
                </c:pt>
                <c:pt idx="409">
                  <c:v>6560.9444238064843</c:v>
                </c:pt>
                <c:pt idx="410">
                  <c:v>6574.7608987474887</c:v>
                </c:pt>
                <c:pt idx="411">
                  <c:v>6588.6312932643368</c:v>
                </c:pt>
                <c:pt idx="412">
                  <c:v>6602.4675484308291</c:v>
                </c:pt>
                <c:pt idx="413">
                  <c:v>6616.3136885807971</c:v>
                </c:pt>
                <c:pt idx="414">
                  <c:v>6630.213864076768</c:v>
                </c:pt>
                <c:pt idx="415">
                  <c:v>6644.0798269221368</c:v>
                </c:pt>
                <c:pt idx="416">
                  <c:v>6657.9556959749279</c:v>
                </c:pt>
                <c:pt idx="417">
                  <c:v>6671.8414783123926</c:v>
                </c:pt>
                <c:pt idx="418">
                  <c:v>6685.7371810168434</c:v>
                </c:pt>
                <c:pt idx="419">
                  <c:v>6699.6428111756477</c:v>
                </c:pt>
                <c:pt idx="420">
                  <c:v>6713.5140430197353</c:v>
                </c:pt>
                <c:pt idx="421">
                  <c:v>6727.4395176970611</c:v>
                </c:pt>
                <c:pt idx="422">
                  <c:v>6741.3305449703448</c:v>
                </c:pt>
                <c:pt idx="423">
                  <c:v>6755.2314647410194</c:v>
                </c:pt>
                <c:pt idx="424">
                  <c:v>6769.1422840540354</c:v>
                </c:pt>
                <c:pt idx="425">
                  <c:v>6783.107501005321</c:v>
                </c:pt>
                <c:pt idx="426">
                  <c:v>6797.0826950737646</c:v>
                </c:pt>
                <c:pt idx="427">
                  <c:v>6811.1124281284328</c:v>
                </c:pt>
                <c:pt idx="428">
                  <c:v>6825.1076296510964</c:v>
                </c:pt>
                <c:pt idx="429">
                  <c:v>6839.1574482402111</c:v>
                </c:pt>
                <c:pt idx="430">
                  <c:v>6853.1726858605834</c:v>
                </c:pt>
                <c:pt idx="431">
                  <c:v>6867.2426187394076</c:v>
                </c:pt>
                <c:pt idx="432">
                  <c:v>6881.4120647346826</c:v>
                </c:pt>
                <c:pt idx="433">
                  <c:v>6895.5469836221237</c:v>
                </c:pt>
                <c:pt idx="434">
                  <c:v>6909.7368442653615</c:v>
                </c:pt>
                <c:pt idx="435">
                  <c:v>6923.9369394081577</c:v>
                </c:pt>
                <c:pt idx="436">
                  <c:v>6938.1024327594359</c:v>
                </c:pt>
                <c:pt idx="437">
                  <c:v>6952.3229867079954</c:v>
                </c:pt>
                <c:pt idx="438">
                  <c:v>6966.5537972937873</c:v>
                </c:pt>
                <c:pt idx="439">
                  <c:v>6980.7948719144633</c:v>
                </c:pt>
                <c:pt idx="440">
                  <c:v>6995.0462179729939</c:v>
                </c:pt>
                <c:pt idx="441">
                  <c:v>7010.0729524186636</c:v>
                </c:pt>
                <c:pt idx="442">
                  <c:v>7025.2462314183022</c:v>
                </c:pt>
                <c:pt idx="443">
                  <c:v>7040.4311449371844</c:v>
                </c:pt>
                <c:pt idx="444">
                  <c:v>7055.6277018963847</c:v>
                </c:pt>
                <c:pt idx="445">
                  <c:v>7070.8810567899673</c:v>
                </c:pt>
                <c:pt idx="446">
                  <c:v>7086.1009620369932</c:v>
                </c:pt>
                <c:pt idx="447">
                  <c:v>7101.3325375551822</c:v>
                </c:pt>
                <c:pt idx="448">
                  <c:v>7116.6210418914743</c:v>
                </c:pt>
                <c:pt idx="449">
                  <c:v>7131.8760195006889</c:v>
                </c:pt>
                <c:pt idx="450">
                  <c:v>7147.1880133945551</c:v>
                </c:pt>
                <c:pt idx="451">
                  <c:v>7162.4664290502224</c:v>
                </c:pt>
                <c:pt idx="452">
                  <c:v>7177.8019485914811</c:v>
                </c:pt>
                <c:pt idx="453">
                  <c:v>7193.1038383042796</c:v>
                </c:pt>
                <c:pt idx="454">
                  <c:v>7208.4629196381911</c:v>
                </c:pt>
                <c:pt idx="455">
                  <c:v>7223.8338129202621</c:v>
                </c:pt>
                <c:pt idx="456">
                  <c:v>7239.1254704720213</c:v>
                </c:pt>
                <c:pt idx="457">
                  <c:v>7254.4743816424225</c:v>
                </c:pt>
                <c:pt idx="458">
                  <c:v>7269.789463930083</c:v>
                </c:pt>
                <c:pt idx="459">
                  <c:v>7285.1618875411295</c:v>
                </c:pt>
                <c:pt idx="460">
                  <c:v>7300.5004304481963</c:v>
                </c:pt>
                <c:pt idx="461">
                  <c:v>7315.8964025177384</c:v>
                </c:pt>
                <c:pt idx="462">
                  <c:v>7331.2584419826853</c:v>
                </c:pt>
                <c:pt idx="463">
                  <c:v>7346.5864529951168</c:v>
                </c:pt>
                <c:pt idx="464">
                  <c:v>7361.9719550248019</c:v>
                </c:pt>
                <c:pt idx="465">
                  <c:v>7377.3233766300445</c:v>
                </c:pt>
                <c:pt idx="466">
                  <c:v>7392.7323770590247</c:v>
                </c:pt>
                <c:pt idx="467">
                  <c:v>7408.1531576794523</c:v>
                </c:pt>
                <c:pt idx="468">
                  <c:v>7423.5397797298374</c:v>
                </c:pt>
                <c:pt idx="469">
                  <c:v>7438.9841126308347</c:v>
                </c:pt>
                <c:pt idx="470">
                  <c:v>7454.2561815876006</c:v>
                </c:pt>
                <c:pt idx="471">
                  <c:v>7468.8490137032441</c:v>
                </c:pt>
                <c:pt idx="472">
                  <c:v>7483.4062870335802</c:v>
                </c:pt>
                <c:pt idx="473">
                  <c:v>7497.9740267281459</c:v>
                </c:pt>
                <c:pt idx="474">
                  <c:v>7512.5522403120231</c:v>
                </c:pt>
                <c:pt idx="475">
                  <c:v>7527.1409353157178</c:v>
                </c:pt>
                <c:pt idx="476">
                  <c:v>7541.7401192751367</c:v>
                </c:pt>
                <c:pt idx="477">
                  <c:v>7556.3497997316181</c:v>
                </c:pt>
                <c:pt idx="478">
                  <c:v>7570.9699842319169</c:v>
                </c:pt>
                <c:pt idx="479">
                  <c:v>7585.6006803282035</c:v>
                </c:pt>
                <c:pt idx="480">
                  <c:v>7600.2418955781004</c:v>
                </c:pt>
                <c:pt idx="481">
                  <c:v>7614.8936375446428</c:v>
                </c:pt>
                <c:pt idx="482">
                  <c:v>7629.5559137963101</c:v>
                </c:pt>
                <c:pt idx="483">
                  <c:v>7644.2287319070347</c:v>
                </c:pt>
                <c:pt idx="484">
                  <c:v>7658.912099456179</c:v>
                </c:pt>
                <c:pt idx="485">
                  <c:v>7673.5595076079981</c:v>
                </c:pt>
                <c:pt idx="486">
                  <c:v>7688.2639633495874</c:v>
                </c:pt>
                <c:pt idx="487">
                  <c:v>7702.9789912763699</c:v>
                </c:pt>
                <c:pt idx="488">
                  <c:v>7717.704598989515</c:v>
                </c:pt>
                <c:pt idx="489">
                  <c:v>7732.4407940956635</c:v>
                </c:pt>
                <c:pt idx="490">
                  <c:v>7747.1875842069157</c:v>
                </c:pt>
                <c:pt idx="491">
                  <c:v>7761.8982595997277</c:v>
                </c:pt>
                <c:pt idx="492">
                  <c:v>7776.6662289906508</c:v>
                </c:pt>
                <c:pt idx="493">
                  <c:v>7791.3980317953228</c:v>
                </c:pt>
                <c:pt idx="494">
                  <c:v>7806.1872108835187</c:v>
                </c:pt>
                <c:pt idx="495">
                  <c:v>7820.9401714431497</c:v>
                </c:pt>
                <c:pt idx="496">
                  <c:v>7835.7037054832244</c:v>
                </c:pt>
                <c:pt idx="497">
                  <c:v>7850.5247393911741</c:v>
                </c:pt>
                <c:pt idx="498">
                  <c:v>7865.309476758478</c:v>
                </c:pt>
                <c:pt idx="499">
                  <c:v>7880.0578242935908</c:v>
                </c:pt>
                <c:pt idx="500">
                  <c:v>7894.8167084348825</c:v>
                </c:pt>
                <c:pt idx="501">
                  <c:v>7909.5861367099787</c:v>
                </c:pt>
                <c:pt idx="502">
                  <c:v>7924.5073775633218</c:v>
                </c:pt>
                <c:pt idx="503">
                  <c:v>7939.5807441884645</c:v>
                </c:pt>
                <c:pt idx="504">
                  <c:v>7954.6650854702475</c:v>
                </c:pt>
                <c:pt idx="505">
                  <c:v>7969.7604093991249</c:v>
                </c:pt>
                <c:pt idx="506">
                  <c:v>7984.866723971375</c:v>
                </c:pt>
                <c:pt idx="507">
                  <c:v>7999.9840371890905</c:v>
                </c:pt>
                <c:pt idx="508">
                  <c:v>8015.1123570601949</c:v>
                </c:pt>
                <c:pt idx="509">
                  <c:v>8030.2043640130642</c:v>
                </c:pt>
                <c:pt idx="510">
                  <c:v>8045.3546867796504</c:v>
                </c:pt>
                <c:pt idx="511">
                  <c:v>8060.516040233304</c:v>
                </c:pt>
                <c:pt idx="512">
                  <c:v>8075.6410014773173</c:v>
                </c:pt>
                <c:pt idx="513">
                  <c:v>8090.7769405174331</c:v>
                </c:pt>
                <c:pt idx="514">
                  <c:v>8105.9238653214143</c:v>
                </c:pt>
                <c:pt idx="515">
                  <c:v>8121.0817838627945</c:v>
                </c:pt>
                <c:pt idx="516">
                  <c:v>8136.2982729015757</c:v>
                </c:pt>
                <c:pt idx="517">
                  <c:v>8151.4306340808625</c:v>
                </c:pt>
                <c:pt idx="518">
                  <c:v>8166.6215817335788</c:v>
                </c:pt>
                <c:pt idx="519">
                  <c:v>8181.7758827511379</c:v>
                </c:pt>
                <c:pt idx="520">
                  <c:v>8196.9411483674194</c:v>
                </c:pt>
                <c:pt idx="521">
                  <c:v>8212.165127850003</c:v>
                </c:pt>
                <c:pt idx="522">
                  <c:v>8227.3523810114493</c:v>
                </c:pt>
                <c:pt idx="523">
                  <c:v>8242.5506226135094</c:v>
                </c:pt>
                <c:pt idx="524">
                  <c:v>8257.7598606066404</c:v>
                </c:pt>
                <c:pt idx="525">
                  <c:v>8272.9322232934519</c:v>
                </c:pt>
                <c:pt idx="526">
                  <c:v>8288.1634433007839</c:v>
                </c:pt>
                <c:pt idx="527">
                  <c:v>8303.4056835600768</c:v>
                </c:pt>
                <c:pt idx="528">
                  <c:v>8318.658952044816</c:v>
                </c:pt>
                <c:pt idx="529">
                  <c:v>8333.8752384698364</c:v>
                </c:pt>
                <c:pt idx="530">
                  <c:v>8349.1505526063411</c:v>
                </c:pt>
                <c:pt idx="531">
                  <c:v>8364.3888312327017</c:v>
                </c:pt>
                <c:pt idx="532">
                  <c:v>8379.6862228836944</c:v>
                </c:pt>
                <c:pt idx="533">
                  <c:v>8394.8983684394352</c:v>
                </c:pt>
                <c:pt idx="534">
                  <c:v>8409.880494435829</c:v>
                </c:pt>
                <c:pt idx="535">
                  <c:v>8424.8732217557736</c:v>
                </c:pt>
                <c:pt idx="536">
                  <c:v>8439.9248172580628</c:v>
                </c:pt>
                <c:pt idx="537">
                  <c:v>8454.9388038830693</c:v>
                </c:pt>
                <c:pt idx="538">
                  <c:v>8470.0117421640061</c:v>
                </c:pt>
                <c:pt idx="539">
                  <c:v>8485.0470182392255</c:v>
                </c:pt>
                <c:pt idx="540">
                  <c:v>8500.1413295623206</c:v>
                </c:pt>
                <c:pt idx="541">
                  <c:v>8515.1979252756555</c:v>
                </c:pt>
                <c:pt idx="542">
                  <c:v>8530.3136399473424</c:v>
                </c:pt>
                <c:pt idx="543">
                  <c:v>8545.3915855294927</c:v>
                </c:pt>
                <c:pt idx="544">
                  <c:v>8560.528733899162</c:v>
                </c:pt>
                <c:pt idx="545">
                  <c:v>8575.6280596237011</c:v>
                </c:pt>
                <c:pt idx="546">
                  <c:v>8590.7866720838047</c:v>
                </c:pt>
                <c:pt idx="547">
                  <c:v>8605.9074082672214</c:v>
                </c:pt>
                <c:pt idx="548">
                  <c:v>8621.0388438544869</c:v>
                </c:pt>
                <c:pt idx="549">
                  <c:v>8636.1322806886783</c:v>
                </c:pt>
                <c:pt idx="550">
                  <c:v>8651.2851033375555</c:v>
                </c:pt>
                <c:pt idx="551">
                  <c:v>8666.4486480946071</c:v>
                </c:pt>
                <c:pt idx="552">
                  <c:v>8681.6229225467723</c:v>
                </c:pt>
                <c:pt idx="553">
                  <c:v>8696.8079342863621</c:v>
                </c:pt>
                <c:pt idx="554">
                  <c:v>8711.954812729995</c:v>
                </c:pt>
                <c:pt idx="555">
                  <c:v>8731.4660366569533</c:v>
                </c:pt>
                <c:pt idx="556">
                  <c:v>8751.0929090738355</c:v>
                </c:pt>
                <c:pt idx="557">
                  <c:v>8770.7376902781998</c:v>
                </c:pt>
                <c:pt idx="558">
                  <c:v>8790.4003966111522</c:v>
                </c:pt>
                <c:pt idx="559">
                  <c:v>8810.0810444286944</c:v>
                </c:pt>
                <c:pt idx="560">
                  <c:v>8829.7305040477731</c:v>
                </c:pt>
                <c:pt idx="561">
                  <c:v>8849.3978483322608</c:v>
                </c:pt>
                <c:pt idx="562">
                  <c:v>8869.0830935605209</c:v>
                </c:pt>
                <c:pt idx="563">
                  <c:v>8888.7862560257581</c:v>
                </c:pt>
                <c:pt idx="564">
                  <c:v>8908.507352035982</c:v>
                </c:pt>
                <c:pt idx="565">
                  <c:v>8928.2463979140648</c:v>
                </c:pt>
                <c:pt idx="566">
                  <c:v>8947.262197617707</c:v>
                </c:pt>
                <c:pt idx="567">
                  <c:v>8966.245199359686</c:v>
                </c:pt>
                <c:pt idx="568">
                  <c:v>8985.1952880937115</c:v>
                </c:pt>
                <c:pt idx="569">
                  <c:v>9004.2114343580488</c:v>
                </c:pt>
                <c:pt idx="570">
                  <c:v>9023.1946101479662</c:v>
                </c:pt>
                <c:pt idx="571">
                  <c:v>9040.6062518759609</c:v>
                </c:pt>
                <c:pt idx="572">
                  <c:v>9055.3500403039325</c:v>
                </c:pt>
                <c:pt idx="573">
                  <c:v>9070.1534843783629</c:v>
                </c:pt>
                <c:pt idx="574">
                  <c:v>9084.9172388767638</c:v>
                </c:pt>
                <c:pt idx="575">
                  <c:v>9099.740729807434</c:v>
                </c:pt>
                <c:pt idx="576">
                  <c:v>9114.5244774143648</c:v>
                </c:pt>
                <c:pt idx="577">
                  <c:v>9129.3182149026143</c:v>
                </c:pt>
                <c:pt idx="578">
                  <c:v>9144.1718101389433</c:v>
                </c:pt>
                <c:pt idx="579">
                  <c:v>9159.0853712974222</c:v>
                </c:pt>
                <c:pt idx="580">
                  <c:v>9173.9591489633895</c:v>
                </c:pt>
                <c:pt idx="581">
                  <c:v>9188.8430111993257</c:v>
                </c:pt>
                <c:pt idx="582">
                  <c:v>9203.7369648426611</c:v>
                </c:pt>
                <c:pt idx="583">
                  <c:v>9218.6410167354752</c:v>
                </c:pt>
                <c:pt idx="584">
                  <c:v>9233.6052382506059</c:v>
                </c:pt>
                <c:pt idx="585">
                  <c:v>9248.5796397157337</c:v>
                </c:pt>
                <c:pt idx="586">
                  <c:v>9263.5642280561242</c:v>
                </c:pt>
                <c:pt idx="587">
                  <c:v>9278.5088434315403</c:v>
                </c:pt>
                <c:pt idx="588">
                  <c:v>9293.5137921894038</c:v>
                </c:pt>
                <c:pt idx="589">
                  <c:v>9308.5289486034253</c:v>
                </c:pt>
                <c:pt idx="590">
                  <c:v>9323.5543196177405</c:v>
                </c:pt>
                <c:pt idx="591">
                  <c:v>9338.5899121811944</c:v>
                </c:pt>
                <c:pt idx="592">
                  <c:v>9353.6860708886707</c:v>
                </c:pt>
                <c:pt idx="593">
                  <c:v>9368.7421616598513</c:v>
                </c:pt>
                <c:pt idx="594">
                  <c:v>9383.8084948783908</c:v>
                </c:pt>
                <c:pt idx="595">
                  <c:v>9398.9355180699931</c:v>
                </c:pt>
                <c:pt idx="596">
                  <c:v>9414.0223914053695</c:v>
                </c:pt>
                <c:pt idx="597">
                  <c:v>9429.1700374531974</c:v>
                </c:pt>
                <c:pt idx="598">
                  <c:v>9444.328022707894</c:v>
                </c:pt>
                <c:pt idx="599">
                  <c:v>9459.344619674237</c:v>
                </c:pt>
                <c:pt idx="600">
                  <c:v>9474.118304360778</c:v>
                </c:pt>
                <c:pt idx="601">
                  <c:v>9488.8511588278816</c:v>
                </c:pt>
                <c:pt idx="602">
                  <c:v>9503.6951251353676</c:v>
                </c:pt>
                <c:pt idx="603">
                  <c:v>9518.4982742689735</c:v>
                </c:pt>
                <c:pt idx="604">
                  <c:v>9533.3112579377157</c:v>
                </c:pt>
                <c:pt idx="605">
                  <c:v>9548.1340826751984</c:v>
                </c:pt>
                <c:pt idx="606">
                  <c:v>9563.0175687700812</c:v>
                </c:pt>
                <c:pt idx="607">
                  <c:v>9577.8601290216011</c:v>
                </c:pt>
                <c:pt idx="608">
                  <c:v>9592.8143129179425</c:v>
                </c:pt>
                <c:pt idx="609">
                  <c:v>9607.9821631426712</c:v>
                </c:pt>
                <c:pt idx="610">
                  <c:v>9623.1093467805185</c:v>
                </c:pt>
                <c:pt idx="611">
                  <c:v>9638.2977373410922</c:v>
                </c:pt>
                <c:pt idx="612">
                  <c:v>9653.4454062440036</c:v>
                </c:pt>
                <c:pt idx="613">
                  <c:v>9668.6543649561863</c:v>
                </c:pt>
                <c:pt idx="614">
                  <c:v>9683.8225468653472</c:v>
                </c:pt>
                <c:pt idx="615">
                  <c:v>9699.052101582578</c:v>
                </c:pt>
                <c:pt idx="616">
                  <c:v>9714.2408242767506</c:v>
                </c:pt>
                <c:pt idx="617">
                  <c:v>9729.4910028901832</c:v>
                </c:pt>
                <c:pt idx="618">
                  <c:v>9744.7002941857427</c:v>
                </c:pt>
                <c:pt idx="619">
                  <c:v>9759.9711246243023</c:v>
                </c:pt>
                <c:pt idx="620">
                  <c:v>9775.1497160286799</c:v>
                </c:pt>
                <c:pt idx="621">
                  <c:v>9790.1845376006677</c:v>
                </c:pt>
                <c:pt idx="622">
                  <c:v>9805.2293818387734</c:v>
                </c:pt>
                <c:pt idx="623">
                  <c:v>9820.2842554244035</c:v>
                </c:pt>
                <c:pt idx="624">
                  <c:v>9835.3491650434262</c:v>
                </c:pt>
                <c:pt idx="625">
                  <c:v>9850.4241173861647</c:v>
                </c:pt>
                <c:pt idx="626">
                  <c:v>9865.5091191474003</c:v>
                </c:pt>
                <c:pt idx="627">
                  <c:v>9880.6041770263782</c:v>
                </c:pt>
                <c:pt idx="628">
                  <c:v>9895.760868278112</c:v>
                </c:pt>
                <c:pt idx="629">
                  <c:v>9910.927697933832</c:v>
                </c:pt>
                <c:pt idx="630">
                  <c:v>9926.0530332090802</c:v>
                </c:pt>
                <c:pt idx="631">
                  <c:v>9941.2401254801971</c:v>
                </c:pt>
                <c:pt idx="632">
                  <c:v>9956.3856679350883</c:v>
                </c:pt>
                <c:pt idx="633">
                  <c:v>9971.6447930359045</c:v>
                </c:pt>
                <c:pt idx="634">
                  <c:v>9986.8623819155328</c:v>
                </c:pt>
                <c:pt idx="635">
                  <c:v>10002.038337544363</c:v>
                </c:pt>
                <c:pt idx="636">
                  <c:v>10017.224409923536</c:v>
                </c:pt>
                <c:pt idx="637">
                  <c:v>10032.472487289187</c:v>
                </c:pt>
                <c:pt idx="638">
                  <c:v>10047.678847991696</c:v>
                </c:pt>
                <c:pt idx="639">
                  <c:v>10062.999247441154</c:v>
                </c:pt>
                <c:pt idx="640">
                  <c:v>10078.329929668555</c:v>
                </c:pt>
                <c:pt idx="641">
                  <c:v>10093.618880892116</c:v>
                </c:pt>
                <c:pt idx="642">
                  <c:v>10108.970114469503</c:v>
                </c:pt>
                <c:pt idx="643">
                  <c:v>10124.331651520137</c:v>
                </c:pt>
                <c:pt idx="644">
                  <c:v>10139.703498959529</c:v>
                </c:pt>
                <c:pt idx="645">
                  <c:v>10155.085663707821</c:v>
                </c:pt>
                <c:pt idx="646">
                  <c:v>10170.47815268981</c:v>
                </c:pt>
                <c:pt idx="647">
                  <c:v>10185.933203362258</c:v>
                </c:pt>
                <c:pt idx="648">
                  <c:v>10201.346396660801</c:v>
                </c:pt>
                <c:pt idx="649">
                  <c:v>10216.76993501885</c:v>
                </c:pt>
                <c:pt idx="650">
                  <c:v>10232.256161265372</c:v>
                </c:pt>
                <c:pt idx="651">
                  <c:v>10247.752816835822</c:v>
                </c:pt>
                <c:pt idx="652">
                  <c:v>10263.312315274445</c:v>
                </c:pt>
                <c:pt idx="653">
                  <c:v>10278.829885862229</c:v>
                </c:pt>
                <c:pt idx="654">
                  <c:v>10294.410384133882</c:v>
                </c:pt>
                <c:pt idx="655">
                  <c:v>10310.001410678389</c:v>
                </c:pt>
                <c:pt idx="656">
                  <c:v>10325.550424413934</c:v>
                </c:pt>
                <c:pt idx="657">
                  <c:v>10341.21507704802</c:v>
                </c:pt>
                <c:pt idx="658">
                  <c:v>10356.890350473204</c:v>
                </c:pt>
                <c:pt idx="659">
                  <c:v>10372.576251890494</c:v>
                </c:pt>
                <c:pt idx="660">
                  <c:v>10388.272788505763</c:v>
                </c:pt>
                <c:pt idx="661">
                  <c:v>10403.979967529793</c:v>
                </c:pt>
                <c:pt idx="662">
                  <c:v>10419.697796178234</c:v>
                </c:pt>
                <c:pt idx="663">
                  <c:v>10435.479079773047</c:v>
                </c:pt>
                <c:pt idx="664">
                  <c:v>10451.323933293093</c:v>
                </c:pt>
                <c:pt idx="665">
                  <c:v>10467.126731705357</c:v>
                </c:pt>
                <c:pt idx="666">
                  <c:v>10482.993186708516</c:v>
                </c:pt>
                <c:pt idx="667">
                  <c:v>10498.870471550192</c:v>
                </c:pt>
                <c:pt idx="668">
                  <c:v>10514.811572159846</c:v>
                </c:pt>
                <c:pt idx="669">
                  <c:v>10530.763589839973</c:v>
                </c:pt>
                <c:pt idx="670">
                  <c:v>10546.72653206701</c:v>
                </c:pt>
                <c:pt idx="671">
                  <c:v>10562.70040632249</c:v>
                </c:pt>
                <c:pt idx="672">
                  <c:v>10578.685220093086</c:v>
                </c:pt>
                <c:pt idx="673">
                  <c:v>10594.680980870591</c:v>
                </c:pt>
                <c:pt idx="674">
                  <c:v>10610.634499551188</c:v>
                </c:pt>
                <c:pt idx="675">
                  <c:v>10626.705373439172</c:v>
                </c:pt>
                <c:pt idx="676">
                  <c:v>10642.840559578564</c:v>
                </c:pt>
                <c:pt idx="677">
                  <c:v>10658.986869152719</c:v>
                </c:pt>
                <c:pt idx="678">
                  <c:v>10675.144309830017</c:v>
                </c:pt>
                <c:pt idx="679">
                  <c:v>10691.312889284131</c:v>
                </c:pt>
                <c:pt idx="680">
                  <c:v>10707.49261519402</c:v>
                </c:pt>
                <c:pt idx="681">
                  <c:v>10723.736948967044</c:v>
                </c:pt>
                <c:pt idx="682">
                  <c:v>10739.992518392224</c:v>
                </c:pt>
                <c:pt idx="683">
                  <c:v>10756.312859055544</c:v>
                </c:pt>
                <c:pt idx="684">
                  <c:v>10772.590960127738</c:v>
                </c:pt>
                <c:pt idx="685">
                  <c:v>10788.933922216695</c:v>
                </c:pt>
                <c:pt idx="686">
                  <c:v>10805.288225372329</c:v>
                </c:pt>
                <c:pt idx="687">
                  <c:v>10821.600201036606</c:v>
                </c:pt>
                <c:pt idx="688">
                  <c:v>10837.977172692881</c:v>
                </c:pt>
                <c:pt idx="689">
                  <c:v>10854.311758188169</c:v>
                </c:pt>
                <c:pt idx="690">
                  <c:v>10870.711429765603</c:v>
                </c:pt>
                <c:pt idx="691">
                  <c:v>10887.068656431116</c:v>
                </c:pt>
                <c:pt idx="692">
                  <c:v>10903.491059393802</c:v>
                </c:pt>
                <c:pt idx="693">
                  <c:v>10919.924858550528</c:v>
                </c:pt>
                <c:pt idx="694">
                  <c:v>10936.370061809588</c:v>
                </c:pt>
                <c:pt idx="695">
                  <c:v>10952.826677084768</c:v>
                </c:pt>
                <c:pt idx="696">
                  <c:v>10969.348724644704</c:v>
                </c:pt>
                <c:pt idx="697">
                  <c:v>10985.828225196885</c:v>
                </c:pt>
                <c:pt idx="698">
                  <c:v>11002.373249026765</c:v>
                </c:pt>
                <c:pt idx="699">
                  <c:v>11018.875666681197</c:v>
                </c:pt>
                <c:pt idx="700">
                  <c:v>11034.84791605455</c:v>
                </c:pt>
                <c:pt idx="701">
                  <c:v>11050.55989857528</c:v>
                </c:pt>
                <c:pt idx="702">
                  <c:v>11066.336480840537</c:v>
                </c:pt>
                <c:pt idx="703">
                  <c:v>11082.069239591372</c:v>
                </c:pt>
                <c:pt idx="704">
                  <c:v>11097.81237885394</c:v>
                </c:pt>
                <c:pt idx="705">
                  <c:v>11113.620245961831</c:v>
                </c:pt>
                <c:pt idx="706">
                  <c:v>11129.438579115778</c:v>
                </c:pt>
                <c:pt idx="707">
                  <c:v>11145.267385245123</c:v>
                </c:pt>
                <c:pt idx="708">
                  <c:v>11161.161119896595</c:v>
                </c:pt>
                <c:pt idx="709">
                  <c:v>11177.010928832369</c:v>
                </c:pt>
                <c:pt idx="710">
                  <c:v>11192.925752442126</c:v>
                </c:pt>
                <c:pt idx="711">
                  <c:v>11208.796592052367</c:v>
                </c:pt>
                <c:pt idx="712">
                  <c:v>11224.732532602779</c:v>
                </c:pt>
                <c:pt idx="713">
                  <c:v>11240.624430792503</c:v>
                </c:pt>
                <c:pt idx="714">
                  <c:v>11256.581516303046</c:v>
                </c:pt>
                <c:pt idx="715">
                  <c:v>11272.494501014309</c:v>
                </c:pt>
                <c:pt idx="716">
                  <c:v>11288.418021367719</c:v>
                </c:pt>
                <c:pt idx="717">
                  <c:v>11304.406858753577</c:v>
                </c:pt>
                <c:pt idx="718">
                  <c:v>11320.406318391606</c:v>
                </c:pt>
                <c:pt idx="719">
                  <c:v>11336.471254681783</c:v>
                </c:pt>
                <c:pt idx="720">
                  <c:v>11352.49201643772</c:v>
                </c:pt>
                <c:pt idx="721">
                  <c:v>11368.578342023211</c:v>
                </c:pt>
                <c:pt idx="722">
                  <c:v>11384.675391239141</c:v>
                </c:pt>
                <c:pt idx="723">
                  <c:v>11400.72817761837</c:v>
                </c:pt>
                <c:pt idx="724">
                  <c:v>11416.846658885641</c:v>
                </c:pt>
                <c:pt idx="725">
                  <c:v>11432.975885219312</c:v>
                </c:pt>
                <c:pt idx="726">
                  <c:v>11449.060760237286</c:v>
                </c:pt>
                <c:pt idx="727">
                  <c:v>11465.211461463787</c:v>
                </c:pt>
                <c:pt idx="728">
                  <c:v>11481.372929235482</c:v>
                </c:pt>
                <c:pt idx="729">
                  <c:v>11497.489957035634</c:v>
                </c:pt>
                <c:pt idx="730">
                  <c:v>11513.672942627296</c:v>
                </c:pt>
                <c:pt idx="731">
                  <c:v>11529.866716285876</c:v>
                </c:pt>
                <c:pt idx="732">
                  <c:v>11546.071285203036</c:v>
                </c:pt>
                <c:pt idx="733">
                  <c:v>11562.286656575216</c:v>
                </c:pt>
                <c:pt idx="734">
                  <c:v>11578.512837603661</c:v>
                </c:pt>
                <c:pt idx="735">
                  <c:v>11594.749835494413</c:v>
                </c:pt>
                <c:pt idx="736">
                  <c:v>11611.053129318008</c:v>
                </c:pt>
                <c:pt idx="737">
                  <c:v>11627.311819549937</c:v>
                </c:pt>
                <c:pt idx="738">
                  <c:v>11643.636894284904</c:v>
                </c:pt>
                <c:pt idx="739">
                  <c:v>11659.917305838602</c:v>
                </c:pt>
                <c:pt idx="740">
                  <c:v>11676.264190583846</c:v>
                </c:pt>
                <c:pt idx="741">
                  <c:v>11692.566352478605</c:v>
                </c:pt>
                <c:pt idx="742">
                  <c:v>11708.935076371921</c:v>
                </c:pt>
                <c:pt idx="743">
                  <c:v>11725.25901766581</c:v>
                </c:pt>
                <c:pt idx="744">
                  <c:v>11741.649609883907</c:v>
                </c:pt>
                <c:pt idx="745">
                  <c:v>11757.995359673827</c:v>
                </c:pt>
                <c:pt idx="746">
                  <c:v>11774.407849432397</c:v>
                </c:pt>
                <c:pt idx="747">
                  <c:v>11790.775436854105</c:v>
                </c:pt>
                <c:pt idx="748">
                  <c:v>11807.153935403889</c:v>
                </c:pt>
                <c:pt idx="749">
                  <c:v>11823.599307636066</c:v>
                </c:pt>
                <c:pt idx="750">
                  <c:v>11839.999687569396</c:v>
                </c:pt>
                <c:pt idx="751">
                  <c:v>11856.467030527177</c:v>
                </c:pt>
                <c:pt idx="752">
                  <c:v>11872.889321077202</c:v>
                </c:pt>
                <c:pt idx="753">
                  <c:v>11889.378664113083</c:v>
                </c:pt>
                <c:pt idx="754">
                  <c:v>11905.822894551997</c:v>
                </c:pt>
                <c:pt idx="755">
                  <c:v>11922.334267057699</c:v>
                </c:pt>
                <c:pt idx="756">
                  <c:v>11938.800466696799</c:v>
                </c:pt>
                <c:pt idx="757">
                  <c:v>11955.333898103298</c:v>
                </c:pt>
                <c:pt idx="758">
                  <c:v>11971.82209629305</c:v>
                </c:pt>
                <c:pt idx="759">
                  <c:v>11988.377616070647</c:v>
                </c:pt>
                <c:pt idx="760">
                  <c:v>12004.887842200722</c:v>
                </c:pt>
                <c:pt idx="761">
                  <c:v>12021.409074546149</c:v>
                </c:pt>
                <c:pt idx="762">
                  <c:v>12037.997763358431</c:v>
                </c:pt>
                <c:pt idx="763">
                  <c:v>12054.541067777222</c:v>
                </c:pt>
                <c:pt idx="764">
                  <c:v>12071.151918783515</c:v>
                </c:pt>
                <c:pt idx="765">
                  <c:v>12087.717324763582</c:v>
                </c:pt>
                <c:pt idx="766">
                  <c:v>12104.350367572182</c:v>
                </c:pt>
                <c:pt idx="767">
                  <c:v>12120.937904640808</c:v>
                </c:pt>
                <c:pt idx="768">
                  <c:v>12136.913144162432</c:v>
                </c:pt>
                <c:pt idx="769">
                  <c:v>12151.76457286014</c:v>
                </c:pt>
                <c:pt idx="770">
                  <c:v>12166.624854172866</c:v>
                </c:pt>
                <c:pt idx="771">
                  <c:v>12181.493993377459</c:v>
                </c:pt>
                <c:pt idx="772">
                  <c:v>12196.315192628725</c:v>
                </c:pt>
                <c:pt idx="773">
                  <c:v>12211.202029601076</c:v>
                </c:pt>
                <c:pt idx="774">
                  <c:v>12226.097740294545</c:v>
                </c:pt>
                <c:pt idx="775">
                  <c:v>12241.002329998573</c:v>
                </c:pt>
                <c:pt idx="776">
                  <c:v>12255.915804005737</c:v>
                </c:pt>
                <c:pt idx="777">
                  <c:v>12270.838167611784</c:v>
                </c:pt>
                <c:pt idx="778">
                  <c:v>12285.712419662417</c:v>
                </c:pt>
                <c:pt idx="779">
                  <c:v>12300.652544385766</c:v>
                </c:pt>
                <c:pt idx="780">
                  <c:v>12315.601574593902</c:v>
                </c:pt>
                <c:pt idx="781">
                  <c:v>12330.559515595203</c:v>
                </c:pt>
                <c:pt idx="782">
                  <c:v>12345.526372701193</c:v>
                </c:pt>
                <c:pt idx="783">
                  <c:v>12360.444974799202</c:v>
                </c:pt>
                <c:pt idx="784">
                  <c:v>12375.429645980208</c:v>
                </c:pt>
                <c:pt idx="785">
                  <c:v>12390.423249199188</c:v>
                </c:pt>
                <c:pt idx="786">
                  <c:v>12405.425789780333</c:v>
                </c:pt>
                <c:pt idx="787">
                  <c:v>12420.437273051017</c:v>
                </c:pt>
                <c:pt idx="788">
                  <c:v>12435.400357433415</c:v>
                </c:pt>
                <c:pt idx="789">
                  <c:v>12450.429707894727</c:v>
                </c:pt>
                <c:pt idx="790">
                  <c:v>12465.468017026365</c:v>
                </c:pt>
                <c:pt idx="791">
                  <c:v>12480.515290168396</c:v>
                </c:pt>
                <c:pt idx="792">
                  <c:v>12495.571532664075</c:v>
                </c:pt>
                <c:pt idx="793">
                  <c:v>12510.636749859837</c:v>
                </c:pt>
                <c:pt idx="794">
                  <c:v>12525.653394922461</c:v>
                </c:pt>
                <c:pt idx="795">
                  <c:v>12540.736543264842</c:v>
                </c:pt>
                <c:pt idx="796">
                  <c:v>12555.828682345302</c:v>
                </c:pt>
                <c:pt idx="797">
                  <c:v>12570.929817523023</c:v>
                </c:pt>
                <c:pt idx="798">
                  <c:v>12586.039954160384</c:v>
                </c:pt>
                <c:pt idx="799">
                  <c:v>12601.101373838741</c:v>
                </c:pt>
                <c:pt idx="800">
                  <c:v>12616.229495087411</c:v>
                </c:pt>
                <c:pt idx="801">
                  <c:v>12631.366633881527</c:v>
                </c:pt>
                <c:pt idx="802">
                  <c:v>12646.512795596262</c:v>
                </c:pt>
                <c:pt idx="803">
                  <c:v>12661.667985609982</c:v>
                </c:pt>
                <c:pt idx="804">
                  <c:v>12676.832209304261</c:v>
                </c:pt>
                <c:pt idx="805">
                  <c:v>12691.947541656129</c:v>
                </c:pt>
                <c:pt idx="806">
                  <c:v>12707.303709549926</c:v>
                </c:pt>
                <c:pt idx="807">
                  <c:v>12723.481151717118</c:v>
                </c:pt>
                <c:pt idx="808">
                  <c:v>12739.61082398343</c:v>
                </c:pt>
                <c:pt idx="809">
                  <c:v>12755.808773655441</c:v>
                </c:pt>
                <c:pt idx="810">
                  <c:v>12772.017005258745</c:v>
                </c:pt>
                <c:pt idx="811">
                  <c:v>12788.177376043939</c:v>
                </c:pt>
                <c:pt idx="812">
                  <c:v>12804.406154182614</c:v>
                </c:pt>
                <c:pt idx="813">
                  <c:v>12820.645233821486</c:v>
                </c:pt>
                <c:pt idx="814">
                  <c:v>12836.836361551979</c:v>
                </c:pt>
                <c:pt idx="815">
                  <c:v>12853.096026831065</c:v>
                </c:pt>
                <c:pt idx="816">
                  <c:v>12869.366013216502</c:v>
                </c:pt>
                <c:pt idx="817">
                  <c:v>12885.587956429919</c:v>
                </c:pt>
                <c:pt idx="818">
                  <c:v>12901.878567634829</c:v>
                </c:pt>
                <c:pt idx="819">
                  <c:v>12918.179519589559</c:v>
                </c:pt>
                <c:pt idx="820">
                  <c:v>12934.432336934928</c:v>
                </c:pt>
                <c:pt idx="821">
                  <c:v>12950.753952962959</c:v>
                </c:pt>
                <c:pt idx="822">
                  <c:v>12967.085929421666</c:v>
                </c:pt>
                <c:pt idx="823">
                  <c:v>12983.369679659641</c:v>
                </c:pt>
                <c:pt idx="824">
                  <c:v>12999.722359520187</c:v>
                </c:pt>
                <c:pt idx="825">
                  <c:v>13016.085419529712</c:v>
                </c:pt>
                <c:pt idx="826">
                  <c:v>13032.400161532796</c:v>
                </c:pt>
                <c:pt idx="827">
                  <c:v>13048.783964347555</c:v>
                </c:pt>
                <c:pt idx="828">
                  <c:v>13065.178167067124</c:v>
                </c:pt>
                <c:pt idx="829">
                  <c:v>13081.523959819857</c:v>
                </c:pt>
                <c:pt idx="830">
                  <c:v>13097.938944823049</c:v>
                </c:pt>
                <c:pt idx="831">
                  <c:v>13114.364349524494</c:v>
                </c:pt>
                <c:pt idx="832">
                  <c:v>13130.741252123671</c:v>
                </c:pt>
                <c:pt idx="833">
                  <c:v>13147.18747866225</c:v>
                </c:pt>
                <c:pt idx="834">
                  <c:v>13163.644144730206</c:v>
                </c:pt>
                <c:pt idx="835">
                  <c:v>13180.052216385096</c:v>
                </c:pt>
                <c:pt idx="836">
                  <c:v>13196.529743918982</c:v>
                </c:pt>
                <c:pt idx="837">
                  <c:v>13213.017730851087</c:v>
                </c:pt>
                <c:pt idx="838">
                  <c:v>13229.457030883665</c:v>
                </c:pt>
                <c:pt idx="839">
                  <c:v>13245.965918985932</c:v>
                </c:pt>
                <c:pt idx="840">
                  <c:v>13262.485286393094</c:v>
                </c:pt>
                <c:pt idx="841">
                  <c:v>13278.955874238218</c:v>
                </c:pt>
                <c:pt idx="842">
                  <c:v>13295.733395959265</c:v>
                </c:pt>
                <c:pt idx="843">
                  <c:v>13312.996458915904</c:v>
                </c:pt>
                <c:pt idx="844">
                  <c:v>13330.270951372222</c:v>
                </c:pt>
                <c:pt idx="845">
                  <c:v>13347.616302442666</c:v>
                </c:pt>
                <c:pt idx="846">
                  <c:v>13364.913715946732</c:v>
                </c:pt>
                <c:pt idx="847">
                  <c:v>13382.222581693226</c:v>
                </c:pt>
                <c:pt idx="848">
                  <c:v>13399.602447050387</c:v>
                </c:pt>
                <c:pt idx="849">
                  <c:v>13416.934279453602</c:v>
                </c:pt>
                <c:pt idx="850">
                  <c:v>13434.27758688725</c:v>
                </c:pt>
                <c:pt idx="851">
                  <c:v>13451.692035208673</c:v>
                </c:pt>
                <c:pt idx="852">
                  <c:v>13469.058354998768</c:v>
                </c:pt>
                <c:pt idx="853">
                  <c:v>13486.436172652651</c:v>
                </c:pt>
                <c:pt idx="854">
                  <c:v>13503.885272752525</c:v>
                </c:pt>
                <c:pt idx="855">
                  <c:v>13521.28614855351</c:v>
                </c:pt>
                <c:pt idx="856">
                  <c:v>13538.698545097064</c:v>
                </c:pt>
                <c:pt idx="857">
                  <c:v>13556.122470010832</c:v>
                </c:pt>
                <c:pt idx="858">
                  <c:v>13573.617866498958</c:v>
                </c:pt>
                <c:pt idx="859">
                  <c:v>13591.064910738274</c:v>
                </c:pt>
                <c:pt idx="860">
                  <c:v>13608.523506287289</c:v>
                </c:pt>
                <c:pt idx="861">
                  <c:v>13626.053715626889</c:v>
                </c:pt>
                <c:pt idx="862">
                  <c:v>13643.535476504972</c:v>
                </c:pt>
                <c:pt idx="863">
                  <c:v>13661.028811677888</c:v>
                </c:pt>
                <c:pt idx="864">
                  <c:v>13678.593903140596</c:v>
                </c:pt>
                <c:pt idx="865">
                  <c:v>13696.110449737622</c:v>
                </c:pt>
                <c:pt idx="866">
                  <c:v>13713.638593660346</c:v>
                </c:pt>
                <c:pt idx="867">
                  <c:v>13731.238636655635</c:v>
                </c:pt>
                <c:pt idx="868">
                  <c:v>13748.790038189249</c:v>
                </c:pt>
                <c:pt idx="869">
                  <c:v>13766.353060125255</c:v>
                </c:pt>
                <c:pt idx="870">
                  <c:v>13783.988124200701</c:v>
                </c:pt>
                <c:pt idx="871">
                  <c:v>13801.574450026274</c:v>
                </c:pt>
                <c:pt idx="872">
                  <c:v>13819.172419376846</c:v>
                </c:pt>
                <c:pt idx="873">
                  <c:v>13836.842574218424</c:v>
                </c:pt>
                <c:pt idx="874">
                  <c:v>13854.463893829328</c:v>
                </c:pt>
                <c:pt idx="875">
                  <c:v>13872.096880133869</c:v>
                </c:pt>
                <c:pt idx="876">
                  <c:v>13889.802195566204</c:v>
                </c:pt>
                <c:pt idx="877">
                  <c:v>13906.608863003275</c:v>
                </c:pt>
                <c:pt idx="878">
                  <c:v>13923.426122266321</c:v>
                </c:pt>
                <c:pt idx="879">
                  <c:v>13940.253980030475</c:v>
                </c:pt>
                <c:pt idx="880">
                  <c:v>13957.092442975087</c:v>
                </c:pt>
                <c:pt idx="881">
                  <c:v>13973.941517783702</c:v>
                </c:pt>
                <c:pt idx="882">
                  <c:v>13990.801211144086</c:v>
                </c:pt>
                <c:pt idx="883">
                  <c:v>14007.610606953032</c:v>
                </c:pt>
                <c:pt idx="884">
                  <c:v>14024.491519102607</c:v>
                </c:pt>
                <c:pt idx="885">
                  <c:v>14041.383069868336</c:v>
                </c:pt>
                <c:pt idx="886">
                  <c:v>14058.285265954857</c:v>
                </c:pt>
                <c:pt idx="887">
                  <c:v>14075.198114071007</c:v>
                </c:pt>
                <c:pt idx="888">
                  <c:v>14092.121620929865</c:v>
                </c:pt>
                <c:pt idx="889">
                  <c:v>14109.055793248746</c:v>
                </c:pt>
                <c:pt idx="890">
                  <c:v>14125.939445822984</c:v>
                </c:pt>
                <c:pt idx="891">
                  <c:v>14142.894930666645</c:v>
                </c:pt>
                <c:pt idx="892">
                  <c:v>14159.861101123341</c:v>
                </c:pt>
                <c:pt idx="893">
                  <c:v>14176.837963927328</c:v>
                </c:pt>
                <c:pt idx="894">
                  <c:v>14193.825525817088</c:v>
                </c:pt>
                <c:pt idx="895">
                  <c:v>14210.823793535355</c:v>
                </c:pt>
                <c:pt idx="896">
                  <c:v>14227.832773829101</c:v>
                </c:pt>
                <c:pt idx="897">
                  <c:v>14244.791011203459</c:v>
                </c:pt>
                <c:pt idx="898">
                  <c:v>14261.82139817166</c:v>
                </c:pt>
                <c:pt idx="899">
                  <c:v>14278.862517957403</c:v>
                </c:pt>
                <c:pt idx="900">
                  <c:v>14295.91437732468</c:v>
                </c:pt>
                <c:pt idx="901">
                  <c:v>14312.976983041741</c:v>
                </c:pt>
                <c:pt idx="902">
                  <c:v>14330.050341881106</c:v>
                </c:pt>
                <c:pt idx="903">
                  <c:v>14347.13446061956</c:v>
                </c:pt>
                <c:pt idx="904">
                  <c:v>14364.16761227797</c:v>
                </c:pt>
                <c:pt idx="905">
                  <c:v>14381.211459731179</c:v>
                </c:pt>
                <c:pt idx="906">
                  <c:v>14397.15343007049</c:v>
                </c:pt>
                <c:pt idx="907">
                  <c:v>14413.104757951669</c:v>
                </c:pt>
                <c:pt idx="908">
                  <c:v>14429.065448867364</c:v>
                </c:pt>
                <c:pt idx="909">
                  <c:v>14444.97359076547</c:v>
                </c:pt>
                <c:pt idx="910">
                  <c:v>14460.952987896964</c:v>
                </c:pt>
                <c:pt idx="911">
                  <c:v>14476.941764538924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4-4B00-90C9-1DDD0FC25D35}"/>
            </c:ext>
          </c:extLst>
        </c:ser>
        <c:ser>
          <c:idx val="0"/>
          <c:order val="1"/>
          <c:tx>
            <c:v>Depth  (measured)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'NUNR-012'!$C$15:$C$926</c:f>
              <c:numCache>
                <c:formatCode>0.00</c:formatCode>
                <c:ptCount val="912"/>
                <c:pt idx="0">
                  <c:v>0</c:v>
                </c:pt>
                <c:pt idx="1">
                  <c:v>9.49</c:v>
                </c:pt>
                <c:pt idx="2">
                  <c:v>19.38</c:v>
                </c:pt>
                <c:pt idx="3">
                  <c:v>29.27</c:v>
                </c:pt>
                <c:pt idx="4">
                  <c:v>39.159999999999997</c:v>
                </c:pt>
                <c:pt idx="5">
                  <c:v>44.59</c:v>
                </c:pt>
                <c:pt idx="6">
                  <c:v>49.55</c:v>
                </c:pt>
                <c:pt idx="7">
                  <c:v>54.5</c:v>
                </c:pt>
                <c:pt idx="8">
                  <c:v>59.46</c:v>
                </c:pt>
                <c:pt idx="9">
                  <c:v>64.42</c:v>
                </c:pt>
                <c:pt idx="10">
                  <c:v>69.38</c:v>
                </c:pt>
                <c:pt idx="11">
                  <c:v>74.33</c:v>
                </c:pt>
                <c:pt idx="12">
                  <c:v>79.290000000000006</c:v>
                </c:pt>
                <c:pt idx="13">
                  <c:v>84.25</c:v>
                </c:pt>
                <c:pt idx="14">
                  <c:v>89.21</c:v>
                </c:pt>
                <c:pt idx="15">
                  <c:v>94.17</c:v>
                </c:pt>
                <c:pt idx="16">
                  <c:v>99.12</c:v>
                </c:pt>
                <c:pt idx="17">
                  <c:v>104.08</c:v>
                </c:pt>
                <c:pt idx="18">
                  <c:v>109.04</c:v>
                </c:pt>
                <c:pt idx="19">
                  <c:v>114</c:v>
                </c:pt>
                <c:pt idx="20">
                  <c:v>118.95</c:v>
                </c:pt>
                <c:pt idx="21">
                  <c:v>123.91</c:v>
                </c:pt>
                <c:pt idx="22">
                  <c:v>128.87</c:v>
                </c:pt>
                <c:pt idx="23">
                  <c:v>133.83000000000001</c:v>
                </c:pt>
                <c:pt idx="24">
                  <c:v>138.78</c:v>
                </c:pt>
                <c:pt idx="25">
                  <c:v>143.74</c:v>
                </c:pt>
                <c:pt idx="26">
                  <c:v>148.69999999999999</c:v>
                </c:pt>
                <c:pt idx="27">
                  <c:v>153.66</c:v>
                </c:pt>
                <c:pt idx="28">
                  <c:v>158.61000000000001</c:v>
                </c:pt>
                <c:pt idx="29">
                  <c:v>163.57</c:v>
                </c:pt>
                <c:pt idx="30">
                  <c:v>168.53</c:v>
                </c:pt>
                <c:pt idx="31">
                  <c:v>173.49</c:v>
                </c:pt>
                <c:pt idx="32">
                  <c:v>178.45</c:v>
                </c:pt>
                <c:pt idx="33">
                  <c:v>183.4</c:v>
                </c:pt>
                <c:pt idx="34">
                  <c:v>188.36</c:v>
                </c:pt>
                <c:pt idx="35">
                  <c:v>193.32</c:v>
                </c:pt>
                <c:pt idx="36">
                  <c:v>198.28</c:v>
                </c:pt>
                <c:pt idx="37">
                  <c:v>203.23</c:v>
                </c:pt>
                <c:pt idx="38">
                  <c:v>208.19</c:v>
                </c:pt>
                <c:pt idx="39">
                  <c:v>213.15</c:v>
                </c:pt>
                <c:pt idx="40">
                  <c:v>218.11</c:v>
                </c:pt>
                <c:pt idx="41">
                  <c:v>223.06</c:v>
                </c:pt>
                <c:pt idx="42">
                  <c:v>228.02</c:v>
                </c:pt>
                <c:pt idx="43">
                  <c:v>232.98</c:v>
                </c:pt>
                <c:pt idx="44">
                  <c:v>237.94</c:v>
                </c:pt>
                <c:pt idx="45">
                  <c:v>242.9</c:v>
                </c:pt>
                <c:pt idx="46">
                  <c:v>247.85</c:v>
                </c:pt>
                <c:pt idx="47">
                  <c:v>252.81</c:v>
                </c:pt>
                <c:pt idx="48">
                  <c:v>257.77</c:v>
                </c:pt>
                <c:pt idx="49">
                  <c:v>262.73</c:v>
                </c:pt>
                <c:pt idx="50">
                  <c:v>267.68</c:v>
                </c:pt>
                <c:pt idx="51">
                  <c:v>272.64</c:v>
                </c:pt>
                <c:pt idx="52">
                  <c:v>277.60000000000002</c:v>
                </c:pt>
                <c:pt idx="53">
                  <c:v>282.56</c:v>
                </c:pt>
                <c:pt idx="54">
                  <c:v>287.51</c:v>
                </c:pt>
                <c:pt idx="55">
                  <c:v>292.47000000000003</c:v>
                </c:pt>
                <c:pt idx="56">
                  <c:v>297.43</c:v>
                </c:pt>
                <c:pt idx="57">
                  <c:v>302.39</c:v>
                </c:pt>
                <c:pt idx="58">
                  <c:v>307.35000000000002</c:v>
                </c:pt>
                <c:pt idx="59">
                  <c:v>312.3</c:v>
                </c:pt>
                <c:pt idx="60">
                  <c:v>317.26</c:v>
                </c:pt>
                <c:pt idx="61">
                  <c:v>322.22000000000003</c:v>
                </c:pt>
                <c:pt idx="62">
                  <c:v>327.18</c:v>
                </c:pt>
                <c:pt idx="63" formatCode="0.0">
                  <c:v>332.13</c:v>
                </c:pt>
                <c:pt idx="64" formatCode="0.0">
                  <c:v>337.09</c:v>
                </c:pt>
                <c:pt idx="65" formatCode="0.0">
                  <c:v>342.05</c:v>
                </c:pt>
                <c:pt idx="66" formatCode="0.0">
                  <c:v>347.01</c:v>
                </c:pt>
                <c:pt idx="67" formatCode="0.0">
                  <c:v>351.96</c:v>
                </c:pt>
                <c:pt idx="68" formatCode="0.0">
                  <c:v>356.92</c:v>
                </c:pt>
                <c:pt idx="69" formatCode="0.0">
                  <c:v>361.88</c:v>
                </c:pt>
                <c:pt idx="70" formatCode="0.0">
                  <c:v>366.84</c:v>
                </c:pt>
                <c:pt idx="71" formatCode="0.0">
                  <c:v>371.8</c:v>
                </c:pt>
                <c:pt idx="72" formatCode="0.0">
                  <c:v>376.75</c:v>
                </c:pt>
                <c:pt idx="73" formatCode="0.0">
                  <c:v>381.71</c:v>
                </c:pt>
                <c:pt idx="74" formatCode="0.0">
                  <c:v>386.67</c:v>
                </c:pt>
                <c:pt idx="75" formatCode="0.0">
                  <c:v>391.63</c:v>
                </c:pt>
                <c:pt idx="76" formatCode="0.0">
                  <c:v>396.58</c:v>
                </c:pt>
                <c:pt idx="77" formatCode="0.0">
                  <c:v>401.54</c:v>
                </c:pt>
                <c:pt idx="78" formatCode="0.0">
                  <c:v>406.5</c:v>
                </c:pt>
                <c:pt idx="79" formatCode="0.0">
                  <c:v>411.46</c:v>
                </c:pt>
                <c:pt idx="80" formatCode="0.0">
                  <c:v>416.41</c:v>
                </c:pt>
                <c:pt idx="81" formatCode="0.0">
                  <c:v>421.37</c:v>
                </c:pt>
                <c:pt idx="82" formatCode="0.0">
                  <c:v>426.33</c:v>
                </c:pt>
                <c:pt idx="83" formatCode="0.0">
                  <c:v>431.29</c:v>
                </c:pt>
                <c:pt idx="84" formatCode="0.0">
                  <c:v>436.24</c:v>
                </c:pt>
                <c:pt idx="85" formatCode="0.0">
                  <c:v>441.2</c:v>
                </c:pt>
                <c:pt idx="86" formatCode="0.0">
                  <c:v>446.16</c:v>
                </c:pt>
                <c:pt idx="87" formatCode="0.0">
                  <c:v>451.12</c:v>
                </c:pt>
                <c:pt idx="88" formatCode="0.0">
                  <c:v>456.08</c:v>
                </c:pt>
                <c:pt idx="89" formatCode="0.0">
                  <c:v>461.03</c:v>
                </c:pt>
                <c:pt idx="90" formatCode="0.0">
                  <c:v>465.99</c:v>
                </c:pt>
                <c:pt idx="91" formatCode="0.0">
                  <c:v>470.95</c:v>
                </c:pt>
                <c:pt idx="92" formatCode="0.0">
                  <c:v>475.91</c:v>
                </c:pt>
                <c:pt idx="93" formatCode="0.0">
                  <c:v>480.86</c:v>
                </c:pt>
                <c:pt idx="94" formatCode="0.0">
                  <c:v>485.82</c:v>
                </c:pt>
                <c:pt idx="95" formatCode="0.0">
                  <c:v>490.78</c:v>
                </c:pt>
                <c:pt idx="96" formatCode="0.0">
                  <c:v>495.74</c:v>
                </c:pt>
                <c:pt idx="97" formatCode="0.0">
                  <c:v>500.69</c:v>
                </c:pt>
                <c:pt idx="98" formatCode="0.0">
                  <c:v>505.65</c:v>
                </c:pt>
                <c:pt idx="99" formatCode="0.0">
                  <c:v>510.61</c:v>
                </c:pt>
                <c:pt idx="100" formatCode="0.0">
                  <c:v>515.57000000000005</c:v>
                </c:pt>
                <c:pt idx="101" formatCode="0.0">
                  <c:v>520.52</c:v>
                </c:pt>
                <c:pt idx="102" formatCode="0.0">
                  <c:v>525.48</c:v>
                </c:pt>
                <c:pt idx="103" formatCode="0.0">
                  <c:v>530.44000000000005</c:v>
                </c:pt>
                <c:pt idx="104" formatCode="0.0">
                  <c:v>535.4</c:v>
                </c:pt>
                <c:pt idx="105" formatCode="0.0">
                  <c:v>540.36</c:v>
                </c:pt>
                <c:pt idx="106" formatCode="0.0">
                  <c:v>545.30999999999995</c:v>
                </c:pt>
                <c:pt idx="107" formatCode="0.0">
                  <c:v>550.27</c:v>
                </c:pt>
                <c:pt idx="108" formatCode="0.0">
                  <c:v>555.23</c:v>
                </c:pt>
                <c:pt idx="109" formatCode="0.0">
                  <c:v>560.19000000000005</c:v>
                </c:pt>
                <c:pt idx="110" formatCode="0.0">
                  <c:v>565.14</c:v>
                </c:pt>
                <c:pt idx="111" formatCode="0.0">
                  <c:v>570.1</c:v>
                </c:pt>
                <c:pt idx="112" formatCode="0.0">
                  <c:v>575.05999999999995</c:v>
                </c:pt>
                <c:pt idx="113" formatCode="0.0">
                  <c:v>580.02</c:v>
                </c:pt>
                <c:pt idx="114" formatCode="0.0">
                  <c:v>584.97</c:v>
                </c:pt>
                <c:pt idx="115" formatCode="0.0">
                  <c:v>589.92999999999995</c:v>
                </c:pt>
                <c:pt idx="116" formatCode="0.0">
                  <c:v>594.89</c:v>
                </c:pt>
                <c:pt idx="117" formatCode="0.0">
                  <c:v>599.85</c:v>
                </c:pt>
                <c:pt idx="118" formatCode="0.0">
                  <c:v>604.80999999999995</c:v>
                </c:pt>
                <c:pt idx="119" formatCode="0.0">
                  <c:v>609.76</c:v>
                </c:pt>
                <c:pt idx="120" formatCode="0.0">
                  <c:v>614.72</c:v>
                </c:pt>
                <c:pt idx="121" formatCode="0.0">
                  <c:v>619.67999999999995</c:v>
                </c:pt>
                <c:pt idx="122" formatCode="0.0">
                  <c:v>624.64</c:v>
                </c:pt>
                <c:pt idx="123" formatCode="0.0">
                  <c:v>629.59</c:v>
                </c:pt>
                <c:pt idx="124" formatCode="0.0">
                  <c:v>634.54999999999995</c:v>
                </c:pt>
                <c:pt idx="125" formatCode="0.0">
                  <c:v>639.51</c:v>
                </c:pt>
                <c:pt idx="126" formatCode="0.0">
                  <c:v>644.47</c:v>
                </c:pt>
                <c:pt idx="127" formatCode="0.0">
                  <c:v>649.41999999999996</c:v>
                </c:pt>
                <c:pt idx="128" formatCode="0.0">
                  <c:v>654.38</c:v>
                </c:pt>
                <c:pt idx="129" formatCode="0.0">
                  <c:v>659.34</c:v>
                </c:pt>
                <c:pt idx="130" formatCode="0.0">
                  <c:v>664.3</c:v>
                </c:pt>
                <c:pt idx="131" formatCode="0.0">
                  <c:v>669.25</c:v>
                </c:pt>
                <c:pt idx="132" formatCode="0.0">
                  <c:v>674.21</c:v>
                </c:pt>
                <c:pt idx="133" formatCode="0.0">
                  <c:v>679.17</c:v>
                </c:pt>
                <c:pt idx="134" formatCode="0.0">
                  <c:v>684.13</c:v>
                </c:pt>
                <c:pt idx="135" formatCode="0.0">
                  <c:v>689.09</c:v>
                </c:pt>
                <c:pt idx="136" formatCode="0.0">
                  <c:v>694.04</c:v>
                </c:pt>
                <c:pt idx="137" formatCode="0.0">
                  <c:v>699</c:v>
                </c:pt>
                <c:pt idx="138" formatCode="0.0">
                  <c:v>703.96</c:v>
                </c:pt>
                <c:pt idx="139" formatCode="0.0">
                  <c:v>708.92</c:v>
                </c:pt>
                <c:pt idx="140" formatCode="0.0">
                  <c:v>713.87</c:v>
                </c:pt>
                <c:pt idx="141" formatCode="0.0">
                  <c:v>718.83</c:v>
                </c:pt>
                <c:pt idx="142" formatCode="0.0">
                  <c:v>723.79</c:v>
                </c:pt>
                <c:pt idx="143" formatCode="0.0">
                  <c:v>728.75</c:v>
                </c:pt>
                <c:pt idx="144" formatCode="0.0">
                  <c:v>733.7</c:v>
                </c:pt>
                <c:pt idx="145" formatCode="0.0">
                  <c:v>738.66</c:v>
                </c:pt>
                <c:pt idx="146" formatCode="0.0">
                  <c:v>743.62</c:v>
                </c:pt>
                <c:pt idx="147" formatCode="0.0">
                  <c:v>748.58</c:v>
                </c:pt>
                <c:pt idx="148" formatCode="0.0">
                  <c:v>753.53</c:v>
                </c:pt>
                <c:pt idx="149" formatCode="0.0">
                  <c:v>758.49</c:v>
                </c:pt>
                <c:pt idx="150" formatCode="0.0">
                  <c:v>763.45</c:v>
                </c:pt>
                <c:pt idx="151" formatCode="0.0">
                  <c:v>768.41</c:v>
                </c:pt>
                <c:pt idx="152" formatCode="0.0">
                  <c:v>773.37</c:v>
                </c:pt>
                <c:pt idx="153" formatCode="0.0">
                  <c:v>778.32</c:v>
                </c:pt>
                <c:pt idx="154" formatCode="0.0">
                  <c:v>783.28</c:v>
                </c:pt>
                <c:pt idx="155" formatCode="0.0">
                  <c:v>788.24</c:v>
                </c:pt>
                <c:pt idx="156" formatCode="0.0">
                  <c:v>793.2</c:v>
                </c:pt>
                <c:pt idx="157" formatCode="0.0">
                  <c:v>798.15</c:v>
                </c:pt>
                <c:pt idx="158" formatCode="0.0">
                  <c:v>803.11</c:v>
                </c:pt>
                <c:pt idx="159" formatCode="0.0">
                  <c:v>808.07</c:v>
                </c:pt>
                <c:pt idx="160" formatCode="0.0">
                  <c:v>813.03</c:v>
                </c:pt>
                <c:pt idx="161" formatCode="0.0">
                  <c:v>817.98</c:v>
                </c:pt>
                <c:pt idx="162" formatCode="0.0">
                  <c:v>822.94</c:v>
                </c:pt>
                <c:pt idx="163" formatCode="0.0">
                  <c:v>827.9</c:v>
                </c:pt>
                <c:pt idx="164" formatCode="0.0">
                  <c:v>832.86</c:v>
                </c:pt>
                <c:pt idx="165" formatCode="0.0">
                  <c:v>837.81</c:v>
                </c:pt>
                <c:pt idx="166" formatCode="0.0">
                  <c:v>842.77</c:v>
                </c:pt>
                <c:pt idx="167" formatCode="0.0">
                  <c:v>847.73</c:v>
                </c:pt>
                <c:pt idx="168" formatCode="0.0">
                  <c:v>852.69</c:v>
                </c:pt>
                <c:pt idx="169" formatCode="0.0">
                  <c:v>857.64</c:v>
                </c:pt>
                <c:pt idx="170" formatCode="0.0">
                  <c:v>862.6</c:v>
                </c:pt>
                <c:pt idx="171" formatCode="0.0">
                  <c:v>867.56</c:v>
                </c:pt>
                <c:pt idx="172" formatCode="0.0">
                  <c:v>872.51</c:v>
                </c:pt>
                <c:pt idx="173" formatCode="0.0">
                  <c:v>877.47</c:v>
                </c:pt>
                <c:pt idx="174" formatCode="0.0">
                  <c:v>882.43</c:v>
                </c:pt>
                <c:pt idx="175" formatCode="0.0">
                  <c:v>887.39</c:v>
                </c:pt>
                <c:pt idx="176" formatCode="0.0">
                  <c:v>892.34</c:v>
                </c:pt>
                <c:pt idx="177" formatCode="0.0">
                  <c:v>897.3</c:v>
                </c:pt>
                <c:pt idx="178" formatCode="0.0">
                  <c:v>902.26</c:v>
                </c:pt>
                <c:pt idx="179" formatCode="0.0">
                  <c:v>907.22</c:v>
                </c:pt>
                <c:pt idx="180" formatCode="0.0">
                  <c:v>912.17</c:v>
                </c:pt>
                <c:pt idx="181" formatCode="0.0">
                  <c:v>917.13</c:v>
                </c:pt>
                <c:pt idx="182" formatCode="0.0">
                  <c:v>922.09</c:v>
                </c:pt>
                <c:pt idx="183" formatCode="0.0">
                  <c:v>927.05</c:v>
                </c:pt>
                <c:pt idx="184" formatCode="0.0">
                  <c:v>932</c:v>
                </c:pt>
                <c:pt idx="185" formatCode="0.0">
                  <c:v>936.96</c:v>
                </c:pt>
                <c:pt idx="186" formatCode="0.0">
                  <c:v>941.92</c:v>
                </c:pt>
                <c:pt idx="187" formatCode="0.0">
                  <c:v>946.88</c:v>
                </c:pt>
                <c:pt idx="188" formatCode="0.0">
                  <c:v>951.83</c:v>
                </c:pt>
                <c:pt idx="189" formatCode="0.0">
                  <c:v>956.79</c:v>
                </c:pt>
                <c:pt idx="190" formatCode="0.0">
                  <c:v>961.75</c:v>
                </c:pt>
                <c:pt idx="191" formatCode="0.0">
                  <c:v>966.71</c:v>
                </c:pt>
                <c:pt idx="192" formatCode="0.0">
                  <c:v>971.66</c:v>
                </c:pt>
                <c:pt idx="193" formatCode="0.0">
                  <c:v>976.62</c:v>
                </c:pt>
                <c:pt idx="194" formatCode="0.0">
                  <c:v>981.58</c:v>
                </c:pt>
                <c:pt idx="195" formatCode="0.0">
                  <c:v>986.54</c:v>
                </c:pt>
                <c:pt idx="196" formatCode="0.0">
                  <c:v>991.5</c:v>
                </c:pt>
                <c:pt idx="197" formatCode="0.0">
                  <c:v>996.45</c:v>
                </c:pt>
                <c:pt idx="198" formatCode="0.0">
                  <c:v>1001.41</c:v>
                </c:pt>
                <c:pt idx="199" formatCode="0.0">
                  <c:v>1006.37</c:v>
                </c:pt>
                <c:pt idx="200" formatCode="0.0">
                  <c:v>1011.32</c:v>
                </c:pt>
                <c:pt idx="201" formatCode="0.0">
                  <c:v>1016.28</c:v>
                </c:pt>
                <c:pt idx="202" formatCode="0.0">
                  <c:v>1021.24</c:v>
                </c:pt>
                <c:pt idx="203" formatCode="0.0">
                  <c:v>1026.2</c:v>
                </c:pt>
                <c:pt idx="204" formatCode="0.0">
                  <c:v>1031.1500000000001</c:v>
                </c:pt>
                <c:pt idx="205" formatCode="0.0">
                  <c:v>1036.1099999999999</c:v>
                </c:pt>
                <c:pt idx="206" formatCode="0.0">
                  <c:v>1041.07</c:v>
                </c:pt>
                <c:pt idx="207" formatCode="0.0">
                  <c:v>1046.03</c:v>
                </c:pt>
                <c:pt idx="208" formatCode="0.0">
                  <c:v>1050.98</c:v>
                </c:pt>
                <c:pt idx="209" formatCode="0.0">
                  <c:v>1055.94</c:v>
                </c:pt>
                <c:pt idx="210" formatCode="0.0">
                  <c:v>1060.9000000000001</c:v>
                </c:pt>
                <c:pt idx="211" formatCode="0.0">
                  <c:v>1065.8499999999999</c:v>
                </c:pt>
                <c:pt idx="212" formatCode="0.0">
                  <c:v>1070.81</c:v>
                </c:pt>
                <c:pt idx="213" formatCode="0.0">
                  <c:v>1075.77</c:v>
                </c:pt>
                <c:pt idx="214" formatCode="0.0">
                  <c:v>1080.73</c:v>
                </c:pt>
                <c:pt idx="215" formatCode="0.0">
                  <c:v>1085.68</c:v>
                </c:pt>
                <c:pt idx="216" formatCode="0.0">
                  <c:v>1090.6400000000001</c:v>
                </c:pt>
                <c:pt idx="217" formatCode="0.0">
                  <c:v>1095.5999999999999</c:v>
                </c:pt>
                <c:pt idx="218" formatCode="0.0">
                  <c:v>1100.56</c:v>
                </c:pt>
                <c:pt idx="219" formatCode="0.0">
                  <c:v>1105.51</c:v>
                </c:pt>
                <c:pt idx="220" formatCode="0.0">
                  <c:v>1110.28</c:v>
                </c:pt>
                <c:pt idx="221" formatCode="0.0">
                  <c:v>1114.8599999999999</c:v>
                </c:pt>
                <c:pt idx="222" formatCode="0.0">
                  <c:v>1119.44</c:v>
                </c:pt>
                <c:pt idx="223" formatCode="0.0">
                  <c:v>1124.03</c:v>
                </c:pt>
                <c:pt idx="224" formatCode="0.0">
                  <c:v>1128.6199999999999</c:v>
                </c:pt>
                <c:pt idx="225" formatCode="0.0">
                  <c:v>1133.22</c:v>
                </c:pt>
                <c:pt idx="226" formatCode="0.0">
                  <c:v>1137.81</c:v>
                </c:pt>
                <c:pt idx="227" formatCode="0.0">
                  <c:v>1142.4100000000001</c:v>
                </c:pt>
                <c:pt idx="228" formatCode="0.0">
                  <c:v>1147</c:v>
                </c:pt>
                <c:pt idx="229" formatCode="0.0">
                  <c:v>1151.5999999999999</c:v>
                </c:pt>
                <c:pt idx="230" formatCode="0.0">
                  <c:v>1156.19</c:v>
                </c:pt>
                <c:pt idx="231" formatCode="0.0">
                  <c:v>1160.78</c:v>
                </c:pt>
                <c:pt idx="232" formatCode="0.0">
                  <c:v>1165.3800000000001</c:v>
                </c:pt>
                <c:pt idx="233" formatCode="0.0">
                  <c:v>1169.97</c:v>
                </c:pt>
                <c:pt idx="234" formatCode="0.0">
                  <c:v>1174.57</c:v>
                </c:pt>
                <c:pt idx="235" formatCode="0.0">
                  <c:v>1179.1600000000001</c:v>
                </c:pt>
                <c:pt idx="236" formatCode="0.0">
                  <c:v>1183.76</c:v>
                </c:pt>
                <c:pt idx="237" formatCode="0.0">
                  <c:v>1188.3499999999999</c:v>
                </c:pt>
                <c:pt idx="238" formatCode="0.0">
                  <c:v>1192.94</c:v>
                </c:pt>
                <c:pt idx="239" formatCode="0.0">
                  <c:v>1197.54</c:v>
                </c:pt>
                <c:pt idx="240" formatCode="0.0">
                  <c:v>1202.1300000000001</c:v>
                </c:pt>
                <c:pt idx="241" formatCode="0.0">
                  <c:v>1206.73</c:v>
                </c:pt>
                <c:pt idx="242" formatCode="0.0">
                  <c:v>1211.32</c:v>
                </c:pt>
                <c:pt idx="243" formatCode="0.0">
                  <c:v>1215.92</c:v>
                </c:pt>
                <c:pt idx="244" formatCode="0.0">
                  <c:v>1220.47</c:v>
                </c:pt>
                <c:pt idx="245" formatCode="0.0">
                  <c:v>1224.6500000000001</c:v>
                </c:pt>
                <c:pt idx="246" formatCode="0.0">
                  <c:v>1228.83</c:v>
                </c:pt>
                <c:pt idx="247" formatCode="0.0">
                  <c:v>1233.02</c:v>
                </c:pt>
                <c:pt idx="248" formatCode="0.0">
                  <c:v>1237.2</c:v>
                </c:pt>
                <c:pt idx="249" formatCode="0.0">
                  <c:v>1241.3900000000001</c:v>
                </c:pt>
                <c:pt idx="250" formatCode="0.0">
                  <c:v>1245.57</c:v>
                </c:pt>
                <c:pt idx="251" formatCode="0.0">
                  <c:v>1249.76</c:v>
                </c:pt>
                <c:pt idx="252" formatCode="0.0">
                  <c:v>1253.94</c:v>
                </c:pt>
                <c:pt idx="253" formatCode="0.0">
                  <c:v>1258.1199999999999</c:v>
                </c:pt>
                <c:pt idx="254" formatCode="0.0">
                  <c:v>1262.31</c:v>
                </c:pt>
                <c:pt idx="255" formatCode="0.0">
                  <c:v>1266.49</c:v>
                </c:pt>
                <c:pt idx="256" formatCode="0.0">
                  <c:v>1270.68</c:v>
                </c:pt>
                <c:pt idx="257" formatCode="0.0">
                  <c:v>1274.8599999999999</c:v>
                </c:pt>
                <c:pt idx="258" formatCode="0.0">
                  <c:v>1279.05</c:v>
                </c:pt>
                <c:pt idx="259" formatCode="0.0">
                  <c:v>1283.23</c:v>
                </c:pt>
                <c:pt idx="260" formatCode="0.0">
                  <c:v>1287.4100000000001</c:v>
                </c:pt>
                <c:pt idx="261" formatCode="0.0">
                  <c:v>1291.5999999999999</c:v>
                </c:pt>
                <c:pt idx="262" formatCode="0.0">
                  <c:v>1295.78</c:v>
                </c:pt>
                <c:pt idx="263" formatCode="0.0">
                  <c:v>1299.97</c:v>
                </c:pt>
                <c:pt idx="264" formatCode="0.0">
                  <c:v>1304.1500000000001</c:v>
                </c:pt>
                <c:pt idx="265" formatCode="0.0">
                  <c:v>1308.33</c:v>
                </c:pt>
                <c:pt idx="266" formatCode="0.0">
                  <c:v>1312.52</c:v>
                </c:pt>
                <c:pt idx="267" formatCode="0.0">
                  <c:v>1316.7</c:v>
                </c:pt>
                <c:pt idx="268" formatCode="0.0">
                  <c:v>1320.88</c:v>
                </c:pt>
                <c:pt idx="269" formatCode="0.0">
                  <c:v>1325.06</c:v>
                </c:pt>
                <c:pt idx="270" formatCode="0.0">
                  <c:v>1329.23</c:v>
                </c:pt>
                <c:pt idx="271" formatCode="0.0">
                  <c:v>1333.4</c:v>
                </c:pt>
                <c:pt idx="272" formatCode="0.0">
                  <c:v>1337.58</c:v>
                </c:pt>
                <c:pt idx="273" formatCode="0.0">
                  <c:v>1341.75</c:v>
                </c:pt>
                <c:pt idx="274" formatCode="0.0">
                  <c:v>1345.91</c:v>
                </c:pt>
                <c:pt idx="275" formatCode="0.0">
                  <c:v>1350.08</c:v>
                </c:pt>
                <c:pt idx="276" formatCode="0.0">
                  <c:v>1354.25</c:v>
                </c:pt>
                <c:pt idx="277" formatCode="0.0">
                  <c:v>1358.41</c:v>
                </c:pt>
                <c:pt idx="278" formatCode="0.0">
                  <c:v>1362.58</c:v>
                </c:pt>
                <c:pt idx="279" formatCode="0.0">
                  <c:v>1366.74</c:v>
                </c:pt>
                <c:pt idx="280" formatCode="0.0">
                  <c:v>1370.89</c:v>
                </c:pt>
                <c:pt idx="281" formatCode="0.0">
                  <c:v>1375.04</c:v>
                </c:pt>
                <c:pt idx="282" formatCode="0.0">
                  <c:v>1379.19</c:v>
                </c:pt>
                <c:pt idx="283" formatCode="0.0">
                  <c:v>1383.35</c:v>
                </c:pt>
                <c:pt idx="284" formatCode="0.0">
                  <c:v>1387.5</c:v>
                </c:pt>
                <c:pt idx="285" formatCode="0.0">
                  <c:v>1391.64</c:v>
                </c:pt>
                <c:pt idx="286" formatCode="0.0">
                  <c:v>1395.78</c:v>
                </c:pt>
                <c:pt idx="287" formatCode="0.0">
                  <c:v>1399.91</c:v>
                </c:pt>
                <c:pt idx="288" formatCode="0.0">
                  <c:v>1404.05</c:v>
                </c:pt>
                <c:pt idx="289" formatCode="0.0">
                  <c:v>1408.19</c:v>
                </c:pt>
                <c:pt idx="290" formatCode="0.0">
                  <c:v>1412.32</c:v>
                </c:pt>
                <c:pt idx="291" formatCode="0.0">
                  <c:v>1416.45</c:v>
                </c:pt>
                <c:pt idx="292" formatCode="0.0">
                  <c:v>1420.56</c:v>
                </c:pt>
                <c:pt idx="293" formatCode="0.0">
                  <c:v>1424.63</c:v>
                </c:pt>
                <c:pt idx="294" formatCode="0.0">
                  <c:v>1428.7</c:v>
                </c:pt>
                <c:pt idx="295" formatCode="0.0">
                  <c:v>1432.77</c:v>
                </c:pt>
                <c:pt idx="296" formatCode="0.0">
                  <c:v>1436.84</c:v>
                </c:pt>
                <c:pt idx="297" formatCode="0.0">
                  <c:v>1440.89</c:v>
                </c:pt>
                <c:pt idx="298" formatCode="0.0">
                  <c:v>1444.93</c:v>
                </c:pt>
                <c:pt idx="299" formatCode="0.0">
                  <c:v>1448.97</c:v>
                </c:pt>
                <c:pt idx="300" formatCode="0.0">
                  <c:v>1453.01</c:v>
                </c:pt>
                <c:pt idx="301" formatCode="0.0">
                  <c:v>1457.05</c:v>
                </c:pt>
                <c:pt idx="302" formatCode="0.0">
                  <c:v>1461.09</c:v>
                </c:pt>
                <c:pt idx="303" formatCode="0.0">
                  <c:v>1465.12</c:v>
                </c:pt>
                <c:pt idx="304" formatCode="0.0">
                  <c:v>1469.12</c:v>
                </c:pt>
                <c:pt idx="305" formatCode="0.0">
                  <c:v>1473.13</c:v>
                </c:pt>
                <c:pt idx="306" formatCode="0.0">
                  <c:v>1477.13</c:v>
                </c:pt>
                <c:pt idx="307" formatCode="0.0">
                  <c:v>1481.13</c:v>
                </c:pt>
                <c:pt idx="308" formatCode="0.0">
                  <c:v>1485.14</c:v>
                </c:pt>
                <c:pt idx="309" formatCode="0.0">
                  <c:v>1489.14</c:v>
                </c:pt>
                <c:pt idx="310" formatCode="0.0">
                  <c:v>1493.11</c:v>
                </c:pt>
                <c:pt idx="311" formatCode="0.0">
                  <c:v>1497.07</c:v>
                </c:pt>
                <c:pt idx="312" formatCode="0.0">
                  <c:v>1501.04</c:v>
                </c:pt>
                <c:pt idx="313" formatCode="0.0">
                  <c:v>1505.01</c:v>
                </c:pt>
                <c:pt idx="314" formatCode="0.0">
                  <c:v>1508.98</c:v>
                </c:pt>
                <c:pt idx="315" formatCode="0.0">
                  <c:v>1512.95</c:v>
                </c:pt>
                <c:pt idx="316" formatCode="0.0">
                  <c:v>1516.89</c:v>
                </c:pt>
                <c:pt idx="317" formatCode="0.0">
                  <c:v>1520.8</c:v>
                </c:pt>
                <c:pt idx="318" formatCode="0.0">
                  <c:v>1524.57</c:v>
                </c:pt>
                <c:pt idx="319" formatCode="0.0">
                  <c:v>1528.33</c:v>
                </c:pt>
                <c:pt idx="320" formatCode="0.0">
                  <c:v>1532.09</c:v>
                </c:pt>
                <c:pt idx="321" formatCode="0.0">
                  <c:v>1535.86</c:v>
                </c:pt>
                <c:pt idx="322" formatCode="0.0">
                  <c:v>1539.62</c:v>
                </c:pt>
                <c:pt idx="323" formatCode="0.0">
                  <c:v>1543.37</c:v>
                </c:pt>
                <c:pt idx="324" formatCode="0.0">
                  <c:v>1547.13</c:v>
                </c:pt>
                <c:pt idx="325" formatCode="0.0">
                  <c:v>1550.89</c:v>
                </c:pt>
                <c:pt idx="326" formatCode="0.0">
                  <c:v>1554.64</c:v>
                </c:pt>
                <c:pt idx="327" formatCode="0.0">
                  <c:v>1558.4</c:v>
                </c:pt>
                <c:pt idx="328" formatCode="0.0">
                  <c:v>1562.14</c:v>
                </c:pt>
                <c:pt idx="329" formatCode="0.0">
                  <c:v>1565.88</c:v>
                </c:pt>
                <c:pt idx="330" formatCode="0.0">
                  <c:v>1569.61</c:v>
                </c:pt>
                <c:pt idx="331" formatCode="0.0">
                  <c:v>1573.35</c:v>
                </c:pt>
                <c:pt idx="332" formatCode="0.0">
                  <c:v>1577.08</c:v>
                </c:pt>
                <c:pt idx="333" formatCode="0.0">
                  <c:v>1580.82</c:v>
                </c:pt>
                <c:pt idx="334" formatCode="0.0">
                  <c:v>1584.52</c:v>
                </c:pt>
                <c:pt idx="335" formatCode="0.0">
                  <c:v>1588.21</c:v>
                </c:pt>
                <c:pt idx="336" formatCode="0.0">
                  <c:v>1591.9</c:v>
                </c:pt>
                <c:pt idx="337" formatCode="0.0">
                  <c:v>1595.59</c:v>
                </c:pt>
                <c:pt idx="338" formatCode="0.0">
                  <c:v>1599.29</c:v>
                </c:pt>
                <c:pt idx="339" formatCode="0.0">
                  <c:v>1602.98</c:v>
                </c:pt>
                <c:pt idx="340" formatCode="0.0">
                  <c:v>1606.64</c:v>
                </c:pt>
                <c:pt idx="341" formatCode="0.0">
                  <c:v>1610.28</c:v>
                </c:pt>
                <c:pt idx="342" formatCode="0.0">
                  <c:v>1613.93</c:v>
                </c:pt>
                <c:pt idx="343" formatCode="0.0">
                  <c:v>1617.57</c:v>
                </c:pt>
                <c:pt idx="344" formatCode="0.0">
                  <c:v>1621.14</c:v>
                </c:pt>
                <c:pt idx="345" formatCode="0.0">
                  <c:v>1624.56</c:v>
                </c:pt>
                <c:pt idx="346" formatCode="0.0">
                  <c:v>1627.97</c:v>
                </c:pt>
                <c:pt idx="347" formatCode="0.0">
                  <c:v>1631.38</c:v>
                </c:pt>
                <c:pt idx="348" formatCode="0.0">
                  <c:v>1634.78</c:v>
                </c:pt>
                <c:pt idx="349" formatCode="0.0">
                  <c:v>1638.19</c:v>
                </c:pt>
                <c:pt idx="350" formatCode="0.0">
                  <c:v>1641.59</c:v>
                </c:pt>
                <c:pt idx="351" formatCode="0.0">
                  <c:v>1645</c:v>
                </c:pt>
                <c:pt idx="352" formatCode="0.0">
                  <c:v>1648.41</c:v>
                </c:pt>
                <c:pt idx="353" formatCode="0.0">
                  <c:v>1651.83</c:v>
                </c:pt>
                <c:pt idx="354" formatCode="0.0">
                  <c:v>1655.26</c:v>
                </c:pt>
                <c:pt idx="355" formatCode="0.0">
                  <c:v>1658.69</c:v>
                </c:pt>
                <c:pt idx="356" formatCode="0.0">
                  <c:v>1662.11</c:v>
                </c:pt>
                <c:pt idx="357" formatCode="0.0">
                  <c:v>1665.54</c:v>
                </c:pt>
                <c:pt idx="358" formatCode="0.0">
                  <c:v>1668.97</c:v>
                </c:pt>
                <c:pt idx="359" formatCode="0.0">
                  <c:v>1672.41</c:v>
                </c:pt>
                <c:pt idx="360" formatCode="0.0">
                  <c:v>1675.86</c:v>
                </c:pt>
                <c:pt idx="361" formatCode="0.0">
                  <c:v>1679.3</c:v>
                </c:pt>
                <c:pt idx="362" formatCode="0.0">
                  <c:v>1682.74</c:v>
                </c:pt>
                <c:pt idx="363" formatCode="0.0">
                  <c:v>1686.19</c:v>
                </c:pt>
                <c:pt idx="364" formatCode="0.0">
                  <c:v>1689.63</c:v>
                </c:pt>
                <c:pt idx="365" formatCode="0.0">
                  <c:v>1693.07</c:v>
                </c:pt>
                <c:pt idx="366" formatCode="0.0">
                  <c:v>1696.52</c:v>
                </c:pt>
                <c:pt idx="367" formatCode="0.0">
                  <c:v>1699.96</c:v>
                </c:pt>
                <c:pt idx="368" formatCode="0.0">
                  <c:v>1703.4</c:v>
                </c:pt>
                <c:pt idx="369" formatCode="0.0">
                  <c:v>1706.85</c:v>
                </c:pt>
                <c:pt idx="370" formatCode="0.0">
                  <c:v>1710.29</c:v>
                </c:pt>
                <c:pt idx="371" formatCode="0.0">
                  <c:v>1713.72</c:v>
                </c:pt>
                <c:pt idx="372" formatCode="0.0">
                  <c:v>1717.15</c:v>
                </c:pt>
                <c:pt idx="373" formatCode="0.0">
                  <c:v>1720.48</c:v>
                </c:pt>
                <c:pt idx="374" formatCode="0.0">
                  <c:v>1723.31</c:v>
                </c:pt>
                <c:pt idx="375" formatCode="0.0">
                  <c:v>1726.14</c:v>
                </c:pt>
                <c:pt idx="376" formatCode="0.0">
                  <c:v>1728.98</c:v>
                </c:pt>
                <c:pt idx="377" formatCode="0.0">
                  <c:v>1731.79</c:v>
                </c:pt>
                <c:pt idx="378" formatCode="0.0">
                  <c:v>1734.61</c:v>
                </c:pt>
                <c:pt idx="379" formatCode="0.0">
                  <c:v>1737.43</c:v>
                </c:pt>
                <c:pt idx="380" formatCode="0.0">
                  <c:v>1740.24</c:v>
                </c:pt>
                <c:pt idx="381" formatCode="0.0">
                  <c:v>1743.06</c:v>
                </c:pt>
                <c:pt idx="382" formatCode="0.0">
                  <c:v>1745.88</c:v>
                </c:pt>
                <c:pt idx="383" formatCode="0.0">
                  <c:v>1748.69</c:v>
                </c:pt>
                <c:pt idx="384" formatCode="0.0">
                  <c:v>1751.49</c:v>
                </c:pt>
                <c:pt idx="385" formatCode="0.0">
                  <c:v>1754.3</c:v>
                </c:pt>
                <c:pt idx="386" formatCode="0.0">
                  <c:v>1757.11</c:v>
                </c:pt>
                <c:pt idx="387" formatCode="0.0">
                  <c:v>1759.91</c:v>
                </c:pt>
                <c:pt idx="388" formatCode="0.0">
                  <c:v>1762.72</c:v>
                </c:pt>
                <c:pt idx="389" formatCode="0.0">
                  <c:v>1765.53</c:v>
                </c:pt>
                <c:pt idx="390" formatCode="0.0">
                  <c:v>1768.33</c:v>
                </c:pt>
                <c:pt idx="391" formatCode="0.0">
                  <c:v>1771.14</c:v>
                </c:pt>
                <c:pt idx="392" formatCode="0.0">
                  <c:v>1773.95</c:v>
                </c:pt>
                <c:pt idx="393" formatCode="0.0">
                  <c:v>1776.75</c:v>
                </c:pt>
                <c:pt idx="394" formatCode="0.0">
                  <c:v>1779.56</c:v>
                </c:pt>
                <c:pt idx="395" formatCode="0.0">
                  <c:v>1782.37</c:v>
                </c:pt>
                <c:pt idx="396" formatCode="0.0">
                  <c:v>1785.18</c:v>
                </c:pt>
                <c:pt idx="397" formatCode="0.0">
                  <c:v>1787.99</c:v>
                </c:pt>
                <c:pt idx="398" formatCode="0.0">
                  <c:v>1790.8</c:v>
                </c:pt>
                <c:pt idx="399" formatCode="0.0">
                  <c:v>1793.61</c:v>
                </c:pt>
                <c:pt idx="400" formatCode="0.0">
                  <c:v>1796.42</c:v>
                </c:pt>
                <c:pt idx="401" formatCode="0.0">
                  <c:v>1799.23</c:v>
                </c:pt>
                <c:pt idx="402" formatCode="0.0">
                  <c:v>1802.04</c:v>
                </c:pt>
                <c:pt idx="403" formatCode="0.0">
                  <c:v>1804.85</c:v>
                </c:pt>
                <c:pt idx="404" formatCode="0.0">
                  <c:v>1807.66</c:v>
                </c:pt>
                <c:pt idx="405" formatCode="0.0">
                  <c:v>1810.48</c:v>
                </c:pt>
                <c:pt idx="406" formatCode="0.0">
                  <c:v>1813.29</c:v>
                </c:pt>
                <c:pt idx="407" formatCode="0.0">
                  <c:v>1816.1</c:v>
                </c:pt>
                <c:pt idx="408" formatCode="0.0">
                  <c:v>1818.92</c:v>
                </c:pt>
                <c:pt idx="409" formatCode="0.0">
                  <c:v>1821.94</c:v>
                </c:pt>
                <c:pt idx="410" formatCode="0.0">
                  <c:v>1825.08</c:v>
                </c:pt>
                <c:pt idx="411" formatCode="0.0">
                  <c:v>1828.23</c:v>
                </c:pt>
                <c:pt idx="412" formatCode="0.0">
                  <c:v>1831.37</c:v>
                </c:pt>
                <c:pt idx="413" formatCode="0.0">
                  <c:v>1834.51</c:v>
                </c:pt>
                <c:pt idx="414" formatCode="0.0">
                  <c:v>1837.66</c:v>
                </c:pt>
                <c:pt idx="415" formatCode="0.0">
                  <c:v>1840.8</c:v>
                </c:pt>
                <c:pt idx="416" formatCode="0.0">
                  <c:v>1843.94</c:v>
                </c:pt>
                <c:pt idx="417" formatCode="0.0">
                  <c:v>1847.08</c:v>
                </c:pt>
                <c:pt idx="418" formatCode="0.0">
                  <c:v>1850.22</c:v>
                </c:pt>
                <c:pt idx="419" formatCode="0.0">
                  <c:v>1853.36</c:v>
                </c:pt>
                <c:pt idx="420" formatCode="0.0">
                  <c:v>1856.49</c:v>
                </c:pt>
                <c:pt idx="421" formatCode="0.0">
                  <c:v>1859.63</c:v>
                </c:pt>
                <c:pt idx="422" formatCode="0.0">
                  <c:v>1862.76</c:v>
                </c:pt>
                <c:pt idx="423" formatCode="0.0">
                  <c:v>1865.89</c:v>
                </c:pt>
                <c:pt idx="424" formatCode="0.0">
                  <c:v>1869.02</c:v>
                </c:pt>
                <c:pt idx="425" formatCode="0.0">
                  <c:v>1872.16</c:v>
                </c:pt>
                <c:pt idx="426" formatCode="0.0">
                  <c:v>1875.3</c:v>
                </c:pt>
                <c:pt idx="427" formatCode="0.0">
                  <c:v>1878.45</c:v>
                </c:pt>
                <c:pt idx="428" formatCode="0.0">
                  <c:v>1881.59</c:v>
                </c:pt>
                <c:pt idx="429" formatCode="0.0">
                  <c:v>1884.74</c:v>
                </c:pt>
                <c:pt idx="430" formatCode="0.0">
                  <c:v>1887.88</c:v>
                </c:pt>
                <c:pt idx="431" formatCode="0.0">
                  <c:v>1891.03</c:v>
                </c:pt>
                <c:pt idx="432" formatCode="0.0">
                  <c:v>1894.2</c:v>
                </c:pt>
                <c:pt idx="433" formatCode="0.0">
                  <c:v>1897.36</c:v>
                </c:pt>
                <c:pt idx="434" formatCode="0.0">
                  <c:v>1900.53</c:v>
                </c:pt>
                <c:pt idx="435" formatCode="0.0">
                  <c:v>1903.7</c:v>
                </c:pt>
                <c:pt idx="436" formatCode="0.0">
                  <c:v>1906.86</c:v>
                </c:pt>
                <c:pt idx="437" formatCode="0.0">
                  <c:v>1910.03</c:v>
                </c:pt>
                <c:pt idx="438" formatCode="0.0">
                  <c:v>1913.2</c:v>
                </c:pt>
                <c:pt idx="439" formatCode="0.0">
                  <c:v>1916.37</c:v>
                </c:pt>
                <c:pt idx="440" formatCode="0.0">
                  <c:v>1919.54</c:v>
                </c:pt>
                <c:pt idx="441" formatCode="0.0">
                  <c:v>1922.88</c:v>
                </c:pt>
                <c:pt idx="442" formatCode="0.0">
                  <c:v>1926.25</c:v>
                </c:pt>
                <c:pt idx="443" formatCode="0.0">
                  <c:v>1929.62</c:v>
                </c:pt>
                <c:pt idx="444" formatCode="0.0">
                  <c:v>1932.99</c:v>
                </c:pt>
                <c:pt idx="445" formatCode="0.0">
                  <c:v>1936.37</c:v>
                </c:pt>
                <c:pt idx="446" formatCode="0.0">
                  <c:v>1939.74</c:v>
                </c:pt>
                <c:pt idx="447" formatCode="0.0">
                  <c:v>1943.11</c:v>
                </c:pt>
                <c:pt idx="448" formatCode="0.0">
                  <c:v>1946.49</c:v>
                </c:pt>
                <c:pt idx="449" formatCode="0.0">
                  <c:v>1949.86</c:v>
                </c:pt>
                <c:pt idx="450" formatCode="0.0">
                  <c:v>1953.24</c:v>
                </c:pt>
                <c:pt idx="451" formatCode="0.0">
                  <c:v>1956.61</c:v>
                </c:pt>
                <c:pt idx="452" formatCode="0.0">
                  <c:v>1959.99</c:v>
                </c:pt>
                <c:pt idx="453" formatCode="0.0">
                  <c:v>1963.36</c:v>
                </c:pt>
                <c:pt idx="454" formatCode="0.0">
                  <c:v>1966.74</c:v>
                </c:pt>
                <c:pt idx="455" formatCode="0.0">
                  <c:v>1970.12</c:v>
                </c:pt>
                <c:pt idx="456" formatCode="0.0">
                  <c:v>1973.48</c:v>
                </c:pt>
                <c:pt idx="457" formatCode="0.0">
                  <c:v>1976.85</c:v>
                </c:pt>
                <c:pt idx="458" formatCode="0.0">
                  <c:v>1980.21</c:v>
                </c:pt>
                <c:pt idx="459" formatCode="0.0">
                  <c:v>1983.58</c:v>
                </c:pt>
                <c:pt idx="460" formatCode="0.0">
                  <c:v>1986.94</c:v>
                </c:pt>
                <c:pt idx="461" formatCode="0.0">
                  <c:v>1990.31</c:v>
                </c:pt>
                <c:pt idx="462" formatCode="0.0">
                  <c:v>1993.67</c:v>
                </c:pt>
                <c:pt idx="463" formatCode="0.0">
                  <c:v>1997.02</c:v>
                </c:pt>
                <c:pt idx="464" formatCode="0.0">
                  <c:v>2000.38</c:v>
                </c:pt>
                <c:pt idx="465" formatCode="0.0">
                  <c:v>2003.73</c:v>
                </c:pt>
                <c:pt idx="466" formatCode="0.0">
                  <c:v>2007.09</c:v>
                </c:pt>
                <c:pt idx="467" formatCode="0.0">
                  <c:v>2010.45</c:v>
                </c:pt>
                <c:pt idx="468" formatCode="0.0">
                  <c:v>2013.8</c:v>
                </c:pt>
                <c:pt idx="469" formatCode="0.0">
                  <c:v>2017.16</c:v>
                </c:pt>
                <c:pt idx="470" formatCode="0.0">
                  <c:v>2020.48</c:v>
                </c:pt>
                <c:pt idx="471" formatCode="0.0">
                  <c:v>2023.65</c:v>
                </c:pt>
                <c:pt idx="472" formatCode="0.0">
                  <c:v>2026.81</c:v>
                </c:pt>
                <c:pt idx="473" formatCode="0.0">
                  <c:v>2029.97</c:v>
                </c:pt>
                <c:pt idx="474" formatCode="0.0">
                  <c:v>2033.13</c:v>
                </c:pt>
                <c:pt idx="475" formatCode="0.0">
                  <c:v>2036.29</c:v>
                </c:pt>
                <c:pt idx="476" formatCode="0.0">
                  <c:v>2039.45</c:v>
                </c:pt>
                <c:pt idx="477" formatCode="0.0">
                  <c:v>2042.61</c:v>
                </c:pt>
                <c:pt idx="478" formatCode="0.0">
                  <c:v>2045.77</c:v>
                </c:pt>
                <c:pt idx="479" formatCode="0.0">
                  <c:v>2048.9299999999998</c:v>
                </c:pt>
                <c:pt idx="480" formatCode="0.0">
                  <c:v>2052.09</c:v>
                </c:pt>
                <c:pt idx="481" formatCode="0.0">
                  <c:v>2055.25</c:v>
                </c:pt>
                <c:pt idx="482" formatCode="0.0">
                  <c:v>2058.41</c:v>
                </c:pt>
                <c:pt idx="483" formatCode="0.0">
                  <c:v>2061.5700000000002</c:v>
                </c:pt>
                <c:pt idx="484" formatCode="0.0">
                  <c:v>2064.73</c:v>
                </c:pt>
                <c:pt idx="485" formatCode="0.0">
                  <c:v>2067.88</c:v>
                </c:pt>
                <c:pt idx="486" formatCode="0.0">
                  <c:v>2071.04</c:v>
                </c:pt>
                <c:pt idx="487" formatCode="0.0">
                  <c:v>2074.1999999999998</c:v>
                </c:pt>
                <c:pt idx="488" formatCode="0.0">
                  <c:v>2077.36</c:v>
                </c:pt>
                <c:pt idx="489" formatCode="0.0">
                  <c:v>2080.52</c:v>
                </c:pt>
                <c:pt idx="490" formatCode="0.0">
                  <c:v>2083.6799999999998</c:v>
                </c:pt>
                <c:pt idx="491" formatCode="0.0">
                  <c:v>2086.83</c:v>
                </c:pt>
                <c:pt idx="492" formatCode="0.0">
                  <c:v>2089.9899999999998</c:v>
                </c:pt>
                <c:pt idx="493" formatCode="0.0">
                  <c:v>2093.14</c:v>
                </c:pt>
                <c:pt idx="494" formatCode="0.0">
                  <c:v>2096.3000000000002</c:v>
                </c:pt>
                <c:pt idx="495" formatCode="0.0">
                  <c:v>2099.4499999999998</c:v>
                </c:pt>
                <c:pt idx="496" formatCode="0.0">
                  <c:v>2102.6</c:v>
                </c:pt>
                <c:pt idx="497" formatCode="0.0">
                  <c:v>2105.7600000000002</c:v>
                </c:pt>
                <c:pt idx="498" formatCode="0.0">
                  <c:v>2108.91</c:v>
                </c:pt>
                <c:pt idx="499" formatCode="0.0">
                  <c:v>2112.0500000000002</c:v>
                </c:pt>
                <c:pt idx="500" formatCode="0.0">
                  <c:v>2115.19</c:v>
                </c:pt>
                <c:pt idx="501" formatCode="0.0">
                  <c:v>2118.33</c:v>
                </c:pt>
                <c:pt idx="502" formatCode="0.0">
                  <c:v>2121.5</c:v>
                </c:pt>
                <c:pt idx="503" formatCode="0.0">
                  <c:v>2124.6999999999998</c:v>
                </c:pt>
                <c:pt idx="504" formatCode="0.0">
                  <c:v>2127.9</c:v>
                </c:pt>
                <c:pt idx="505" formatCode="0.0">
                  <c:v>2131.1</c:v>
                </c:pt>
                <c:pt idx="506" formatCode="0.0">
                  <c:v>2134.3000000000002</c:v>
                </c:pt>
                <c:pt idx="507" formatCode="0.0">
                  <c:v>2137.5</c:v>
                </c:pt>
                <c:pt idx="508" formatCode="0.0">
                  <c:v>2140.6999999999998</c:v>
                </c:pt>
                <c:pt idx="509" formatCode="0.0">
                  <c:v>2143.89</c:v>
                </c:pt>
                <c:pt idx="510" formatCode="0.0">
                  <c:v>2147.09</c:v>
                </c:pt>
                <c:pt idx="511" formatCode="0.0">
                  <c:v>2150.29</c:v>
                </c:pt>
                <c:pt idx="512" formatCode="0.0">
                  <c:v>2153.48</c:v>
                </c:pt>
                <c:pt idx="513" formatCode="0.0">
                  <c:v>2156.67</c:v>
                </c:pt>
                <c:pt idx="514" formatCode="0.0">
                  <c:v>2159.86</c:v>
                </c:pt>
                <c:pt idx="515" formatCode="0.0">
                  <c:v>2163.0500000000002</c:v>
                </c:pt>
                <c:pt idx="516" formatCode="0.0">
                  <c:v>2166.25</c:v>
                </c:pt>
                <c:pt idx="517" formatCode="0.0">
                  <c:v>2169.4299999999998</c:v>
                </c:pt>
                <c:pt idx="518" formatCode="0.0">
                  <c:v>2172.62</c:v>
                </c:pt>
                <c:pt idx="519" formatCode="0.0">
                  <c:v>2175.8000000000002</c:v>
                </c:pt>
                <c:pt idx="520" formatCode="0.0">
                  <c:v>2178.98</c:v>
                </c:pt>
                <c:pt idx="521" formatCode="0.0">
                  <c:v>2182.17</c:v>
                </c:pt>
                <c:pt idx="522" formatCode="0.0">
                  <c:v>2185.35</c:v>
                </c:pt>
                <c:pt idx="523" formatCode="0.0">
                  <c:v>2188.5300000000002</c:v>
                </c:pt>
                <c:pt idx="524" formatCode="0.0">
                  <c:v>2191.71</c:v>
                </c:pt>
                <c:pt idx="525" formatCode="0.0">
                  <c:v>2194.88</c:v>
                </c:pt>
                <c:pt idx="526" formatCode="0.0">
                  <c:v>2198.06</c:v>
                </c:pt>
                <c:pt idx="527" formatCode="0.0">
                  <c:v>2201.2399999999998</c:v>
                </c:pt>
                <c:pt idx="528" formatCode="0.0">
                  <c:v>2204.42</c:v>
                </c:pt>
                <c:pt idx="529" formatCode="0.0">
                  <c:v>2207.59</c:v>
                </c:pt>
                <c:pt idx="530" formatCode="0.0">
                  <c:v>2210.77</c:v>
                </c:pt>
                <c:pt idx="531" formatCode="0.0">
                  <c:v>2213.94</c:v>
                </c:pt>
                <c:pt idx="532" formatCode="0.0">
                  <c:v>2217.12</c:v>
                </c:pt>
                <c:pt idx="533" formatCode="0.0">
                  <c:v>2220.2800000000002</c:v>
                </c:pt>
                <c:pt idx="534" formatCode="0.0">
                  <c:v>2223.39</c:v>
                </c:pt>
                <c:pt idx="535" formatCode="0.0">
                  <c:v>2226.5</c:v>
                </c:pt>
                <c:pt idx="536" formatCode="0.0">
                  <c:v>2229.62</c:v>
                </c:pt>
                <c:pt idx="537" formatCode="0.0">
                  <c:v>2232.73</c:v>
                </c:pt>
                <c:pt idx="538" formatCode="0.0">
                  <c:v>2235.85</c:v>
                </c:pt>
                <c:pt idx="539" formatCode="0.0">
                  <c:v>2238.96</c:v>
                </c:pt>
                <c:pt idx="540" formatCode="0.0">
                  <c:v>2242.08</c:v>
                </c:pt>
                <c:pt idx="541" formatCode="0.0">
                  <c:v>2245.19</c:v>
                </c:pt>
                <c:pt idx="542" formatCode="0.0">
                  <c:v>2248.31</c:v>
                </c:pt>
                <c:pt idx="543" formatCode="0.0">
                  <c:v>2251.42</c:v>
                </c:pt>
                <c:pt idx="544" formatCode="0.0">
                  <c:v>2254.54</c:v>
                </c:pt>
                <c:pt idx="545" formatCode="0.0">
                  <c:v>2257.65</c:v>
                </c:pt>
                <c:pt idx="546" formatCode="0.0">
                  <c:v>2260.77</c:v>
                </c:pt>
                <c:pt idx="547" formatCode="0.0">
                  <c:v>2263.88</c:v>
                </c:pt>
                <c:pt idx="548" formatCode="0.0">
                  <c:v>2266.9899999999998</c:v>
                </c:pt>
                <c:pt idx="549" formatCode="0.0">
                  <c:v>2270.09</c:v>
                </c:pt>
                <c:pt idx="550" formatCode="0.0">
                  <c:v>2273.1999999999998</c:v>
                </c:pt>
                <c:pt idx="551" formatCode="0.0">
                  <c:v>2276.31</c:v>
                </c:pt>
                <c:pt idx="552" formatCode="0.0">
                  <c:v>2279.42</c:v>
                </c:pt>
                <c:pt idx="553" formatCode="0.0">
                  <c:v>2282.5300000000002</c:v>
                </c:pt>
                <c:pt idx="554" formatCode="0.0">
                  <c:v>2285.63</c:v>
                </c:pt>
                <c:pt idx="555" formatCode="0.0">
                  <c:v>2289.62</c:v>
                </c:pt>
                <c:pt idx="556" formatCode="0.0">
                  <c:v>2293.63</c:v>
                </c:pt>
                <c:pt idx="557" formatCode="0.0">
                  <c:v>2297.64</c:v>
                </c:pt>
                <c:pt idx="558" formatCode="0.0">
                  <c:v>2301.65</c:v>
                </c:pt>
                <c:pt idx="559" formatCode="0.0">
                  <c:v>2305.66</c:v>
                </c:pt>
                <c:pt idx="560" formatCode="0.0">
                  <c:v>2309.66</c:v>
                </c:pt>
                <c:pt idx="561" formatCode="0.0">
                  <c:v>2313.66</c:v>
                </c:pt>
                <c:pt idx="562" formatCode="0.0">
                  <c:v>2317.66</c:v>
                </c:pt>
                <c:pt idx="563" formatCode="0.0">
                  <c:v>2321.66</c:v>
                </c:pt>
                <c:pt idx="564" formatCode="0.0">
                  <c:v>2325.66</c:v>
                </c:pt>
                <c:pt idx="565" formatCode="0.0">
                  <c:v>2329.66</c:v>
                </c:pt>
                <c:pt idx="566" formatCode="0.0">
                  <c:v>2333.5100000000002</c:v>
                </c:pt>
                <c:pt idx="567" formatCode="0.0">
                  <c:v>2337.35</c:v>
                </c:pt>
                <c:pt idx="568" formatCode="0.0">
                  <c:v>2341.1799999999998</c:v>
                </c:pt>
                <c:pt idx="569" formatCode="0.0">
                  <c:v>2345.02</c:v>
                </c:pt>
                <c:pt idx="570" formatCode="0.0">
                  <c:v>2348.85</c:v>
                </c:pt>
                <c:pt idx="571" formatCode="0.0">
                  <c:v>2352.36</c:v>
                </c:pt>
                <c:pt idx="572" formatCode="0.0">
                  <c:v>2355.33</c:v>
                </c:pt>
                <c:pt idx="573" formatCode="0.0">
                  <c:v>2358.31</c:v>
                </c:pt>
                <c:pt idx="574" formatCode="0.0">
                  <c:v>2361.2800000000002</c:v>
                </c:pt>
                <c:pt idx="575" formatCode="0.0">
                  <c:v>2364.2600000000002</c:v>
                </c:pt>
                <c:pt idx="576" formatCode="0.0">
                  <c:v>2367.23</c:v>
                </c:pt>
                <c:pt idx="577" formatCode="0.0">
                  <c:v>2370.1999999999998</c:v>
                </c:pt>
                <c:pt idx="578" formatCode="0.0">
                  <c:v>2373.1799999999998</c:v>
                </c:pt>
                <c:pt idx="579" formatCode="0.0">
                  <c:v>2376.17</c:v>
                </c:pt>
                <c:pt idx="580" formatCode="0.0">
                  <c:v>2379.15</c:v>
                </c:pt>
                <c:pt idx="581" formatCode="0.0">
                  <c:v>2382.13</c:v>
                </c:pt>
                <c:pt idx="582" formatCode="0.0">
                  <c:v>2385.11</c:v>
                </c:pt>
                <c:pt idx="583" formatCode="0.0">
                  <c:v>2388.09</c:v>
                </c:pt>
                <c:pt idx="584" formatCode="0.0">
                  <c:v>2391.08</c:v>
                </c:pt>
                <c:pt idx="585" formatCode="0.0">
                  <c:v>2394.0700000000002</c:v>
                </c:pt>
                <c:pt idx="586" formatCode="0.0">
                  <c:v>2397.06</c:v>
                </c:pt>
                <c:pt idx="587" formatCode="0.0">
                  <c:v>2400.04</c:v>
                </c:pt>
                <c:pt idx="588" formatCode="0.0">
                  <c:v>2403.0300000000002</c:v>
                </c:pt>
                <c:pt idx="589" formatCode="0.0">
                  <c:v>2406.02</c:v>
                </c:pt>
                <c:pt idx="590" formatCode="0.0">
                  <c:v>2409.0100000000002</c:v>
                </c:pt>
                <c:pt idx="591" formatCode="0.0">
                  <c:v>2412</c:v>
                </c:pt>
                <c:pt idx="592" formatCode="0.0">
                  <c:v>2415</c:v>
                </c:pt>
                <c:pt idx="593" formatCode="0.0">
                  <c:v>2417.9899999999998</c:v>
                </c:pt>
                <c:pt idx="594" formatCode="0.0">
                  <c:v>2420.98</c:v>
                </c:pt>
                <c:pt idx="595" formatCode="0.0">
                  <c:v>2423.98</c:v>
                </c:pt>
                <c:pt idx="596" formatCode="0.0">
                  <c:v>2426.9699999999998</c:v>
                </c:pt>
                <c:pt idx="597" formatCode="0.0">
                  <c:v>2429.9699999999998</c:v>
                </c:pt>
                <c:pt idx="598" formatCode="0.0">
                  <c:v>2432.9699999999998</c:v>
                </c:pt>
                <c:pt idx="599" formatCode="0.0">
                  <c:v>2435.94</c:v>
                </c:pt>
                <c:pt idx="600" formatCode="0.0">
                  <c:v>2438.86</c:v>
                </c:pt>
                <c:pt idx="601" formatCode="0.0">
                  <c:v>2441.77</c:v>
                </c:pt>
                <c:pt idx="602" formatCode="0.0">
                  <c:v>2444.6999999999998</c:v>
                </c:pt>
                <c:pt idx="603" formatCode="0.0">
                  <c:v>2447.62</c:v>
                </c:pt>
                <c:pt idx="604" formatCode="0.0">
                  <c:v>2450.54</c:v>
                </c:pt>
                <c:pt idx="605" formatCode="0.0">
                  <c:v>2453.46</c:v>
                </c:pt>
                <c:pt idx="606" formatCode="0.0">
                  <c:v>2456.39</c:v>
                </c:pt>
                <c:pt idx="607" formatCode="0.0">
                  <c:v>2459.31</c:v>
                </c:pt>
                <c:pt idx="608" formatCode="0.0">
                  <c:v>2462.25</c:v>
                </c:pt>
                <c:pt idx="609" formatCode="0.0">
                  <c:v>2465.23</c:v>
                </c:pt>
                <c:pt idx="610" formatCode="0.0">
                  <c:v>2468.1999999999998</c:v>
                </c:pt>
                <c:pt idx="611" formatCode="0.0">
                  <c:v>2471.1799999999998</c:v>
                </c:pt>
                <c:pt idx="612" formatCode="0.0">
                  <c:v>2474.15</c:v>
                </c:pt>
                <c:pt idx="613" formatCode="0.0">
                  <c:v>2477.13</c:v>
                </c:pt>
                <c:pt idx="614" formatCode="0.0">
                  <c:v>2480.1</c:v>
                </c:pt>
                <c:pt idx="615" formatCode="0.0">
                  <c:v>2483.08</c:v>
                </c:pt>
                <c:pt idx="616" formatCode="0.0">
                  <c:v>2486.0500000000002</c:v>
                </c:pt>
                <c:pt idx="617" formatCode="0.0">
                  <c:v>2489.0300000000002</c:v>
                </c:pt>
                <c:pt idx="618" formatCode="0.0">
                  <c:v>2492</c:v>
                </c:pt>
                <c:pt idx="619" formatCode="0.0">
                  <c:v>2494.98</c:v>
                </c:pt>
                <c:pt idx="620" formatCode="0.0">
                  <c:v>2497.94</c:v>
                </c:pt>
                <c:pt idx="621" formatCode="0.0">
                  <c:v>2500.87</c:v>
                </c:pt>
                <c:pt idx="622" formatCode="0.0">
                  <c:v>2503.8000000000002</c:v>
                </c:pt>
                <c:pt idx="623" formatCode="0.0">
                  <c:v>2506.73</c:v>
                </c:pt>
                <c:pt idx="624" formatCode="0.0">
                  <c:v>2509.66</c:v>
                </c:pt>
                <c:pt idx="625" formatCode="0.0">
                  <c:v>2512.59</c:v>
                </c:pt>
                <c:pt idx="626" formatCode="0.0">
                  <c:v>2515.52</c:v>
                </c:pt>
                <c:pt idx="627" formatCode="0.0">
                  <c:v>2518.4499999999998</c:v>
                </c:pt>
                <c:pt idx="628" formatCode="0.0">
                  <c:v>2521.39</c:v>
                </c:pt>
                <c:pt idx="629" formatCode="0.0">
                  <c:v>2524.33</c:v>
                </c:pt>
                <c:pt idx="630" formatCode="0.0">
                  <c:v>2527.2600000000002</c:v>
                </c:pt>
                <c:pt idx="631" formatCode="0.0">
                  <c:v>2530.1999999999998</c:v>
                </c:pt>
                <c:pt idx="632" formatCode="0.0">
                  <c:v>2533.13</c:v>
                </c:pt>
                <c:pt idx="633" formatCode="0.0">
                  <c:v>2536.08</c:v>
                </c:pt>
                <c:pt idx="634" formatCode="0.0">
                  <c:v>2539.02</c:v>
                </c:pt>
                <c:pt idx="635" formatCode="0.0">
                  <c:v>2541.9499999999998</c:v>
                </c:pt>
                <c:pt idx="636" formatCode="0.0">
                  <c:v>2544.88</c:v>
                </c:pt>
                <c:pt idx="637" formatCode="0.0">
                  <c:v>2547.8200000000002</c:v>
                </c:pt>
                <c:pt idx="638" formatCode="0.0">
                  <c:v>2550.75</c:v>
                </c:pt>
                <c:pt idx="639" formatCode="0.0">
                  <c:v>2553.6999999999998</c:v>
                </c:pt>
                <c:pt idx="640" formatCode="0.0">
                  <c:v>2556.65</c:v>
                </c:pt>
                <c:pt idx="641" formatCode="0.0">
                  <c:v>2559.59</c:v>
                </c:pt>
                <c:pt idx="642" formatCode="0.0">
                  <c:v>2562.54</c:v>
                </c:pt>
                <c:pt idx="643" formatCode="0.0">
                  <c:v>2565.4899999999998</c:v>
                </c:pt>
                <c:pt idx="644" formatCode="0.0">
                  <c:v>2568.44</c:v>
                </c:pt>
                <c:pt idx="645" formatCode="0.0">
                  <c:v>2571.39</c:v>
                </c:pt>
                <c:pt idx="646" formatCode="0.0">
                  <c:v>2574.34</c:v>
                </c:pt>
                <c:pt idx="647" formatCode="0.0">
                  <c:v>2577.3000000000002</c:v>
                </c:pt>
                <c:pt idx="648" formatCode="0.0">
                  <c:v>2580.25</c:v>
                </c:pt>
                <c:pt idx="649" formatCode="0.0">
                  <c:v>2583.1999999999998</c:v>
                </c:pt>
                <c:pt idx="650" formatCode="0.0">
                  <c:v>2586.16</c:v>
                </c:pt>
                <c:pt idx="651" formatCode="0.0">
                  <c:v>2589.12</c:v>
                </c:pt>
                <c:pt idx="652" formatCode="0.0">
                  <c:v>2592.09</c:v>
                </c:pt>
                <c:pt idx="653" formatCode="0.0">
                  <c:v>2595.0500000000002</c:v>
                </c:pt>
                <c:pt idx="654" formatCode="0.0">
                  <c:v>2598.02</c:v>
                </c:pt>
                <c:pt idx="655" formatCode="0.0">
                  <c:v>2600.9899999999998</c:v>
                </c:pt>
                <c:pt idx="656" formatCode="0.0">
                  <c:v>2603.9499999999998</c:v>
                </c:pt>
                <c:pt idx="657" formatCode="0.0">
                  <c:v>2606.9299999999998</c:v>
                </c:pt>
                <c:pt idx="658" formatCode="0.0">
                  <c:v>2609.91</c:v>
                </c:pt>
                <c:pt idx="659" formatCode="0.0">
                  <c:v>2612.89</c:v>
                </c:pt>
                <c:pt idx="660" formatCode="0.0">
                  <c:v>2615.87</c:v>
                </c:pt>
                <c:pt idx="661" formatCode="0.0">
                  <c:v>2618.85</c:v>
                </c:pt>
                <c:pt idx="662" formatCode="0.0">
                  <c:v>2621.83</c:v>
                </c:pt>
                <c:pt idx="663" formatCode="0.0">
                  <c:v>2624.82</c:v>
                </c:pt>
                <c:pt idx="664" formatCode="0.0">
                  <c:v>2627.82</c:v>
                </c:pt>
                <c:pt idx="665" formatCode="0.0">
                  <c:v>2630.81</c:v>
                </c:pt>
                <c:pt idx="666" formatCode="0.0">
                  <c:v>2633.81</c:v>
                </c:pt>
                <c:pt idx="667" formatCode="0.0">
                  <c:v>2636.81</c:v>
                </c:pt>
                <c:pt idx="668" formatCode="0.0">
                  <c:v>2639.82</c:v>
                </c:pt>
                <c:pt idx="669" formatCode="0.0">
                  <c:v>2642.83</c:v>
                </c:pt>
                <c:pt idx="670" formatCode="0.0">
                  <c:v>2645.84</c:v>
                </c:pt>
                <c:pt idx="671" formatCode="0.0">
                  <c:v>2648.85</c:v>
                </c:pt>
                <c:pt idx="672" formatCode="0.0">
                  <c:v>2651.86</c:v>
                </c:pt>
                <c:pt idx="673" formatCode="0.0">
                  <c:v>2654.87</c:v>
                </c:pt>
                <c:pt idx="674" formatCode="0.0">
                  <c:v>2657.87</c:v>
                </c:pt>
                <c:pt idx="675" formatCode="0.0">
                  <c:v>2660.89</c:v>
                </c:pt>
                <c:pt idx="676" formatCode="0.0">
                  <c:v>2663.92</c:v>
                </c:pt>
                <c:pt idx="677" formatCode="0.0">
                  <c:v>2666.95</c:v>
                </c:pt>
                <c:pt idx="678" formatCode="0.0">
                  <c:v>2669.98</c:v>
                </c:pt>
                <c:pt idx="679" formatCode="0.0">
                  <c:v>2673.01</c:v>
                </c:pt>
                <c:pt idx="680" formatCode="0.0">
                  <c:v>2676.04</c:v>
                </c:pt>
                <c:pt idx="681" formatCode="0.0">
                  <c:v>2679.08</c:v>
                </c:pt>
                <c:pt idx="682" formatCode="0.0">
                  <c:v>2682.12</c:v>
                </c:pt>
                <c:pt idx="683" formatCode="0.0">
                  <c:v>2685.17</c:v>
                </c:pt>
                <c:pt idx="684" formatCode="0.0">
                  <c:v>2688.21</c:v>
                </c:pt>
                <c:pt idx="685" formatCode="0.0">
                  <c:v>2691.26</c:v>
                </c:pt>
                <c:pt idx="686" formatCode="0.0">
                  <c:v>2694.31</c:v>
                </c:pt>
                <c:pt idx="687" formatCode="0.0">
                  <c:v>2697.35</c:v>
                </c:pt>
                <c:pt idx="688" formatCode="0.0">
                  <c:v>2700.4</c:v>
                </c:pt>
                <c:pt idx="689" formatCode="0.0">
                  <c:v>2703.44</c:v>
                </c:pt>
                <c:pt idx="690" formatCode="0.0">
                  <c:v>2706.49</c:v>
                </c:pt>
                <c:pt idx="691" formatCode="0.0">
                  <c:v>2709.53</c:v>
                </c:pt>
                <c:pt idx="692" formatCode="0.0">
                  <c:v>2712.58</c:v>
                </c:pt>
                <c:pt idx="693" formatCode="0.0">
                  <c:v>2715.63</c:v>
                </c:pt>
                <c:pt idx="694" formatCode="0.0">
                  <c:v>2718.68</c:v>
                </c:pt>
                <c:pt idx="695" formatCode="0.0">
                  <c:v>2721.73</c:v>
                </c:pt>
                <c:pt idx="696" formatCode="0.0">
                  <c:v>2724.79</c:v>
                </c:pt>
                <c:pt idx="697" formatCode="0.0">
                  <c:v>2727.84</c:v>
                </c:pt>
                <c:pt idx="698" formatCode="0.0">
                  <c:v>2730.9</c:v>
                </c:pt>
                <c:pt idx="699" formatCode="0.0">
                  <c:v>2733.95</c:v>
                </c:pt>
                <c:pt idx="700" formatCode="0.0">
                  <c:v>2736.9</c:v>
                </c:pt>
                <c:pt idx="701" formatCode="0.0">
                  <c:v>2739.8</c:v>
                </c:pt>
                <c:pt idx="702" formatCode="0.0">
                  <c:v>2742.71</c:v>
                </c:pt>
                <c:pt idx="703" formatCode="0.0">
                  <c:v>2745.61</c:v>
                </c:pt>
                <c:pt idx="704" formatCode="0.0">
                  <c:v>2748.51</c:v>
                </c:pt>
                <c:pt idx="705" formatCode="0.0">
                  <c:v>2751.42</c:v>
                </c:pt>
                <c:pt idx="706" formatCode="0.0">
                  <c:v>2754.33</c:v>
                </c:pt>
                <c:pt idx="707" formatCode="0.0">
                  <c:v>2757.24</c:v>
                </c:pt>
                <c:pt idx="708" formatCode="0.0">
                  <c:v>2760.16</c:v>
                </c:pt>
                <c:pt idx="709" formatCode="0.0">
                  <c:v>2763.07</c:v>
                </c:pt>
                <c:pt idx="710" formatCode="0.0">
                  <c:v>2765.99</c:v>
                </c:pt>
                <c:pt idx="711" formatCode="0.0">
                  <c:v>2768.9</c:v>
                </c:pt>
                <c:pt idx="712" formatCode="0.0">
                  <c:v>2771.82</c:v>
                </c:pt>
                <c:pt idx="713" formatCode="0.0">
                  <c:v>2774.73</c:v>
                </c:pt>
                <c:pt idx="714" formatCode="0.0">
                  <c:v>2777.65</c:v>
                </c:pt>
                <c:pt idx="715" formatCode="0.0">
                  <c:v>2780.56</c:v>
                </c:pt>
                <c:pt idx="716" formatCode="0.0">
                  <c:v>2783.47</c:v>
                </c:pt>
                <c:pt idx="717" formatCode="0.0">
                  <c:v>2786.39</c:v>
                </c:pt>
                <c:pt idx="718" formatCode="0.0">
                  <c:v>2789.31</c:v>
                </c:pt>
                <c:pt idx="719" formatCode="0.0">
                  <c:v>2792.24</c:v>
                </c:pt>
                <c:pt idx="720" formatCode="0.0">
                  <c:v>2795.16</c:v>
                </c:pt>
                <c:pt idx="721" formatCode="0.0">
                  <c:v>2798.09</c:v>
                </c:pt>
                <c:pt idx="722" formatCode="0.0">
                  <c:v>2801.02</c:v>
                </c:pt>
                <c:pt idx="723" formatCode="0.0">
                  <c:v>2803.94</c:v>
                </c:pt>
                <c:pt idx="724" formatCode="0.0">
                  <c:v>2806.87</c:v>
                </c:pt>
                <c:pt idx="725" formatCode="0.0">
                  <c:v>2809.8</c:v>
                </c:pt>
                <c:pt idx="726" formatCode="0.0">
                  <c:v>2812.72</c:v>
                </c:pt>
                <c:pt idx="727" formatCode="0.0">
                  <c:v>2815.65</c:v>
                </c:pt>
                <c:pt idx="728" formatCode="0.0">
                  <c:v>2818.58</c:v>
                </c:pt>
                <c:pt idx="729" formatCode="0.0">
                  <c:v>2821.5</c:v>
                </c:pt>
                <c:pt idx="730" formatCode="0.0">
                  <c:v>2824.43</c:v>
                </c:pt>
                <c:pt idx="731" formatCode="0.0">
                  <c:v>2827.36</c:v>
                </c:pt>
                <c:pt idx="732" formatCode="0.0">
                  <c:v>2830.29</c:v>
                </c:pt>
                <c:pt idx="733" formatCode="0.0">
                  <c:v>2833.22</c:v>
                </c:pt>
                <c:pt idx="734" formatCode="0.0">
                  <c:v>2836.15</c:v>
                </c:pt>
                <c:pt idx="735" formatCode="0.0">
                  <c:v>2839.08</c:v>
                </c:pt>
                <c:pt idx="736" formatCode="0.0">
                  <c:v>2842.02</c:v>
                </c:pt>
                <c:pt idx="737" formatCode="0.0">
                  <c:v>2844.95</c:v>
                </c:pt>
                <c:pt idx="738" formatCode="0.0">
                  <c:v>2847.89</c:v>
                </c:pt>
                <c:pt idx="739" formatCode="0.0">
                  <c:v>2850.82</c:v>
                </c:pt>
                <c:pt idx="740" formatCode="0.0">
                  <c:v>2853.76</c:v>
                </c:pt>
                <c:pt idx="741" formatCode="0.0">
                  <c:v>2856.69</c:v>
                </c:pt>
                <c:pt idx="742" formatCode="0.0">
                  <c:v>2859.63</c:v>
                </c:pt>
                <c:pt idx="743" formatCode="0.0">
                  <c:v>2862.56</c:v>
                </c:pt>
                <c:pt idx="744" formatCode="0.0">
                  <c:v>2865.5</c:v>
                </c:pt>
                <c:pt idx="745" formatCode="0.0">
                  <c:v>2868.43</c:v>
                </c:pt>
                <c:pt idx="746" formatCode="0.0">
                  <c:v>2871.37</c:v>
                </c:pt>
                <c:pt idx="747" formatCode="0.0">
                  <c:v>2874.3</c:v>
                </c:pt>
                <c:pt idx="748" formatCode="0.0">
                  <c:v>2877.23</c:v>
                </c:pt>
                <c:pt idx="749" formatCode="0.0">
                  <c:v>2880.17</c:v>
                </c:pt>
                <c:pt idx="750" formatCode="0.0">
                  <c:v>2883.1</c:v>
                </c:pt>
                <c:pt idx="751" formatCode="0.0">
                  <c:v>2886.04</c:v>
                </c:pt>
                <c:pt idx="752" formatCode="0.0">
                  <c:v>2888.97</c:v>
                </c:pt>
                <c:pt idx="753" formatCode="0.0">
                  <c:v>2891.91</c:v>
                </c:pt>
                <c:pt idx="754" formatCode="0.0">
                  <c:v>2894.84</c:v>
                </c:pt>
                <c:pt idx="755" formatCode="0.0">
                  <c:v>2897.78</c:v>
                </c:pt>
                <c:pt idx="756" formatCode="0.0">
                  <c:v>2900.71</c:v>
                </c:pt>
                <c:pt idx="757" formatCode="0.0">
                  <c:v>2903.65</c:v>
                </c:pt>
                <c:pt idx="758" formatCode="0.0">
                  <c:v>2906.58</c:v>
                </c:pt>
                <c:pt idx="759" formatCode="0.0">
                  <c:v>2909.52</c:v>
                </c:pt>
                <c:pt idx="760" formatCode="0.0">
                  <c:v>2912.45</c:v>
                </c:pt>
                <c:pt idx="761" formatCode="0.0">
                  <c:v>2915.38</c:v>
                </c:pt>
                <c:pt idx="762" formatCode="0.0">
                  <c:v>2918.32</c:v>
                </c:pt>
                <c:pt idx="763" formatCode="0.0">
                  <c:v>2921.25</c:v>
                </c:pt>
                <c:pt idx="764" formatCode="0.0">
                  <c:v>2924.19</c:v>
                </c:pt>
                <c:pt idx="765" formatCode="0.0">
                  <c:v>2927.12</c:v>
                </c:pt>
                <c:pt idx="766" formatCode="0.0">
                  <c:v>2930.06</c:v>
                </c:pt>
                <c:pt idx="767" formatCode="0.0">
                  <c:v>2932.99</c:v>
                </c:pt>
                <c:pt idx="768" formatCode="0.0">
                  <c:v>2935.81</c:v>
                </c:pt>
                <c:pt idx="769" formatCode="0.0">
                  <c:v>2938.43</c:v>
                </c:pt>
                <c:pt idx="770" formatCode="0.0">
                  <c:v>2941.05</c:v>
                </c:pt>
                <c:pt idx="771" formatCode="0.0">
                  <c:v>2943.67</c:v>
                </c:pt>
                <c:pt idx="772" formatCode="0.0">
                  <c:v>2946.28</c:v>
                </c:pt>
                <c:pt idx="773" formatCode="0.0">
                  <c:v>2948.9</c:v>
                </c:pt>
                <c:pt idx="774" formatCode="0.0">
                  <c:v>2951.52</c:v>
                </c:pt>
                <c:pt idx="775" formatCode="0.0">
                  <c:v>2954.14</c:v>
                </c:pt>
                <c:pt idx="776" formatCode="0.0">
                  <c:v>2956.76</c:v>
                </c:pt>
                <c:pt idx="777" formatCode="0.0">
                  <c:v>2959.38</c:v>
                </c:pt>
                <c:pt idx="778" formatCode="0.0">
                  <c:v>2961.99</c:v>
                </c:pt>
                <c:pt idx="779" formatCode="0.0">
                  <c:v>2964.61</c:v>
                </c:pt>
                <c:pt idx="780" formatCode="0.0">
                  <c:v>2967.23</c:v>
                </c:pt>
                <c:pt idx="781" formatCode="0.0">
                  <c:v>2969.85</c:v>
                </c:pt>
                <c:pt idx="782" formatCode="0.0">
                  <c:v>2972.47</c:v>
                </c:pt>
                <c:pt idx="783" formatCode="0.0">
                  <c:v>2975.08</c:v>
                </c:pt>
                <c:pt idx="784" formatCode="0.0">
                  <c:v>2977.7</c:v>
                </c:pt>
                <c:pt idx="785" formatCode="0.0">
                  <c:v>2980.32</c:v>
                </c:pt>
                <c:pt idx="786" formatCode="0.0">
                  <c:v>2982.94</c:v>
                </c:pt>
                <c:pt idx="787" formatCode="0.0">
                  <c:v>2985.56</c:v>
                </c:pt>
                <c:pt idx="788" formatCode="0.0">
                  <c:v>2988.17</c:v>
                </c:pt>
                <c:pt idx="789" formatCode="0.0">
                  <c:v>2990.79</c:v>
                </c:pt>
                <c:pt idx="790" formatCode="0.0">
                  <c:v>2993.41</c:v>
                </c:pt>
                <c:pt idx="791" formatCode="0.0">
                  <c:v>2996.03</c:v>
                </c:pt>
                <c:pt idx="792" formatCode="0.0">
                  <c:v>2998.65</c:v>
                </c:pt>
                <c:pt idx="793" formatCode="0.0">
                  <c:v>3001.27</c:v>
                </c:pt>
                <c:pt idx="794" formatCode="0.0">
                  <c:v>3003.88</c:v>
                </c:pt>
                <c:pt idx="795" formatCode="0.0">
                  <c:v>3006.5</c:v>
                </c:pt>
                <c:pt idx="796" formatCode="0.0">
                  <c:v>3009.12</c:v>
                </c:pt>
                <c:pt idx="797" formatCode="0.0">
                  <c:v>3011.74</c:v>
                </c:pt>
                <c:pt idx="798" formatCode="0.0">
                  <c:v>3014.36</c:v>
                </c:pt>
                <c:pt idx="799" formatCode="0.0">
                  <c:v>3016.97</c:v>
                </c:pt>
                <c:pt idx="800" formatCode="0.0">
                  <c:v>3019.59</c:v>
                </c:pt>
                <c:pt idx="801" formatCode="0.0">
                  <c:v>3022.21</c:v>
                </c:pt>
                <c:pt idx="802" formatCode="0.0">
                  <c:v>3024.83</c:v>
                </c:pt>
                <c:pt idx="803" formatCode="0.0">
                  <c:v>3027.45</c:v>
                </c:pt>
                <c:pt idx="804" formatCode="0.0">
                  <c:v>3030.07</c:v>
                </c:pt>
                <c:pt idx="805" formatCode="0.0">
                  <c:v>3032.68</c:v>
                </c:pt>
                <c:pt idx="806" formatCode="0.0">
                  <c:v>3035.33</c:v>
                </c:pt>
                <c:pt idx="807" formatCode="0.0">
                  <c:v>3038.12</c:v>
                </c:pt>
                <c:pt idx="808" formatCode="0.0">
                  <c:v>3040.9</c:v>
                </c:pt>
                <c:pt idx="809" formatCode="0.0">
                  <c:v>3043.69</c:v>
                </c:pt>
                <c:pt idx="810" formatCode="0.0">
                  <c:v>3046.48</c:v>
                </c:pt>
                <c:pt idx="811" formatCode="0.0">
                  <c:v>3049.26</c:v>
                </c:pt>
                <c:pt idx="812" formatCode="0.0">
                  <c:v>3052.05</c:v>
                </c:pt>
                <c:pt idx="813" formatCode="0.0">
                  <c:v>3054.84</c:v>
                </c:pt>
                <c:pt idx="814" formatCode="0.0">
                  <c:v>3057.62</c:v>
                </c:pt>
                <c:pt idx="815" formatCode="0.0">
                  <c:v>3060.41</c:v>
                </c:pt>
                <c:pt idx="816" formatCode="0.0">
                  <c:v>3063.2</c:v>
                </c:pt>
                <c:pt idx="817" formatCode="0.0">
                  <c:v>3065.98</c:v>
                </c:pt>
                <c:pt idx="818" formatCode="0.0">
                  <c:v>3068.77</c:v>
                </c:pt>
                <c:pt idx="819" formatCode="0.0">
                  <c:v>3071.56</c:v>
                </c:pt>
                <c:pt idx="820" formatCode="0.0">
                  <c:v>3074.34</c:v>
                </c:pt>
                <c:pt idx="821" formatCode="0.0">
                  <c:v>3077.13</c:v>
                </c:pt>
                <c:pt idx="822" formatCode="0.0">
                  <c:v>3079.92</c:v>
                </c:pt>
                <c:pt idx="823" formatCode="0.0">
                  <c:v>3082.7</c:v>
                </c:pt>
                <c:pt idx="824" formatCode="0.0">
                  <c:v>3085.49</c:v>
                </c:pt>
                <c:pt idx="825" formatCode="0.0">
                  <c:v>3088.28</c:v>
                </c:pt>
                <c:pt idx="826" formatCode="0.0">
                  <c:v>3091.06</c:v>
                </c:pt>
                <c:pt idx="827" formatCode="0.0">
                  <c:v>3093.85</c:v>
                </c:pt>
                <c:pt idx="828" formatCode="0.0">
                  <c:v>3096.64</c:v>
                </c:pt>
                <c:pt idx="829" formatCode="0.0">
                  <c:v>3099.42</c:v>
                </c:pt>
                <c:pt idx="830" formatCode="0.0">
                  <c:v>3102.21</c:v>
                </c:pt>
                <c:pt idx="831" formatCode="0.0">
                  <c:v>3105</c:v>
                </c:pt>
                <c:pt idx="832" formatCode="0.0">
                  <c:v>3107.78</c:v>
                </c:pt>
                <c:pt idx="833" formatCode="0.0">
                  <c:v>3110.57</c:v>
                </c:pt>
                <c:pt idx="834" formatCode="0.0">
                  <c:v>3113.36</c:v>
                </c:pt>
                <c:pt idx="835" formatCode="0.0">
                  <c:v>3116.14</c:v>
                </c:pt>
                <c:pt idx="836" formatCode="0.0">
                  <c:v>3118.93</c:v>
                </c:pt>
                <c:pt idx="837" formatCode="0.0">
                  <c:v>3121.72</c:v>
                </c:pt>
                <c:pt idx="838" formatCode="0.0">
                  <c:v>3124.5</c:v>
                </c:pt>
                <c:pt idx="839" formatCode="0.0">
                  <c:v>3127.29</c:v>
                </c:pt>
                <c:pt idx="840" formatCode="0.0">
                  <c:v>3130.08</c:v>
                </c:pt>
                <c:pt idx="841" formatCode="0.0">
                  <c:v>3132.86</c:v>
                </c:pt>
                <c:pt idx="842" formatCode="0.0">
                  <c:v>3135.69</c:v>
                </c:pt>
                <c:pt idx="843" formatCode="0.0">
                  <c:v>3138.6</c:v>
                </c:pt>
                <c:pt idx="844" formatCode="0.0">
                  <c:v>3141.51</c:v>
                </c:pt>
                <c:pt idx="845" formatCode="0.0">
                  <c:v>3144.43</c:v>
                </c:pt>
                <c:pt idx="846" formatCode="0.0">
                  <c:v>3147.34</c:v>
                </c:pt>
                <c:pt idx="847" formatCode="0.0">
                  <c:v>3150.25</c:v>
                </c:pt>
                <c:pt idx="848" formatCode="0.0">
                  <c:v>3153.17</c:v>
                </c:pt>
                <c:pt idx="849" formatCode="0.0">
                  <c:v>3156.08</c:v>
                </c:pt>
                <c:pt idx="850" formatCode="0.0">
                  <c:v>3158.99</c:v>
                </c:pt>
                <c:pt idx="851" formatCode="0.0">
                  <c:v>3161.91</c:v>
                </c:pt>
                <c:pt idx="852" formatCode="0.0">
                  <c:v>3164.82</c:v>
                </c:pt>
                <c:pt idx="853" formatCode="0.0">
                  <c:v>3167.73</c:v>
                </c:pt>
                <c:pt idx="854" formatCode="0.0">
                  <c:v>3170.65</c:v>
                </c:pt>
                <c:pt idx="855" formatCode="0.0">
                  <c:v>3173.56</c:v>
                </c:pt>
                <c:pt idx="856" formatCode="0.0">
                  <c:v>3176.47</c:v>
                </c:pt>
                <c:pt idx="857" formatCode="0.0">
                  <c:v>3179.38</c:v>
                </c:pt>
                <c:pt idx="858" formatCode="0.0">
                  <c:v>3182.3</c:v>
                </c:pt>
                <c:pt idx="859" formatCode="0.0">
                  <c:v>3185.21</c:v>
                </c:pt>
                <c:pt idx="860" formatCode="0.0">
                  <c:v>3188.12</c:v>
                </c:pt>
                <c:pt idx="861" formatCode="0.0">
                  <c:v>3191.04</c:v>
                </c:pt>
                <c:pt idx="862" formatCode="0.0">
                  <c:v>3193.95</c:v>
                </c:pt>
                <c:pt idx="863" formatCode="0.0">
                  <c:v>3196.86</c:v>
                </c:pt>
                <c:pt idx="864" formatCode="0.0">
                  <c:v>3199.78</c:v>
                </c:pt>
                <c:pt idx="865" formatCode="0.0">
                  <c:v>3202.69</c:v>
                </c:pt>
                <c:pt idx="866" formatCode="0.0">
                  <c:v>3205.6</c:v>
                </c:pt>
                <c:pt idx="867" formatCode="0.0">
                  <c:v>3208.52</c:v>
                </c:pt>
                <c:pt idx="868" formatCode="0.0">
                  <c:v>3211.43</c:v>
                </c:pt>
                <c:pt idx="869" formatCode="0.0">
                  <c:v>3214.34</c:v>
                </c:pt>
                <c:pt idx="870" formatCode="0.0">
                  <c:v>3217.26</c:v>
                </c:pt>
                <c:pt idx="871" formatCode="0.0">
                  <c:v>3220.17</c:v>
                </c:pt>
                <c:pt idx="872" formatCode="0.0">
                  <c:v>3223.08</c:v>
                </c:pt>
                <c:pt idx="873" formatCode="0.0">
                  <c:v>3226</c:v>
                </c:pt>
                <c:pt idx="874" formatCode="0.0">
                  <c:v>3228.91</c:v>
                </c:pt>
                <c:pt idx="875" formatCode="0.0">
                  <c:v>3231.82</c:v>
                </c:pt>
                <c:pt idx="876" formatCode="0.0">
                  <c:v>3234.74</c:v>
                </c:pt>
                <c:pt idx="877" formatCode="0.0">
                  <c:v>3237.51</c:v>
                </c:pt>
                <c:pt idx="878" formatCode="0.0">
                  <c:v>3240.28</c:v>
                </c:pt>
                <c:pt idx="879" formatCode="0.0">
                  <c:v>3243.05</c:v>
                </c:pt>
                <c:pt idx="880" formatCode="0.0">
                  <c:v>3245.82</c:v>
                </c:pt>
                <c:pt idx="881" formatCode="0.0">
                  <c:v>3248.59</c:v>
                </c:pt>
                <c:pt idx="882" formatCode="0.0">
                  <c:v>3251.36</c:v>
                </c:pt>
                <c:pt idx="883" formatCode="0.0">
                  <c:v>3254.12</c:v>
                </c:pt>
                <c:pt idx="884" formatCode="0.0">
                  <c:v>3256.89</c:v>
                </c:pt>
                <c:pt idx="885" formatCode="0.0">
                  <c:v>3259.66</c:v>
                </c:pt>
                <c:pt idx="886" formatCode="0.0">
                  <c:v>3262.43</c:v>
                </c:pt>
                <c:pt idx="887" formatCode="0.0">
                  <c:v>3265.2</c:v>
                </c:pt>
                <c:pt idx="888" formatCode="0.0">
                  <c:v>3267.97</c:v>
                </c:pt>
                <c:pt idx="889" formatCode="0.0">
                  <c:v>3270.74</c:v>
                </c:pt>
                <c:pt idx="890" formatCode="0.0">
                  <c:v>3273.5</c:v>
                </c:pt>
                <c:pt idx="891" formatCode="0.0">
                  <c:v>3276.27</c:v>
                </c:pt>
                <c:pt idx="892" formatCode="0.0">
                  <c:v>3279.04</c:v>
                </c:pt>
                <c:pt idx="893" formatCode="0.0">
                  <c:v>3281.81</c:v>
                </c:pt>
                <c:pt idx="894" formatCode="0.0">
                  <c:v>3284.58</c:v>
                </c:pt>
                <c:pt idx="895" formatCode="0.0">
                  <c:v>3287.35</c:v>
                </c:pt>
                <c:pt idx="896" formatCode="0.0">
                  <c:v>3290.12</c:v>
                </c:pt>
                <c:pt idx="897" formatCode="0.0">
                  <c:v>3292.88</c:v>
                </c:pt>
                <c:pt idx="898" formatCode="0.0">
                  <c:v>3295.65</c:v>
                </c:pt>
                <c:pt idx="899" formatCode="0.0">
                  <c:v>3298.42</c:v>
                </c:pt>
                <c:pt idx="900" formatCode="0.0">
                  <c:v>3301.19</c:v>
                </c:pt>
                <c:pt idx="901" formatCode="0.0">
                  <c:v>3303.96</c:v>
                </c:pt>
                <c:pt idx="902" formatCode="0.0">
                  <c:v>3306.73</c:v>
                </c:pt>
                <c:pt idx="903" formatCode="0.0">
                  <c:v>3309.5</c:v>
                </c:pt>
                <c:pt idx="904" formatCode="0.0">
                  <c:v>3312.26</c:v>
                </c:pt>
                <c:pt idx="905" formatCode="0.0">
                  <c:v>3315.02</c:v>
                </c:pt>
                <c:pt idx="906" formatCode="0.0">
                  <c:v>3317.6</c:v>
                </c:pt>
                <c:pt idx="907" formatCode="0.0">
                  <c:v>3320.18</c:v>
                </c:pt>
                <c:pt idx="908" formatCode="0.0">
                  <c:v>3322.76</c:v>
                </c:pt>
                <c:pt idx="909" formatCode="0.0">
                  <c:v>3325.33</c:v>
                </c:pt>
                <c:pt idx="910" formatCode="0.0">
                  <c:v>3327.91</c:v>
                </c:pt>
                <c:pt idx="911" formatCode="0.0">
                  <c:v>3330.49</c:v>
                </c:pt>
              </c:numCache>
            </c:numRef>
          </c:xVal>
          <c:yVal>
            <c:numRef>
              <c:f>'NUNR-012'!$D$15:$D$926</c:f>
              <c:numCache>
                <c:formatCode>0.00</c:formatCode>
                <c:ptCount val="912"/>
                <c:pt idx="0">
                  <c:v>0</c:v>
                </c:pt>
                <c:pt idx="1">
                  <c:v>15.74</c:v>
                </c:pt>
                <c:pt idx="2">
                  <c:v>32.15</c:v>
                </c:pt>
                <c:pt idx="3">
                  <c:v>48.55</c:v>
                </c:pt>
                <c:pt idx="4">
                  <c:v>64.95</c:v>
                </c:pt>
                <c:pt idx="5">
                  <c:v>81.36</c:v>
                </c:pt>
                <c:pt idx="6">
                  <c:v>97.76</c:v>
                </c:pt>
                <c:pt idx="7">
                  <c:v>114.17</c:v>
                </c:pt>
                <c:pt idx="8">
                  <c:v>130.57</c:v>
                </c:pt>
                <c:pt idx="9">
                  <c:v>146.97999999999999</c:v>
                </c:pt>
                <c:pt idx="10">
                  <c:v>163.38</c:v>
                </c:pt>
                <c:pt idx="11">
                  <c:v>179.78</c:v>
                </c:pt>
                <c:pt idx="12">
                  <c:v>196.19</c:v>
                </c:pt>
                <c:pt idx="13">
                  <c:v>212.59</c:v>
                </c:pt>
                <c:pt idx="14">
                  <c:v>229</c:v>
                </c:pt>
                <c:pt idx="15">
                  <c:v>245.4</c:v>
                </c:pt>
                <c:pt idx="16">
                  <c:v>261.8</c:v>
                </c:pt>
                <c:pt idx="17">
                  <c:v>278.20999999999998</c:v>
                </c:pt>
                <c:pt idx="18">
                  <c:v>294.61</c:v>
                </c:pt>
                <c:pt idx="19">
                  <c:v>311.02</c:v>
                </c:pt>
                <c:pt idx="20">
                  <c:v>327.42</c:v>
                </c:pt>
                <c:pt idx="21">
                  <c:v>343.82</c:v>
                </c:pt>
                <c:pt idx="22">
                  <c:v>360.23</c:v>
                </c:pt>
                <c:pt idx="23">
                  <c:v>376.63</c:v>
                </c:pt>
                <c:pt idx="24">
                  <c:v>393.04</c:v>
                </c:pt>
                <c:pt idx="25">
                  <c:v>409.44</c:v>
                </c:pt>
                <c:pt idx="26">
                  <c:v>425.84</c:v>
                </c:pt>
                <c:pt idx="27">
                  <c:v>442.25</c:v>
                </c:pt>
                <c:pt idx="28">
                  <c:v>458.65</c:v>
                </c:pt>
                <c:pt idx="29">
                  <c:v>475.06</c:v>
                </c:pt>
                <c:pt idx="30">
                  <c:v>491.46</c:v>
                </c:pt>
                <c:pt idx="31">
                  <c:v>507.86</c:v>
                </c:pt>
                <c:pt idx="32">
                  <c:v>524.27</c:v>
                </c:pt>
                <c:pt idx="33">
                  <c:v>540.66999999999996</c:v>
                </c:pt>
                <c:pt idx="34">
                  <c:v>557.08000000000004</c:v>
                </c:pt>
                <c:pt idx="35">
                  <c:v>573.48</c:v>
                </c:pt>
                <c:pt idx="36">
                  <c:v>589.89</c:v>
                </c:pt>
                <c:pt idx="37">
                  <c:v>606.29</c:v>
                </c:pt>
                <c:pt idx="38">
                  <c:v>622.69000000000005</c:v>
                </c:pt>
                <c:pt idx="39">
                  <c:v>639.1</c:v>
                </c:pt>
                <c:pt idx="40">
                  <c:v>655.5</c:v>
                </c:pt>
                <c:pt idx="41">
                  <c:v>671.91</c:v>
                </c:pt>
                <c:pt idx="42">
                  <c:v>688.31</c:v>
                </c:pt>
                <c:pt idx="43">
                  <c:v>704.71</c:v>
                </c:pt>
                <c:pt idx="44">
                  <c:v>721.12</c:v>
                </c:pt>
                <c:pt idx="45">
                  <c:v>737.52</c:v>
                </c:pt>
                <c:pt idx="46">
                  <c:v>753.93</c:v>
                </c:pt>
                <c:pt idx="47">
                  <c:v>770.33</c:v>
                </c:pt>
                <c:pt idx="48">
                  <c:v>786.74</c:v>
                </c:pt>
                <c:pt idx="49">
                  <c:v>803.14</c:v>
                </c:pt>
                <c:pt idx="50">
                  <c:v>819.54</c:v>
                </c:pt>
                <c:pt idx="51">
                  <c:v>835.95</c:v>
                </c:pt>
                <c:pt idx="52">
                  <c:v>852.35</c:v>
                </c:pt>
                <c:pt idx="53">
                  <c:v>868.76</c:v>
                </c:pt>
                <c:pt idx="54">
                  <c:v>885.16</c:v>
                </c:pt>
                <c:pt idx="55">
                  <c:v>901.56</c:v>
                </c:pt>
                <c:pt idx="56">
                  <c:v>917.97</c:v>
                </c:pt>
                <c:pt idx="57">
                  <c:v>934.37</c:v>
                </c:pt>
                <c:pt idx="58">
                  <c:v>950.78</c:v>
                </c:pt>
                <c:pt idx="59">
                  <c:v>967.18</c:v>
                </c:pt>
                <c:pt idx="60">
                  <c:v>983.58</c:v>
                </c:pt>
                <c:pt idx="61">
                  <c:v>999.99</c:v>
                </c:pt>
                <c:pt idx="62">
                  <c:v>1016.39</c:v>
                </c:pt>
                <c:pt idx="63" formatCode="0.0">
                  <c:v>1032.8</c:v>
                </c:pt>
                <c:pt idx="64" formatCode="0.0">
                  <c:v>1049.2</c:v>
                </c:pt>
                <c:pt idx="65" formatCode="0.0">
                  <c:v>1065.5999999999999</c:v>
                </c:pt>
                <c:pt idx="66" formatCode="0.0">
                  <c:v>1082.01</c:v>
                </c:pt>
                <c:pt idx="67" formatCode="0.0">
                  <c:v>1098.4100000000001</c:v>
                </c:pt>
                <c:pt idx="68" formatCode="0.0">
                  <c:v>1114.82</c:v>
                </c:pt>
                <c:pt idx="69" formatCode="0.0">
                  <c:v>1131.22</c:v>
                </c:pt>
                <c:pt idx="70" formatCode="0.0">
                  <c:v>1147.6199999999999</c:v>
                </c:pt>
                <c:pt idx="71" formatCode="0.0">
                  <c:v>1164.03</c:v>
                </c:pt>
                <c:pt idx="72" formatCode="0.0">
                  <c:v>1180.43</c:v>
                </c:pt>
                <c:pt idx="73" formatCode="0.0">
                  <c:v>1196.8399999999999</c:v>
                </c:pt>
                <c:pt idx="74" formatCode="0.0">
                  <c:v>1213.24</c:v>
                </c:pt>
                <c:pt idx="75" formatCode="0.0">
                  <c:v>1229.6400000000001</c:v>
                </c:pt>
                <c:pt idx="76" formatCode="0.0">
                  <c:v>1246.05</c:v>
                </c:pt>
                <c:pt idx="77" formatCode="0.0">
                  <c:v>1262.45</c:v>
                </c:pt>
                <c:pt idx="78" formatCode="0.0">
                  <c:v>1278.8599999999999</c:v>
                </c:pt>
                <c:pt idx="79" formatCode="0.0">
                  <c:v>1295.26</c:v>
                </c:pt>
                <c:pt idx="80" formatCode="0.0">
                  <c:v>1311.66</c:v>
                </c:pt>
                <c:pt idx="81" formatCode="0.0">
                  <c:v>1328.07</c:v>
                </c:pt>
                <c:pt idx="82" formatCode="0.0">
                  <c:v>1344.47</c:v>
                </c:pt>
                <c:pt idx="83" formatCode="0.0">
                  <c:v>1360.88</c:v>
                </c:pt>
                <c:pt idx="84" formatCode="0.0">
                  <c:v>1377.28</c:v>
                </c:pt>
                <c:pt idx="85" formatCode="0.0">
                  <c:v>1393.68</c:v>
                </c:pt>
                <c:pt idx="86" formatCode="0.0">
                  <c:v>1410.09</c:v>
                </c:pt>
                <c:pt idx="87" formatCode="0.0">
                  <c:v>1426.49</c:v>
                </c:pt>
                <c:pt idx="88" formatCode="0.0">
                  <c:v>1442.9</c:v>
                </c:pt>
                <c:pt idx="89" formatCode="0.0">
                  <c:v>1459.3</c:v>
                </c:pt>
                <c:pt idx="90" formatCode="0.0">
                  <c:v>1475.71</c:v>
                </c:pt>
                <c:pt idx="91" formatCode="0.0">
                  <c:v>1492.11</c:v>
                </c:pt>
                <c:pt idx="92" formatCode="0.0">
                  <c:v>1508.51</c:v>
                </c:pt>
                <c:pt idx="93" formatCode="0.0">
                  <c:v>1524.92</c:v>
                </c:pt>
                <c:pt idx="94" formatCode="0.0">
                  <c:v>1541.32</c:v>
                </c:pt>
                <c:pt idx="95" formatCode="0.0">
                  <c:v>1557.73</c:v>
                </c:pt>
                <c:pt idx="96" formatCode="0.0">
                  <c:v>1574.13</c:v>
                </c:pt>
                <c:pt idx="97" formatCode="0.0">
                  <c:v>1590.53</c:v>
                </c:pt>
                <c:pt idx="98" formatCode="0.0">
                  <c:v>1606.94</c:v>
                </c:pt>
                <c:pt idx="99" formatCode="0.0">
                  <c:v>1623.34</c:v>
                </c:pt>
                <c:pt idx="100" formatCode="0.0">
                  <c:v>1639.75</c:v>
                </c:pt>
                <c:pt idx="101" formatCode="0.0">
                  <c:v>1656.15</c:v>
                </c:pt>
                <c:pt idx="102" formatCode="0.0">
                  <c:v>1672.55</c:v>
                </c:pt>
                <c:pt idx="103" formatCode="0.0">
                  <c:v>1688.96</c:v>
                </c:pt>
                <c:pt idx="104" formatCode="0.0">
                  <c:v>1705.36</c:v>
                </c:pt>
                <c:pt idx="105" formatCode="0.0">
                  <c:v>1721.77</c:v>
                </c:pt>
                <c:pt idx="106" formatCode="0.0">
                  <c:v>1738.17</c:v>
                </c:pt>
                <c:pt idx="107" formatCode="0.0">
                  <c:v>1754.57</c:v>
                </c:pt>
                <c:pt idx="108" formatCode="0.0">
                  <c:v>1770.98</c:v>
                </c:pt>
                <c:pt idx="109" formatCode="0.0">
                  <c:v>1787.38</c:v>
                </c:pt>
                <c:pt idx="110" formatCode="0.0">
                  <c:v>1803.79</c:v>
                </c:pt>
                <c:pt idx="111" formatCode="0.0">
                  <c:v>1820.19</c:v>
                </c:pt>
                <c:pt idx="112" formatCode="0.0">
                  <c:v>1836.59</c:v>
                </c:pt>
                <c:pt idx="113" formatCode="0.0">
                  <c:v>1853</c:v>
                </c:pt>
                <c:pt idx="114" formatCode="0.0">
                  <c:v>1869.4</c:v>
                </c:pt>
                <c:pt idx="115" formatCode="0.0">
                  <c:v>1885.81</c:v>
                </c:pt>
                <c:pt idx="116" formatCode="0.0">
                  <c:v>1902.21</c:v>
                </c:pt>
                <c:pt idx="117" formatCode="0.0">
                  <c:v>1918.61</c:v>
                </c:pt>
                <c:pt idx="118" formatCode="0.0">
                  <c:v>1935.02</c:v>
                </c:pt>
                <c:pt idx="119" formatCode="0.0">
                  <c:v>1951.42</c:v>
                </c:pt>
                <c:pt idx="120" formatCode="0.0">
                  <c:v>1967.83</c:v>
                </c:pt>
                <c:pt idx="121" formatCode="0.0">
                  <c:v>1984.23</c:v>
                </c:pt>
                <c:pt idx="122" formatCode="0.0">
                  <c:v>2000.63</c:v>
                </c:pt>
                <c:pt idx="123" formatCode="0.0">
                  <c:v>2017.04</c:v>
                </c:pt>
                <c:pt idx="124" formatCode="0.0">
                  <c:v>2033.44</c:v>
                </c:pt>
                <c:pt idx="125" formatCode="0.0">
                  <c:v>2049.85</c:v>
                </c:pt>
                <c:pt idx="126" formatCode="0.0">
                  <c:v>2066.25</c:v>
                </c:pt>
                <c:pt idx="127" formatCode="0.0">
                  <c:v>2082.65</c:v>
                </c:pt>
                <c:pt idx="128" formatCode="0.0">
                  <c:v>2099.06</c:v>
                </c:pt>
                <c:pt idx="129" formatCode="0.0">
                  <c:v>2115.46</c:v>
                </c:pt>
                <c:pt idx="130" formatCode="0.0">
                  <c:v>2131.87</c:v>
                </c:pt>
                <c:pt idx="131" formatCode="0.0">
                  <c:v>2148.27</c:v>
                </c:pt>
                <c:pt idx="132" formatCode="0.0">
                  <c:v>2164.6799999999998</c:v>
                </c:pt>
                <c:pt idx="133" formatCode="0.0">
                  <c:v>2181.08</c:v>
                </c:pt>
                <c:pt idx="134" formatCode="0.0">
                  <c:v>2197.48</c:v>
                </c:pt>
                <c:pt idx="135" formatCode="0.0">
                  <c:v>2213.89</c:v>
                </c:pt>
                <c:pt idx="136" formatCode="0.0">
                  <c:v>2230.29</c:v>
                </c:pt>
                <c:pt idx="137" formatCode="0.0">
                  <c:v>2246.6999999999998</c:v>
                </c:pt>
                <c:pt idx="138" formatCode="0.0">
                  <c:v>2263.1</c:v>
                </c:pt>
                <c:pt idx="139" formatCode="0.0">
                  <c:v>2279.5</c:v>
                </c:pt>
                <c:pt idx="140" formatCode="0.0">
                  <c:v>2295.91</c:v>
                </c:pt>
                <c:pt idx="141" formatCode="0.0">
                  <c:v>2312.31</c:v>
                </c:pt>
                <c:pt idx="142" formatCode="0.0">
                  <c:v>2328.7199999999998</c:v>
                </c:pt>
                <c:pt idx="143" formatCode="0.0">
                  <c:v>2345.12</c:v>
                </c:pt>
                <c:pt idx="144" formatCode="0.0">
                  <c:v>2361.52</c:v>
                </c:pt>
                <c:pt idx="145" formatCode="0.0">
                  <c:v>2377.9299999999998</c:v>
                </c:pt>
                <c:pt idx="146" formatCode="0.0">
                  <c:v>2394.33</c:v>
                </c:pt>
                <c:pt idx="147" formatCode="0.0">
                  <c:v>2410.7399999999998</c:v>
                </c:pt>
                <c:pt idx="148" formatCode="0.0">
                  <c:v>2427.14</c:v>
                </c:pt>
                <c:pt idx="149" formatCode="0.0">
                  <c:v>2443.54</c:v>
                </c:pt>
                <c:pt idx="150" formatCode="0.0">
                  <c:v>2459.9499999999998</c:v>
                </c:pt>
                <c:pt idx="151" formatCode="0.0">
                  <c:v>2476.35</c:v>
                </c:pt>
                <c:pt idx="152" formatCode="0.0">
                  <c:v>2492.75</c:v>
                </c:pt>
                <c:pt idx="153" formatCode="0.0">
                  <c:v>2509.16</c:v>
                </c:pt>
                <c:pt idx="154" formatCode="0.0">
                  <c:v>2525.56</c:v>
                </c:pt>
                <c:pt idx="155" formatCode="0.0">
                  <c:v>2541.96</c:v>
                </c:pt>
                <c:pt idx="156" formatCode="0.0">
                  <c:v>2558.37</c:v>
                </c:pt>
                <c:pt idx="157" formatCode="0.0">
                  <c:v>2574.77</c:v>
                </c:pt>
                <c:pt idx="158" formatCode="0.0">
                  <c:v>2591.1799999999998</c:v>
                </c:pt>
                <c:pt idx="159" formatCode="0.0">
                  <c:v>2607.58</c:v>
                </c:pt>
                <c:pt idx="160" formatCode="0.0">
                  <c:v>2623.98</c:v>
                </c:pt>
                <c:pt idx="161" formatCode="0.0">
                  <c:v>2640.39</c:v>
                </c:pt>
                <c:pt idx="162" formatCode="0.0">
                  <c:v>2656.79</c:v>
                </c:pt>
                <c:pt idx="163" formatCode="0.0">
                  <c:v>2673.19</c:v>
                </c:pt>
                <c:pt idx="164" formatCode="0.0">
                  <c:v>2689.6</c:v>
                </c:pt>
                <c:pt idx="165" formatCode="0.0">
                  <c:v>2706</c:v>
                </c:pt>
                <c:pt idx="166" formatCode="0.0">
                  <c:v>2722.4</c:v>
                </c:pt>
                <c:pt idx="167" formatCode="0.0">
                  <c:v>2738.81</c:v>
                </c:pt>
                <c:pt idx="168" formatCode="0.0">
                  <c:v>2755.21</c:v>
                </c:pt>
                <c:pt idx="169" formatCode="0.0">
                  <c:v>2771.61</c:v>
                </c:pt>
                <c:pt idx="170" formatCode="0.0">
                  <c:v>2788.02</c:v>
                </c:pt>
                <c:pt idx="171" formatCode="0.0">
                  <c:v>2804.42</c:v>
                </c:pt>
                <c:pt idx="172" formatCode="0.0">
                  <c:v>2820.82</c:v>
                </c:pt>
                <c:pt idx="173" formatCode="0.0">
                  <c:v>2837.23</c:v>
                </c:pt>
                <c:pt idx="174" formatCode="0.0">
                  <c:v>2853.63</c:v>
                </c:pt>
                <c:pt idx="175" formatCode="0.0">
                  <c:v>2870.03</c:v>
                </c:pt>
                <c:pt idx="176" formatCode="0.0">
                  <c:v>2886.44</c:v>
                </c:pt>
                <c:pt idx="177" formatCode="0.0">
                  <c:v>2902.84</c:v>
                </c:pt>
                <c:pt idx="178" formatCode="0.0">
                  <c:v>2919.24</c:v>
                </c:pt>
                <c:pt idx="179" formatCode="0.0">
                  <c:v>2935.65</c:v>
                </c:pt>
                <c:pt idx="180" formatCode="0.0">
                  <c:v>2952.05</c:v>
                </c:pt>
                <c:pt idx="181" formatCode="0.0">
                  <c:v>2968.45</c:v>
                </c:pt>
                <c:pt idx="182" formatCode="0.0">
                  <c:v>2984.86</c:v>
                </c:pt>
                <c:pt idx="183" formatCode="0.0">
                  <c:v>3001.26</c:v>
                </c:pt>
                <c:pt idx="184" formatCode="0.0">
                  <c:v>3017.66</c:v>
                </c:pt>
                <c:pt idx="185" formatCode="0.0">
                  <c:v>3034.07</c:v>
                </c:pt>
                <c:pt idx="186" formatCode="0.0">
                  <c:v>3050.47</c:v>
                </c:pt>
                <c:pt idx="187" formatCode="0.0">
                  <c:v>3066.87</c:v>
                </c:pt>
                <c:pt idx="188" formatCode="0.0">
                  <c:v>3083.28</c:v>
                </c:pt>
                <c:pt idx="189" formatCode="0.0">
                  <c:v>3099.68</c:v>
                </c:pt>
                <c:pt idx="190" formatCode="0.0">
                  <c:v>3116.09</c:v>
                </c:pt>
                <c:pt idx="191" formatCode="0.0">
                  <c:v>3132.49</c:v>
                </c:pt>
                <c:pt idx="192" formatCode="0.0">
                  <c:v>3148.89</c:v>
                </c:pt>
                <c:pt idx="193" formatCode="0.0">
                  <c:v>3165.3</c:v>
                </c:pt>
                <c:pt idx="194" formatCode="0.0">
                  <c:v>3181.7</c:v>
                </c:pt>
                <c:pt idx="195" formatCode="0.0">
                  <c:v>3198.1</c:v>
                </c:pt>
                <c:pt idx="196" formatCode="0.0">
                  <c:v>3214.51</c:v>
                </c:pt>
                <c:pt idx="197" formatCode="0.0">
                  <c:v>3230.91</c:v>
                </c:pt>
                <c:pt idx="198" formatCode="0.0">
                  <c:v>3247.31</c:v>
                </c:pt>
                <c:pt idx="199" formatCode="0.0">
                  <c:v>3263.72</c:v>
                </c:pt>
                <c:pt idx="200" formatCode="0.0">
                  <c:v>3280.12</c:v>
                </c:pt>
                <c:pt idx="201" formatCode="0.0">
                  <c:v>3296.52</c:v>
                </c:pt>
                <c:pt idx="202" formatCode="0.0">
                  <c:v>3312.93</c:v>
                </c:pt>
                <c:pt idx="203" formatCode="0.0">
                  <c:v>3329.33</c:v>
                </c:pt>
                <c:pt idx="204" formatCode="0.0">
                  <c:v>3345.73</c:v>
                </c:pt>
                <c:pt idx="205" formatCode="0.0">
                  <c:v>3362.13</c:v>
                </c:pt>
                <c:pt idx="206" formatCode="0.0">
                  <c:v>3378.54</c:v>
                </c:pt>
                <c:pt idx="207" formatCode="0.0">
                  <c:v>3394.94</c:v>
                </c:pt>
                <c:pt idx="208" formatCode="0.0">
                  <c:v>3411.34</c:v>
                </c:pt>
                <c:pt idx="209" formatCode="0.0">
                  <c:v>3427.74</c:v>
                </c:pt>
                <c:pt idx="210" formatCode="0.0">
                  <c:v>3444.15</c:v>
                </c:pt>
                <c:pt idx="211" formatCode="0.0">
                  <c:v>3460.55</c:v>
                </c:pt>
                <c:pt idx="212" formatCode="0.0">
                  <c:v>3476.95</c:v>
                </c:pt>
                <c:pt idx="213" formatCode="0.0">
                  <c:v>3493.35</c:v>
                </c:pt>
                <c:pt idx="214" formatCode="0.0">
                  <c:v>3509.76</c:v>
                </c:pt>
                <c:pt idx="215" formatCode="0.0">
                  <c:v>3526.16</c:v>
                </c:pt>
                <c:pt idx="216" formatCode="0.0">
                  <c:v>3542.56</c:v>
                </c:pt>
                <c:pt idx="217" formatCode="0.0">
                  <c:v>3558.97</c:v>
                </c:pt>
                <c:pt idx="218" formatCode="0.0">
                  <c:v>3575.37</c:v>
                </c:pt>
                <c:pt idx="219" formatCode="0.0">
                  <c:v>3591.77</c:v>
                </c:pt>
                <c:pt idx="220" formatCode="0.0">
                  <c:v>3608.17</c:v>
                </c:pt>
                <c:pt idx="221" formatCode="0.0">
                  <c:v>3624.58</c:v>
                </c:pt>
                <c:pt idx="222" formatCode="0.0">
                  <c:v>3640.98</c:v>
                </c:pt>
                <c:pt idx="223" formatCode="0.0">
                  <c:v>3657.38</c:v>
                </c:pt>
                <c:pt idx="224" formatCode="0.0">
                  <c:v>3673.78</c:v>
                </c:pt>
                <c:pt idx="225" formatCode="0.0">
                  <c:v>3690.19</c:v>
                </c:pt>
                <c:pt idx="226" formatCode="0.0">
                  <c:v>3706.59</c:v>
                </c:pt>
                <c:pt idx="227" formatCode="0.0">
                  <c:v>3722.99</c:v>
                </c:pt>
                <c:pt idx="228" formatCode="0.0">
                  <c:v>3739.4</c:v>
                </c:pt>
                <c:pt idx="229" formatCode="0.0">
                  <c:v>3755.8</c:v>
                </c:pt>
                <c:pt idx="230" formatCode="0.0">
                  <c:v>3772.2</c:v>
                </c:pt>
                <c:pt idx="231" formatCode="0.0">
                  <c:v>3788.6</c:v>
                </c:pt>
                <c:pt idx="232" formatCode="0.0">
                  <c:v>3805</c:v>
                </c:pt>
                <c:pt idx="233" formatCode="0.0">
                  <c:v>3821.41</c:v>
                </c:pt>
                <c:pt idx="234" formatCode="0.0">
                  <c:v>3837.81</c:v>
                </c:pt>
                <c:pt idx="235" formatCode="0.0">
                  <c:v>3854.21</c:v>
                </c:pt>
                <c:pt idx="236" formatCode="0.0">
                  <c:v>3870.61</c:v>
                </c:pt>
                <c:pt idx="237" formatCode="0.0">
                  <c:v>3887.01</c:v>
                </c:pt>
                <c:pt idx="238" formatCode="0.0">
                  <c:v>3903.41</c:v>
                </c:pt>
                <c:pt idx="239" formatCode="0.0">
                  <c:v>3919.82</c:v>
                </c:pt>
                <c:pt idx="240" formatCode="0.0">
                  <c:v>3936.22</c:v>
                </c:pt>
                <c:pt idx="241" formatCode="0.0">
                  <c:v>3952.62</c:v>
                </c:pt>
                <c:pt idx="242" formatCode="0.0">
                  <c:v>3969.02</c:v>
                </c:pt>
                <c:pt idx="243" formatCode="0.0">
                  <c:v>3985.42</c:v>
                </c:pt>
                <c:pt idx="244" formatCode="0.0">
                  <c:v>4001.83</c:v>
                </c:pt>
                <c:pt idx="245" formatCode="0.0">
                  <c:v>4018.23</c:v>
                </c:pt>
                <c:pt idx="246" formatCode="0.0">
                  <c:v>4034.63</c:v>
                </c:pt>
                <c:pt idx="247" formatCode="0.0">
                  <c:v>4051.03</c:v>
                </c:pt>
                <c:pt idx="248" formatCode="0.0">
                  <c:v>4067.44</c:v>
                </c:pt>
                <c:pt idx="249" formatCode="0.0">
                  <c:v>4083.84</c:v>
                </c:pt>
                <c:pt idx="250" formatCode="0.0">
                  <c:v>4100.24</c:v>
                </c:pt>
                <c:pt idx="251" formatCode="0.0">
                  <c:v>4116.6499999999996</c:v>
                </c:pt>
                <c:pt idx="252" formatCode="0.0">
                  <c:v>4133.05</c:v>
                </c:pt>
                <c:pt idx="253" formatCode="0.0">
                  <c:v>4149.45</c:v>
                </c:pt>
                <c:pt idx="254" formatCode="0.0">
                  <c:v>4165.8500000000004</c:v>
                </c:pt>
                <c:pt idx="255" formatCode="0.0">
                  <c:v>4182.26</c:v>
                </c:pt>
                <c:pt idx="256" formatCode="0.0">
                  <c:v>4198.66</c:v>
                </c:pt>
                <c:pt idx="257" formatCode="0.0">
                  <c:v>4215.0600000000004</c:v>
                </c:pt>
                <c:pt idx="258" formatCode="0.0">
                  <c:v>4231.46</c:v>
                </c:pt>
                <c:pt idx="259" formatCode="0.0">
                  <c:v>4247.87</c:v>
                </c:pt>
                <c:pt idx="260" formatCode="0.0">
                  <c:v>4264.2700000000004</c:v>
                </c:pt>
                <c:pt idx="261" formatCode="0.0">
                  <c:v>4280.67</c:v>
                </c:pt>
                <c:pt idx="262" formatCode="0.0">
                  <c:v>4297.07</c:v>
                </c:pt>
                <c:pt idx="263" formatCode="0.0">
                  <c:v>4313.47</c:v>
                </c:pt>
                <c:pt idx="264" formatCode="0.0">
                  <c:v>4329.87</c:v>
                </c:pt>
                <c:pt idx="265" formatCode="0.0">
                  <c:v>4346.2700000000004</c:v>
                </c:pt>
                <c:pt idx="266" formatCode="0.0">
                  <c:v>4362.68</c:v>
                </c:pt>
                <c:pt idx="267" formatCode="0.0">
                  <c:v>4379.08</c:v>
                </c:pt>
                <c:pt idx="268" formatCode="0.0">
                  <c:v>4395.4799999999996</c:v>
                </c:pt>
                <c:pt idx="269" formatCode="0.0">
                  <c:v>4411.88</c:v>
                </c:pt>
                <c:pt idx="270" formatCode="0.0">
                  <c:v>4428.28</c:v>
                </c:pt>
                <c:pt idx="271" formatCode="0.0">
                  <c:v>4444.68</c:v>
                </c:pt>
                <c:pt idx="272" formatCode="0.0">
                  <c:v>4461.08</c:v>
                </c:pt>
                <c:pt idx="273" formatCode="0.0">
                  <c:v>4477.46</c:v>
                </c:pt>
                <c:pt idx="274" formatCode="0.0">
                  <c:v>4493.84</c:v>
                </c:pt>
                <c:pt idx="275" formatCode="0.0">
                  <c:v>4510.22</c:v>
                </c:pt>
                <c:pt idx="276" formatCode="0.0">
                  <c:v>4526.59</c:v>
                </c:pt>
                <c:pt idx="277" formatCode="0.0">
                  <c:v>4542.97</c:v>
                </c:pt>
                <c:pt idx="278" formatCode="0.0">
                  <c:v>4559.34</c:v>
                </c:pt>
                <c:pt idx="279" formatCode="0.0">
                  <c:v>4575.6899999999996</c:v>
                </c:pt>
                <c:pt idx="280" formatCode="0.0">
                  <c:v>4592</c:v>
                </c:pt>
                <c:pt idx="281" formatCode="0.0">
                  <c:v>4608.32</c:v>
                </c:pt>
                <c:pt idx="282" formatCode="0.0">
                  <c:v>4624.6400000000003</c:v>
                </c:pt>
                <c:pt idx="283" formatCode="0.0">
                  <c:v>4640.95</c:v>
                </c:pt>
                <c:pt idx="284" formatCode="0.0">
                  <c:v>4657.2700000000004</c:v>
                </c:pt>
                <c:pt idx="285" formatCode="0.0">
                  <c:v>4673.55</c:v>
                </c:pt>
                <c:pt idx="286" formatCode="0.0">
                  <c:v>4689.8100000000004</c:v>
                </c:pt>
                <c:pt idx="287" formatCode="0.0">
                  <c:v>4706.0600000000004</c:v>
                </c:pt>
                <c:pt idx="288" formatCode="0.0">
                  <c:v>4722.32</c:v>
                </c:pt>
                <c:pt idx="289" formatCode="0.0">
                  <c:v>4738.57</c:v>
                </c:pt>
                <c:pt idx="290" formatCode="0.0">
                  <c:v>4754.83</c:v>
                </c:pt>
                <c:pt idx="291" formatCode="0.0">
                  <c:v>4771.05</c:v>
                </c:pt>
                <c:pt idx="292" formatCode="0.0">
                  <c:v>4787.24</c:v>
                </c:pt>
                <c:pt idx="293" formatCode="0.0">
                  <c:v>4803.43</c:v>
                </c:pt>
                <c:pt idx="294" formatCode="0.0">
                  <c:v>4819.63</c:v>
                </c:pt>
                <c:pt idx="295" formatCode="0.0">
                  <c:v>4835.82</c:v>
                </c:pt>
                <c:pt idx="296" formatCode="0.0">
                  <c:v>4852.01</c:v>
                </c:pt>
                <c:pt idx="297" formatCode="0.0">
                  <c:v>4868.16</c:v>
                </c:pt>
                <c:pt idx="298" formatCode="0.0">
                  <c:v>4884.2299999999996</c:v>
                </c:pt>
                <c:pt idx="299" formatCode="0.0">
                  <c:v>4900.3100000000004</c:v>
                </c:pt>
                <c:pt idx="300" formatCode="0.0">
                  <c:v>4916.38</c:v>
                </c:pt>
                <c:pt idx="301" formatCode="0.0">
                  <c:v>4932.46</c:v>
                </c:pt>
                <c:pt idx="302" formatCode="0.0">
                  <c:v>4948.53</c:v>
                </c:pt>
                <c:pt idx="303" formatCode="0.0">
                  <c:v>4964.57</c:v>
                </c:pt>
                <c:pt idx="304" formatCode="0.0">
                  <c:v>4980.51</c:v>
                </c:pt>
                <c:pt idx="305" formatCode="0.0">
                  <c:v>4996.4399999999996</c:v>
                </c:pt>
                <c:pt idx="306" formatCode="0.0">
                  <c:v>5012.38</c:v>
                </c:pt>
                <c:pt idx="307" formatCode="0.0">
                  <c:v>5028.3100000000004</c:v>
                </c:pt>
                <c:pt idx="308" formatCode="0.0">
                  <c:v>5044.24</c:v>
                </c:pt>
                <c:pt idx="309" formatCode="0.0">
                  <c:v>5060.16</c:v>
                </c:pt>
                <c:pt idx="310" formatCode="0.0">
                  <c:v>5075.96</c:v>
                </c:pt>
                <c:pt idx="311" formatCode="0.0">
                  <c:v>5091.76</c:v>
                </c:pt>
                <c:pt idx="312" formatCode="0.0">
                  <c:v>5107.55</c:v>
                </c:pt>
                <c:pt idx="313" formatCode="0.0">
                  <c:v>5123.3500000000004</c:v>
                </c:pt>
                <c:pt idx="314" formatCode="0.0">
                  <c:v>5139.1499999999996</c:v>
                </c:pt>
                <c:pt idx="315" formatCode="0.0">
                  <c:v>5154.95</c:v>
                </c:pt>
                <c:pt idx="316" formatCode="0.0">
                  <c:v>5170.6400000000003</c:v>
                </c:pt>
                <c:pt idx="317" formatCode="0.0">
                  <c:v>5186.34</c:v>
                </c:pt>
                <c:pt idx="318" formatCode="0.0">
                  <c:v>5202.04</c:v>
                </c:pt>
                <c:pt idx="319" formatCode="0.0">
                  <c:v>5217.74</c:v>
                </c:pt>
                <c:pt idx="320" formatCode="0.0">
                  <c:v>5233.43</c:v>
                </c:pt>
                <c:pt idx="321" formatCode="0.0">
                  <c:v>5249.13</c:v>
                </c:pt>
                <c:pt idx="322" formatCode="0.0">
                  <c:v>5264.8</c:v>
                </c:pt>
                <c:pt idx="323" formatCode="0.0">
                  <c:v>5280.47</c:v>
                </c:pt>
                <c:pt idx="324" formatCode="0.0">
                  <c:v>5296.13</c:v>
                </c:pt>
                <c:pt idx="325" formatCode="0.0">
                  <c:v>5311.8</c:v>
                </c:pt>
                <c:pt idx="326" formatCode="0.0">
                  <c:v>5327.47</c:v>
                </c:pt>
                <c:pt idx="327" formatCode="0.0">
                  <c:v>5343.13</c:v>
                </c:pt>
                <c:pt idx="328" formatCode="0.0">
                  <c:v>5358.73</c:v>
                </c:pt>
                <c:pt idx="329" formatCode="0.0">
                  <c:v>5374.31</c:v>
                </c:pt>
                <c:pt idx="330" formatCode="0.0">
                  <c:v>5389.89</c:v>
                </c:pt>
                <c:pt idx="331" formatCode="0.0">
                  <c:v>5405.46</c:v>
                </c:pt>
                <c:pt idx="332" formatCode="0.0">
                  <c:v>5421.04</c:v>
                </c:pt>
                <c:pt idx="333" formatCode="0.0">
                  <c:v>5436.62</c:v>
                </c:pt>
                <c:pt idx="334" formatCode="0.0">
                  <c:v>5452.06</c:v>
                </c:pt>
                <c:pt idx="335" formatCode="0.0">
                  <c:v>5467.45</c:v>
                </c:pt>
                <c:pt idx="336" formatCode="0.0">
                  <c:v>5482.84</c:v>
                </c:pt>
                <c:pt idx="337" formatCode="0.0">
                  <c:v>5498.23</c:v>
                </c:pt>
                <c:pt idx="338" formatCode="0.0">
                  <c:v>5513.62</c:v>
                </c:pt>
                <c:pt idx="339" formatCode="0.0">
                  <c:v>5529.01</c:v>
                </c:pt>
                <c:pt idx="340" formatCode="0.0">
                  <c:v>5544.28</c:v>
                </c:pt>
                <c:pt idx="341" formatCode="0.0">
                  <c:v>5559.48</c:v>
                </c:pt>
                <c:pt idx="342" formatCode="0.0">
                  <c:v>5574.67</c:v>
                </c:pt>
                <c:pt idx="343" formatCode="0.0">
                  <c:v>5589.87</c:v>
                </c:pt>
                <c:pt idx="344" formatCode="0.0">
                  <c:v>5605.06</c:v>
                </c:pt>
                <c:pt idx="345" formatCode="0.0">
                  <c:v>5620.26</c:v>
                </c:pt>
                <c:pt idx="346" formatCode="0.0">
                  <c:v>5635.41</c:v>
                </c:pt>
                <c:pt idx="347" formatCode="0.0">
                  <c:v>5650.53</c:v>
                </c:pt>
                <c:pt idx="348" formatCode="0.0">
                  <c:v>5665.64</c:v>
                </c:pt>
                <c:pt idx="349" formatCode="0.0">
                  <c:v>5680.75</c:v>
                </c:pt>
                <c:pt idx="350" formatCode="0.0">
                  <c:v>5695.87</c:v>
                </c:pt>
                <c:pt idx="351" formatCode="0.0">
                  <c:v>5710.98</c:v>
                </c:pt>
                <c:pt idx="352" formatCode="0.0">
                  <c:v>5726.14</c:v>
                </c:pt>
                <c:pt idx="353" formatCode="0.0">
                  <c:v>5741.35</c:v>
                </c:pt>
                <c:pt idx="354" formatCode="0.0">
                  <c:v>5756.56</c:v>
                </c:pt>
                <c:pt idx="355" formatCode="0.0">
                  <c:v>5771.77</c:v>
                </c:pt>
                <c:pt idx="356" formatCode="0.0">
                  <c:v>5786.98</c:v>
                </c:pt>
                <c:pt idx="357" formatCode="0.0">
                  <c:v>5802.19</c:v>
                </c:pt>
                <c:pt idx="358" formatCode="0.0">
                  <c:v>5817.42</c:v>
                </c:pt>
                <c:pt idx="359" formatCode="0.0">
                  <c:v>5832.71</c:v>
                </c:pt>
                <c:pt idx="360" formatCode="0.0">
                  <c:v>5848</c:v>
                </c:pt>
                <c:pt idx="361" formatCode="0.0">
                  <c:v>5863.29</c:v>
                </c:pt>
                <c:pt idx="362" formatCode="0.0">
                  <c:v>5878.58</c:v>
                </c:pt>
                <c:pt idx="363" formatCode="0.0">
                  <c:v>5893.87</c:v>
                </c:pt>
                <c:pt idx="364" formatCode="0.0">
                  <c:v>5909.16</c:v>
                </c:pt>
                <c:pt idx="365" formatCode="0.0">
                  <c:v>5924.44</c:v>
                </c:pt>
                <c:pt idx="366" formatCode="0.0">
                  <c:v>5939.73</c:v>
                </c:pt>
                <c:pt idx="367" formatCode="0.0">
                  <c:v>5955.02</c:v>
                </c:pt>
                <c:pt idx="368" formatCode="0.0">
                  <c:v>5970.31</c:v>
                </c:pt>
                <c:pt idx="369" formatCode="0.0">
                  <c:v>5985.6</c:v>
                </c:pt>
                <c:pt idx="370" formatCode="0.0">
                  <c:v>6000.88</c:v>
                </c:pt>
                <c:pt idx="371" formatCode="0.0">
                  <c:v>6016.12</c:v>
                </c:pt>
                <c:pt idx="372" formatCode="0.0">
                  <c:v>6031.35</c:v>
                </c:pt>
                <c:pt idx="373" formatCode="0.0">
                  <c:v>6046.59</c:v>
                </c:pt>
                <c:pt idx="374" formatCode="0.0">
                  <c:v>6061.83</c:v>
                </c:pt>
                <c:pt idx="375" formatCode="0.0">
                  <c:v>6077.06</c:v>
                </c:pt>
                <c:pt idx="376" formatCode="0.0">
                  <c:v>6092.3</c:v>
                </c:pt>
                <c:pt idx="377" formatCode="0.0">
                  <c:v>6107.45</c:v>
                </c:pt>
                <c:pt idx="378" formatCode="0.0">
                  <c:v>6122.61</c:v>
                </c:pt>
                <c:pt idx="379" formatCode="0.0">
                  <c:v>6137.76</c:v>
                </c:pt>
                <c:pt idx="380" formatCode="0.0">
                  <c:v>6152.92</c:v>
                </c:pt>
                <c:pt idx="381" formatCode="0.0">
                  <c:v>6168.07</c:v>
                </c:pt>
                <c:pt idx="382" formatCode="0.0">
                  <c:v>6183.23</c:v>
                </c:pt>
                <c:pt idx="383" formatCode="0.0">
                  <c:v>6198.33</c:v>
                </c:pt>
                <c:pt idx="384" formatCode="0.0">
                  <c:v>6213.43</c:v>
                </c:pt>
                <c:pt idx="385" formatCode="0.0">
                  <c:v>6228.53</c:v>
                </c:pt>
                <c:pt idx="386" formatCode="0.0">
                  <c:v>6243.63</c:v>
                </c:pt>
                <c:pt idx="387" formatCode="0.0">
                  <c:v>6258.73</c:v>
                </c:pt>
                <c:pt idx="388" formatCode="0.0">
                  <c:v>6273.83</c:v>
                </c:pt>
                <c:pt idx="389" formatCode="0.0">
                  <c:v>6288.93</c:v>
                </c:pt>
                <c:pt idx="390" formatCode="0.0">
                  <c:v>6304.04</c:v>
                </c:pt>
                <c:pt idx="391" formatCode="0.0">
                  <c:v>6319.14</c:v>
                </c:pt>
                <c:pt idx="392" formatCode="0.0">
                  <c:v>6334.24</c:v>
                </c:pt>
                <c:pt idx="393" formatCode="0.0">
                  <c:v>6349.34</c:v>
                </c:pt>
                <c:pt idx="394" formatCode="0.0">
                  <c:v>6364.44</c:v>
                </c:pt>
                <c:pt idx="395" formatCode="0.0">
                  <c:v>6379.55</c:v>
                </c:pt>
                <c:pt idx="396" formatCode="0.0">
                  <c:v>6394.67</c:v>
                </c:pt>
                <c:pt idx="397" formatCode="0.0">
                  <c:v>6409.78</c:v>
                </c:pt>
                <c:pt idx="398" formatCode="0.0">
                  <c:v>6424.9</c:v>
                </c:pt>
                <c:pt idx="399" formatCode="0.0">
                  <c:v>6440.01</c:v>
                </c:pt>
                <c:pt idx="400" formatCode="0.0">
                  <c:v>6455.13</c:v>
                </c:pt>
                <c:pt idx="401" formatCode="0.0">
                  <c:v>6470.25</c:v>
                </c:pt>
                <c:pt idx="402" formatCode="0.0">
                  <c:v>6485.38</c:v>
                </c:pt>
                <c:pt idx="403" formatCode="0.0">
                  <c:v>6500.5</c:v>
                </c:pt>
                <c:pt idx="404" formatCode="0.0">
                  <c:v>6515.63</c:v>
                </c:pt>
                <c:pt idx="405" formatCode="0.0">
                  <c:v>6530.76</c:v>
                </c:pt>
                <c:pt idx="406" formatCode="0.0">
                  <c:v>6545.89</c:v>
                </c:pt>
                <c:pt idx="407" formatCode="0.0">
                  <c:v>6561.03</c:v>
                </c:pt>
                <c:pt idx="408" formatCode="0.0">
                  <c:v>6576.19</c:v>
                </c:pt>
                <c:pt idx="409" formatCode="0.0">
                  <c:v>6591.34</c:v>
                </c:pt>
                <c:pt idx="410" formatCode="0.0">
                  <c:v>6606.5</c:v>
                </c:pt>
                <c:pt idx="411" formatCode="0.0">
                  <c:v>6621.65</c:v>
                </c:pt>
                <c:pt idx="412" formatCode="0.0">
                  <c:v>6636.81</c:v>
                </c:pt>
                <c:pt idx="413" formatCode="0.0">
                  <c:v>6651.96</c:v>
                </c:pt>
                <c:pt idx="414" formatCode="0.0">
                  <c:v>6667.1</c:v>
                </c:pt>
                <c:pt idx="415" formatCode="0.0">
                  <c:v>6682.24</c:v>
                </c:pt>
                <c:pt idx="416" formatCode="0.0">
                  <c:v>6697.38</c:v>
                </c:pt>
                <c:pt idx="417" formatCode="0.0">
                  <c:v>6712.53</c:v>
                </c:pt>
                <c:pt idx="418" formatCode="0.0">
                  <c:v>6727.67</c:v>
                </c:pt>
                <c:pt idx="419" formatCode="0.0">
                  <c:v>6742.79</c:v>
                </c:pt>
                <c:pt idx="420" formatCode="0.0">
                  <c:v>6757.89</c:v>
                </c:pt>
                <c:pt idx="421" formatCode="0.0">
                  <c:v>6772.99</c:v>
                </c:pt>
                <c:pt idx="422" formatCode="0.0">
                  <c:v>6788.09</c:v>
                </c:pt>
                <c:pt idx="423" formatCode="0.0">
                  <c:v>6803.19</c:v>
                </c:pt>
                <c:pt idx="424" formatCode="0.0">
                  <c:v>6818.29</c:v>
                </c:pt>
                <c:pt idx="425" formatCode="0.0">
                  <c:v>6833.41</c:v>
                </c:pt>
                <c:pt idx="426" formatCode="0.0">
                  <c:v>6848.57</c:v>
                </c:pt>
                <c:pt idx="427" formatCode="0.0">
                  <c:v>6863.72</c:v>
                </c:pt>
                <c:pt idx="428" formatCode="0.0">
                  <c:v>6878.88</c:v>
                </c:pt>
                <c:pt idx="429" formatCode="0.0">
                  <c:v>6894.03</c:v>
                </c:pt>
                <c:pt idx="430" formatCode="0.0">
                  <c:v>6909.19</c:v>
                </c:pt>
                <c:pt idx="431" formatCode="0.0">
                  <c:v>6924.36</c:v>
                </c:pt>
                <c:pt idx="432" formatCode="0.0">
                  <c:v>6939.62</c:v>
                </c:pt>
                <c:pt idx="433" formatCode="0.0">
                  <c:v>6954.89</c:v>
                </c:pt>
                <c:pt idx="434" formatCode="0.0">
                  <c:v>6970.15</c:v>
                </c:pt>
                <c:pt idx="435" formatCode="0.0">
                  <c:v>6985.41</c:v>
                </c:pt>
                <c:pt idx="436" formatCode="0.0">
                  <c:v>7000.68</c:v>
                </c:pt>
                <c:pt idx="437" formatCode="0.0">
                  <c:v>7015.94</c:v>
                </c:pt>
                <c:pt idx="438" formatCode="0.0">
                  <c:v>7031.23</c:v>
                </c:pt>
                <c:pt idx="439" formatCode="0.0">
                  <c:v>7046.52</c:v>
                </c:pt>
                <c:pt idx="440" formatCode="0.0">
                  <c:v>7061.81</c:v>
                </c:pt>
                <c:pt idx="441" formatCode="0.0">
                  <c:v>7077.1</c:v>
                </c:pt>
                <c:pt idx="442" formatCode="0.0">
                  <c:v>7092.39</c:v>
                </c:pt>
                <c:pt idx="443" formatCode="0.0">
                  <c:v>7107.67</c:v>
                </c:pt>
                <c:pt idx="444" formatCode="0.0">
                  <c:v>7122.99</c:v>
                </c:pt>
                <c:pt idx="445" formatCode="0.0">
                  <c:v>7138.3</c:v>
                </c:pt>
                <c:pt idx="446" formatCode="0.0">
                  <c:v>7153.62</c:v>
                </c:pt>
                <c:pt idx="447" formatCode="0.0">
                  <c:v>7168.93</c:v>
                </c:pt>
                <c:pt idx="448" formatCode="0.0">
                  <c:v>7184.25</c:v>
                </c:pt>
                <c:pt idx="449" formatCode="0.0">
                  <c:v>7199.56</c:v>
                </c:pt>
                <c:pt idx="450" formatCode="0.0">
                  <c:v>7214.89</c:v>
                </c:pt>
                <c:pt idx="451" formatCode="0.0">
                  <c:v>7230.22</c:v>
                </c:pt>
                <c:pt idx="452" formatCode="0.0">
                  <c:v>7245.54</c:v>
                </c:pt>
                <c:pt idx="453" formatCode="0.0">
                  <c:v>7260.87</c:v>
                </c:pt>
                <c:pt idx="454" formatCode="0.0">
                  <c:v>7276.2</c:v>
                </c:pt>
                <c:pt idx="455" formatCode="0.0">
                  <c:v>7291.53</c:v>
                </c:pt>
                <c:pt idx="456" formatCode="0.0">
                  <c:v>7306.81</c:v>
                </c:pt>
                <c:pt idx="457" formatCode="0.0">
                  <c:v>7322.09</c:v>
                </c:pt>
                <c:pt idx="458" formatCode="0.0">
                  <c:v>7337.36</c:v>
                </c:pt>
                <c:pt idx="459" formatCode="0.0">
                  <c:v>7352.64</c:v>
                </c:pt>
                <c:pt idx="460" formatCode="0.0">
                  <c:v>7367.92</c:v>
                </c:pt>
                <c:pt idx="461" formatCode="0.0">
                  <c:v>7383.19</c:v>
                </c:pt>
                <c:pt idx="462" formatCode="0.0">
                  <c:v>7398.44</c:v>
                </c:pt>
                <c:pt idx="463" formatCode="0.0">
                  <c:v>7413.68</c:v>
                </c:pt>
                <c:pt idx="464" formatCode="0.0">
                  <c:v>7428.91</c:v>
                </c:pt>
                <c:pt idx="465" formatCode="0.0">
                  <c:v>7444.15</c:v>
                </c:pt>
                <c:pt idx="466" formatCode="0.0">
                  <c:v>7459.39</c:v>
                </c:pt>
                <c:pt idx="467" formatCode="0.0">
                  <c:v>7474.62</c:v>
                </c:pt>
                <c:pt idx="468" formatCode="0.0">
                  <c:v>7489.86</c:v>
                </c:pt>
                <c:pt idx="469" formatCode="0.0">
                  <c:v>7505.09</c:v>
                </c:pt>
                <c:pt idx="470" formatCode="0.0">
                  <c:v>7520.33</c:v>
                </c:pt>
                <c:pt idx="471" formatCode="0.0">
                  <c:v>7535.57</c:v>
                </c:pt>
                <c:pt idx="472" formatCode="0.0">
                  <c:v>7550.8</c:v>
                </c:pt>
                <c:pt idx="473" formatCode="0.0">
                  <c:v>7566.04</c:v>
                </c:pt>
                <c:pt idx="474" formatCode="0.0">
                  <c:v>7581.28</c:v>
                </c:pt>
                <c:pt idx="475" formatCode="0.0">
                  <c:v>7596.51</c:v>
                </c:pt>
                <c:pt idx="476" formatCode="0.0">
                  <c:v>7611.75</c:v>
                </c:pt>
                <c:pt idx="477" formatCode="0.0">
                  <c:v>7626.99</c:v>
                </c:pt>
                <c:pt idx="478" formatCode="0.0">
                  <c:v>7642.22</c:v>
                </c:pt>
                <c:pt idx="479" formatCode="0.0">
                  <c:v>7657.46</c:v>
                </c:pt>
                <c:pt idx="480" formatCode="0.0">
                  <c:v>7672.69</c:v>
                </c:pt>
                <c:pt idx="481" formatCode="0.0">
                  <c:v>7687.91</c:v>
                </c:pt>
                <c:pt idx="482" formatCode="0.0">
                  <c:v>7703.14</c:v>
                </c:pt>
                <c:pt idx="483" formatCode="0.0">
                  <c:v>7718.36</c:v>
                </c:pt>
                <c:pt idx="484" formatCode="0.0">
                  <c:v>7733.58</c:v>
                </c:pt>
                <c:pt idx="485" formatCode="0.0">
                  <c:v>7748.8</c:v>
                </c:pt>
                <c:pt idx="486" formatCode="0.0">
                  <c:v>7764.03</c:v>
                </c:pt>
                <c:pt idx="487" formatCode="0.0">
                  <c:v>7779.25</c:v>
                </c:pt>
                <c:pt idx="488" formatCode="0.0">
                  <c:v>7794.47</c:v>
                </c:pt>
                <c:pt idx="489" formatCode="0.0">
                  <c:v>7809.7</c:v>
                </c:pt>
                <c:pt idx="490" formatCode="0.0">
                  <c:v>7824.92</c:v>
                </c:pt>
                <c:pt idx="491" formatCode="0.0">
                  <c:v>7840.14</c:v>
                </c:pt>
                <c:pt idx="492" formatCode="0.0">
                  <c:v>7855.36</c:v>
                </c:pt>
                <c:pt idx="493" formatCode="0.0">
                  <c:v>7870.56</c:v>
                </c:pt>
                <c:pt idx="494" formatCode="0.0">
                  <c:v>7885.75</c:v>
                </c:pt>
                <c:pt idx="495" formatCode="0.0">
                  <c:v>7900.95</c:v>
                </c:pt>
                <c:pt idx="496" formatCode="0.0">
                  <c:v>7916.14</c:v>
                </c:pt>
                <c:pt idx="497" formatCode="0.0">
                  <c:v>7931.34</c:v>
                </c:pt>
                <c:pt idx="498" formatCode="0.0">
                  <c:v>7946.53</c:v>
                </c:pt>
                <c:pt idx="499" formatCode="0.0">
                  <c:v>7961.67</c:v>
                </c:pt>
                <c:pt idx="500" formatCode="0.0">
                  <c:v>7976.81</c:v>
                </c:pt>
                <c:pt idx="501" formatCode="0.0">
                  <c:v>7991.96</c:v>
                </c:pt>
                <c:pt idx="502" formatCode="0.0">
                  <c:v>8007.1</c:v>
                </c:pt>
                <c:pt idx="503" formatCode="0.0">
                  <c:v>8022.24</c:v>
                </c:pt>
                <c:pt idx="504" formatCode="0.0">
                  <c:v>8037.38</c:v>
                </c:pt>
                <c:pt idx="505" formatCode="0.0">
                  <c:v>8052.51</c:v>
                </c:pt>
                <c:pt idx="506" formatCode="0.0">
                  <c:v>8067.64</c:v>
                </c:pt>
                <c:pt idx="507" formatCode="0.0">
                  <c:v>8082.76</c:v>
                </c:pt>
                <c:pt idx="508" formatCode="0.0">
                  <c:v>8097.89</c:v>
                </c:pt>
                <c:pt idx="509" formatCode="0.0">
                  <c:v>8113.02</c:v>
                </c:pt>
                <c:pt idx="510" formatCode="0.0">
                  <c:v>8128.15</c:v>
                </c:pt>
                <c:pt idx="511" formatCode="0.0">
                  <c:v>8143.25</c:v>
                </c:pt>
                <c:pt idx="512" formatCode="0.0">
                  <c:v>8158.35</c:v>
                </c:pt>
                <c:pt idx="513" formatCode="0.0">
                  <c:v>8173.45</c:v>
                </c:pt>
                <c:pt idx="514" formatCode="0.0">
                  <c:v>8188.55</c:v>
                </c:pt>
                <c:pt idx="515" formatCode="0.0">
                  <c:v>8203.65</c:v>
                </c:pt>
                <c:pt idx="516" formatCode="0.0">
                  <c:v>8218.75</c:v>
                </c:pt>
                <c:pt idx="517" formatCode="0.0">
                  <c:v>8233.82</c:v>
                </c:pt>
                <c:pt idx="518" formatCode="0.0">
                  <c:v>8248.8700000000008</c:v>
                </c:pt>
                <c:pt idx="519" formatCode="0.0">
                  <c:v>8263.93</c:v>
                </c:pt>
                <c:pt idx="520" formatCode="0.0">
                  <c:v>8278.99</c:v>
                </c:pt>
                <c:pt idx="521" formatCode="0.0">
                  <c:v>8294.0499999999993</c:v>
                </c:pt>
                <c:pt idx="522" formatCode="0.0">
                  <c:v>8309.1</c:v>
                </c:pt>
                <c:pt idx="523" formatCode="0.0">
                  <c:v>8324.14</c:v>
                </c:pt>
                <c:pt idx="524" formatCode="0.0">
                  <c:v>8339.17</c:v>
                </c:pt>
                <c:pt idx="525" formatCode="0.0">
                  <c:v>8354.2000000000007</c:v>
                </c:pt>
                <c:pt idx="526" formatCode="0.0">
                  <c:v>8369.23</c:v>
                </c:pt>
                <c:pt idx="527" formatCode="0.0">
                  <c:v>8384.26</c:v>
                </c:pt>
                <c:pt idx="528" formatCode="0.0">
                  <c:v>8399.2900000000009</c:v>
                </c:pt>
                <c:pt idx="529" formatCode="0.0">
                  <c:v>8414.31</c:v>
                </c:pt>
                <c:pt idx="530" formatCode="0.0">
                  <c:v>8429.32</c:v>
                </c:pt>
                <c:pt idx="531" formatCode="0.0">
                  <c:v>8444.34</c:v>
                </c:pt>
                <c:pt idx="532" formatCode="0.0">
                  <c:v>8459.35</c:v>
                </c:pt>
                <c:pt idx="533" formatCode="0.0">
                  <c:v>8474.3700000000008</c:v>
                </c:pt>
                <c:pt idx="534" formatCode="0.0">
                  <c:v>8489.3799999999992</c:v>
                </c:pt>
                <c:pt idx="535" formatCode="0.0">
                  <c:v>8504.42</c:v>
                </c:pt>
                <c:pt idx="536" formatCode="0.0">
                  <c:v>8519.4599999999991</c:v>
                </c:pt>
                <c:pt idx="537" formatCode="0.0">
                  <c:v>8534.5</c:v>
                </c:pt>
                <c:pt idx="538" formatCode="0.0">
                  <c:v>8549.5499999999993</c:v>
                </c:pt>
                <c:pt idx="539" formatCode="0.0">
                  <c:v>8564.59</c:v>
                </c:pt>
                <c:pt idx="540" formatCode="0.0">
                  <c:v>8579.6299999999992</c:v>
                </c:pt>
                <c:pt idx="541" formatCode="0.0">
                  <c:v>8594.68</c:v>
                </c:pt>
                <c:pt idx="542" formatCode="0.0">
                  <c:v>8609.7199999999993</c:v>
                </c:pt>
                <c:pt idx="543" formatCode="0.0">
                  <c:v>8624.76</c:v>
                </c:pt>
                <c:pt idx="544" formatCode="0.0">
                  <c:v>8639.81</c:v>
                </c:pt>
                <c:pt idx="545" formatCode="0.0">
                  <c:v>8654.85</c:v>
                </c:pt>
                <c:pt idx="546" formatCode="0.0">
                  <c:v>8669.89</c:v>
                </c:pt>
                <c:pt idx="547" formatCode="0.0">
                  <c:v>8684.93</c:v>
                </c:pt>
                <c:pt idx="548" formatCode="0.0">
                  <c:v>8699.94</c:v>
                </c:pt>
                <c:pt idx="549" formatCode="0.0">
                  <c:v>8714.9599999999991</c:v>
                </c:pt>
                <c:pt idx="550" formatCode="0.0">
                  <c:v>8729.9699999999993</c:v>
                </c:pt>
                <c:pt idx="551" formatCode="0.0">
                  <c:v>8744.99</c:v>
                </c:pt>
                <c:pt idx="552" formatCode="0.0">
                  <c:v>8760</c:v>
                </c:pt>
                <c:pt idx="553" formatCode="0.0">
                  <c:v>8775.01</c:v>
                </c:pt>
                <c:pt idx="554" formatCode="0.0">
                  <c:v>8790</c:v>
                </c:pt>
                <c:pt idx="555" formatCode="0.0">
                  <c:v>8804.98</c:v>
                </c:pt>
                <c:pt idx="556" formatCode="0.0">
                  <c:v>8819.9699999999993</c:v>
                </c:pt>
                <c:pt idx="557" formatCode="0.0">
                  <c:v>8834.9500000000007</c:v>
                </c:pt>
                <c:pt idx="558" formatCode="0.0">
                  <c:v>8849.94</c:v>
                </c:pt>
                <c:pt idx="559" formatCode="0.0">
                  <c:v>8864.92</c:v>
                </c:pt>
                <c:pt idx="560" formatCode="0.0">
                  <c:v>8879.86</c:v>
                </c:pt>
                <c:pt idx="561" formatCode="0.0">
                  <c:v>8894.7999999999993</c:v>
                </c:pt>
                <c:pt idx="562" formatCode="0.0">
                  <c:v>8909.74</c:v>
                </c:pt>
                <c:pt idx="563" formatCode="0.0">
                  <c:v>8924.69</c:v>
                </c:pt>
                <c:pt idx="564" formatCode="0.0">
                  <c:v>8939.6299999999992</c:v>
                </c:pt>
                <c:pt idx="565" formatCode="0.0">
                  <c:v>8954.57</c:v>
                </c:pt>
                <c:pt idx="566" formatCode="0.0">
                  <c:v>8969.51</c:v>
                </c:pt>
                <c:pt idx="567" formatCode="0.0">
                  <c:v>8984.4500000000007</c:v>
                </c:pt>
                <c:pt idx="568" formatCode="0.0">
                  <c:v>8999.4</c:v>
                </c:pt>
                <c:pt idx="569" formatCode="0.0">
                  <c:v>9014.34</c:v>
                </c:pt>
                <c:pt idx="570" formatCode="0.0">
                  <c:v>9029.2800000000007</c:v>
                </c:pt>
                <c:pt idx="571" formatCode="0.0">
                  <c:v>9044.2199999999993</c:v>
                </c:pt>
                <c:pt idx="572" formatCode="0.0">
                  <c:v>9059.2099999999991</c:v>
                </c:pt>
                <c:pt idx="573" formatCode="0.0">
                  <c:v>9074.19</c:v>
                </c:pt>
                <c:pt idx="574" formatCode="0.0">
                  <c:v>9089.18</c:v>
                </c:pt>
                <c:pt idx="575" formatCode="0.0">
                  <c:v>9104.17</c:v>
                </c:pt>
                <c:pt idx="576" formatCode="0.0">
                  <c:v>9119.15</c:v>
                </c:pt>
                <c:pt idx="577" formatCode="0.0">
                  <c:v>9134.14</c:v>
                </c:pt>
                <c:pt idx="578" formatCode="0.0">
                  <c:v>9149.16</c:v>
                </c:pt>
                <c:pt idx="579" formatCode="0.0">
                  <c:v>9164.19</c:v>
                </c:pt>
                <c:pt idx="580" formatCode="0.0">
                  <c:v>9179.2199999999993</c:v>
                </c:pt>
                <c:pt idx="581" formatCode="0.0">
                  <c:v>9194.25</c:v>
                </c:pt>
                <c:pt idx="582" formatCode="0.0">
                  <c:v>9209.2800000000007</c:v>
                </c:pt>
                <c:pt idx="583" formatCode="0.0">
                  <c:v>9224.31</c:v>
                </c:pt>
                <c:pt idx="584" formatCode="0.0">
                  <c:v>9239.36</c:v>
                </c:pt>
                <c:pt idx="585" formatCode="0.0">
                  <c:v>9254.42</c:v>
                </c:pt>
                <c:pt idx="586" formatCode="0.0">
                  <c:v>9269.48</c:v>
                </c:pt>
                <c:pt idx="587" formatCode="0.0">
                  <c:v>9284.5400000000009</c:v>
                </c:pt>
                <c:pt idx="588" formatCode="0.0">
                  <c:v>9299.59</c:v>
                </c:pt>
                <c:pt idx="589" formatCode="0.0">
                  <c:v>9314.65</c:v>
                </c:pt>
                <c:pt idx="590" formatCode="0.0">
                  <c:v>9329.73</c:v>
                </c:pt>
                <c:pt idx="591" formatCode="0.0">
                  <c:v>9344.81</c:v>
                </c:pt>
                <c:pt idx="592" formatCode="0.0">
                  <c:v>9359.9</c:v>
                </c:pt>
                <c:pt idx="593" formatCode="0.0">
                  <c:v>9374.99</c:v>
                </c:pt>
                <c:pt idx="594" formatCode="0.0">
                  <c:v>9390.07</c:v>
                </c:pt>
                <c:pt idx="595" formatCode="0.0">
                  <c:v>9405.16</c:v>
                </c:pt>
                <c:pt idx="596" formatCode="0.0">
                  <c:v>9420.26</c:v>
                </c:pt>
                <c:pt idx="597" formatCode="0.0">
                  <c:v>9435.3799999999992</c:v>
                </c:pt>
                <c:pt idx="598" formatCode="0.0">
                  <c:v>9450.49</c:v>
                </c:pt>
                <c:pt idx="599" formatCode="0.0">
                  <c:v>9465.6</c:v>
                </c:pt>
                <c:pt idx="600" formatCode="0.0">
                  <c:v>9480.7199999999993</c:v>
                </c:pt>
                <c:pt idx="601" formatCode="0.0">
                  <c:v>9495.83</c:v>
                </c:pt>
                <c:pt idx="602" formatCode="0.0">
                  <c:v>9510.9599999999991</c:v>
                </c:pt>
                <c:pt idx="603" formatCode="0.0">
                  <c:v>9526.1</c:v>
                </c:pt>
                <c:pt idx="604" formatCode="0.0">
                  <c:v>9541.24</c:v>
                </c:pt>
                <c:pt idx="605" formatCode="0.0">
                  <c:v>9556.39</c:v>
                </c:pt>
                <c:pt idx="606" formatCode="0.0">
                  <c:v>9571.5300000000007</c:v>
                </c:pt>
                <c:pt idx="607" formatCode="0.0">
                  <c:v>9586.67</c:v>
                </c:pt>
                <c:pt idx="608" formatCode="0.0">
                  <c:v>9601.92</c:v>
                </c:pt>
                <c:pt idx="609" formatCode="0.0">
                  <c:v>9617.33</c:v>
                </c:pt>
                <c:pt idx="610" formatCode="0.0">
                  <c:v>9632.74</c:v>
                </c:pt>
                <c:pt idx="611" formatCode="0.0">
                  <c:v>9648.15</c:v>
                </c:pt>
                <c:pt idx="612" formatCode="0.0">
                  <c:v>9663.56</c:v>
                </c:pt>
                <c:pt idx="613" formatCode="0.0">
                  <c:v>9678.9699999999993</c:v>
                </c:pt>
                <c:pt idx="614" formatCode="0.0">
                  <c:v>9694.3799999999992</c:v>
                </c:pt>
                <c:pt idx="615" formatCode="0.0">
                  <c:v>9709.7900000000009</c:v>
                </c:pt>
                <c:pt idx="616" formatCode="0.0">
                  <c:v>9725.2000000000007</c:v>
                </c:pt>
                <c:pt idx="617" formatCode="0.0">
                  <c:v>9740.61</c:v>
                </c:pt>
                <c:pt idx="618" formatCode="0.0">
                  <c:v>9756.02</c:v>
                </c:pt>
                <c:pt idx="619" formatCode="0.0">
                  <c:v>9771.43</c:v>
                </c:pt>
                <c:pt idx="620" formatCode="0.0">
                  <c:v>9786.7900000000009</c:v>
                </c:pt>
                <c:pt idx="621" formatCode="0.0">
                  <c:v>9801.9599999999991</c:v>
                </c:pt>
                <c:pt idx="622" formatCode="0.0">
                  <c:v>9817.1299999999992</c:v>
                </c:pt>
                <c:pt idx="623" formatCode="0.0">
                  <c:v>9832.2999999999993</c:v>
                </c:pt>
                <c:pt idx="624" formatCode="0.0">
                  <c:v>9847.4699999999993</c:v>
                </c:pt>
                <c:pt idx="625" formatCode="0.0">
                  <c:v>9862.64</c:v>
                </c:pt>
                <c:pt idx="626" formatCode="0.0">
                  <c:v>9877.81</c:v>
                </c:pt>
                <c:pt idx="627" formatCode="0.0">
                  <c:v>9893.02</c:v>
                </c:pt>
                <c:pt idx="628" formatCode="0.0">
                  <c:v>9908.23</c:v>
                </c:pt>
                <c:pt idx="629" formatCode="0.0">
                  <c:v>9923.44</c:v>
                </c:pt>
                <c:pt idx="630" formatCode="0.0">
                  <c:v>9938.65</c:v>
                </c:pt>
                <c:pt idx="631" formatCode="0.0">
                  <c:v>9953.86</c:v>
                </c:pt>
                <c:pt idx="632" formatCode="0.0">
                  <c:v>9969.07</c:v>
                </c:pt>
                <c:pt idx="633" formatCode="0.0">
                  <c:v>9984.39</c:v>
                </c:pt>
                <c:pt idx="634" formatCode="0.0">
                  <c:v>9999.7000000000007</c:v>
                </c:pt>
                <c:pt idx="635" formatCode="0.0">
                  <c:v>10015.01</c:v>
                </c:pt>
                <c:pt idx="636" formatCode="0.0">
                  <c:v>10030.33</c:v>
                </c:pt>
                <c:pt idx="637" formatCode="0.0">
                  <c:v>10045.64</c:v>
                </c:pt>
                <c:pt idx="638" formatCode="0.0">
                  <c:v>10060.959999999999</c:v>
                </c:pt>
                <c:pt idx="639" formatCode="0.0">
                  <c:v>10076.34</c:v>
                </c:pt>
                <c:pt idx="640" formatCode="0.0">
                  <c:v>10091.73</c:v>
                </c:pt>
                <c:pt idx="641" formatCode="0.0">
                  <c:v>10107.120000000001</c:v>
                </c:pt>
                <c:pt idx="642" formatCode="0.0">
                  <c:v>10122.51</c:v>
                </c:pt>
                <c:pt idx="643" formatCode="0.0">
                  <c:v>10137.9</c:v>
                </c:pt>
                <c:pt idx="644" formatCode="0.0">
                  <c:v>10153.290000000001</c:v>
                </c:pt>
                <c:pt idx="645" formatCode="0.0">
                  <c:v>10168.700000000001</c:v>
                </c:pt>
                <c:pt idx="646" formatCode="0.0">
                  <c:v>10184.120000000001</c:v>
                </c:pt>
                <c:pt idx="647" formatCode="0.0">
                  <c:v>10199.530000000001</c:v>
                </c:pt>
                <c:pt idx="648" formatCode="0.0">
                  <c:v>10214.950000000001</c:v>
                </c:pt>
                <c:pt idx="649" formatCode="0.0">
                  <c:v>10230.36</c:v>
                </c:pt>
                <c:pt idx="650" formatCode="0.0">
                  <c:v>10245.780000000001</c:v>
                </c:pt>
                <c:pt idx="651" formatCode="0.0">
                  <c:v>10261.25</c:v>
                </c:pt>
                <c:pt idx="652" formatCode="0.0">
                  <c:v>10276.73</c:v>
                </c:pt>
                <c:pt idx="653" formatCode="0.0">
                  <c:v>10292.219999999999</c:v>
                </c:pt>
                <c:pt idx="654" formatCode="0.0">
                  <c:v>10307.709999999999</c:v>
                </c:pt>
                <c:pt idx="655" formatCode="0.0">
                  <c:v>10323.19</c:v>
                </c:pt>
                <c:pt idx="656" formatCode="0.0">
                  <c:v>10338.68</c:v>
                </c:pt>
                <c:pt idx="657" formatCode="0.0">
                  <c:v>10354.209999999999</c:v>
                </c:pt>
                <c:pt idx="658" formatCode="0.0">
                  <c:v>10369.77</c:v>
                </c:pt>
                <c:pt idx="659" formatCode="0.0">
                  <c:v>10385.32</c:v>
                </c:pt>
                <c:pt idx="660" formatCode="0.0">
                  <c:v>10400.879999999999</c:v>
                </c:pt>
                <c:pt idx="661" formatCode="0.0">
                  <c:v>10416.44</c:v>
                </c:pt>
                <c:pt idx="662" formatCode="0.0">
                  <c:v>10431.99</c:v>
                </c:pt>
                <c:pt idx="663" formatCode="0.0">
                  <c:v>10447.6</c:v>
                </c:pt>
                <c:pt idx="664" formatCode="0.0">
                  <c:v>10463.24</c:v>
                </c:pt>
                <c:pt idx="665" formatCode="0.0">
                  <c:v>10478.89</c:v>
                </c:pt>
                <c:pt idx="666" formatCode="0.0">
                  <c:v>10494.53</c:v>
                </c:pt>
                <c:pt idx="667" formatCode="0.0">
                  <c:v>10510.18</c:v>
                </c:pt>
                <c:pt idx="668" formatCode="0.0">
                  <c:v>10525.82</c:v>
                </c:pt>
                <c:pt idx="669" formatCode="0.0">
                  <c:v>10541.46</c:v>
                </c:pt>
                <c:pt idx="670" formatCode="0.0">
                  <c:v>10557.11</c:v>
                </c:pt>
                <c:pt idx="671" formatCode="0.0">
                  <c:v>10572.75</c:v>
                </c:pt>
                <c:pt idx="672" formatCode="0.0">
                  <c:v>10588.4</c:v>
                </c:pt>
                <c:pt idx="673" formatCode="0.0">
                  <c:v>10604.04</c:v>
                </c:pt>
                <c:pt idx="674" formatCode="0.0">
                  <c:v>10619.69</c:v>
                </c:pt>
                <c:pt idx="675" formatCode="0.0">
                  <c:v>10635.37</c:v>
                </c:pt>
                <c:pt idx="676" formatCode="0.0">
                  <c:v>10651.13</c:v>
                </c:pt>
                <c:pt idx="677" formatCode="0.0">
                  <c:v>10666.89</c:v>
                </c:pt>
                <c:pt idx="678" formatCode="0.0">
                  <c:v>10682.65</c:v>
                </c:pt>
                <c:pt idx="679" formatCode="0.0">
                  <c:v>10698.41</c:v>
                </c:pt>
                <c:pt idx="680" formatCode="0.0">
                  <c:v>10714.16</c:v>
                </c:pt>
                <c:pt idx="681" formatCode="0.0">
                  <c:v>10729.94</c:v>
                </c:pt>
                <c:pt idx="682" formatCode="0.0">
                  <c:v>10745.78</c:v>
                </c:pt>
                <c:pt idx="683" formatCode="0.0">
                  <c:v>10761.62</c:v>
                </c:pt>
                <c:pt idx="684" formatCode="0.0">
                  <c:v>10777.46</c:v>
                </c:pt>
                <c:pt idx="685" formatCode="0.0">
                  <c:v>10793.29</c:v>
                </c:pt>
                <c:pt idx="686" formatCode="0.0">
                  <c:v>10809.13</c:v>
                </c:pt>
                <c:pt idx="687" formatCode="0.0">
                  <c:v>10824.97</c:v>
                </c:pt>
                <c:pt idx="688" formatCode="0.0">
                  <c:v>10840.81</c:v>
                </c:pt>
                <c:pt idx="689" formatCode="0.0">
                  <c:v>10856.64</c:v>
                </c:pt>
                <c:pt idx="690" formatCode="0.0">
                  <c:v>10872.48</c:v>
                </c:pt>
                <c:pt idx="691" formatCode="0.0">
                  <c:v>10888.32</c:v>
                </c:pt>
                <c:pt idx="692" formatCode="0.0">
                  <c:v>10904.16</c:v>
                </c:pt>
                <c:pt idx="693" formatCode="0.0">
                  <c:v>10920</c:v>
                </c:pt>
                <c:pt idx="694" formatCode="0.0">
                  <c:v>10935.88</c:v>
                </c:pt>
                <c:pt idx="695" formatCode="0.0">
                  <c:v>10951.76</c:v>
                </c:pt>
                <c:pt idx="696" formatCode="0.0">
                  <c:v>10967.64</c:v>
                </c:pt>
                <c:pt idx="697" formatCode="0.0">
                  <c:v>10983.52</c:v>
                </c:pt>
                <c:pt idx="698" formatCode="0.0">
                  <c:v>10999.4</c:v>
                </c:pt>
                <c:pt idx="699" formatCode="0.0">
                  <c:v>11015.29</c:v>
                </c:pt>
                <c:pt idx="700" formatCode="0.0">
                  <c:v>11031.17</c:v>
                </c:pt>
                <c:pt idx="701" formatCode="0.0">
                  <c:v>11047.05</c:v>
                </c:pt>
                <c:pt idx="702" formatCode="0.0">
                  <c:v>11062.93</c:v>
                </c:pt>
                <c:pt idx="703" formatCode="0.0">
                  <c:v>11078.81</c:v>
                </c:pt>
                <c:pt idx="704" formatCode="0.0">
                  <c:v>11094.7</c:v>
                </c:pt>
                <c:pt idx="705" formatCode="0.0">
                  <c:v>11110.58</c:v>
                </c:pt>
                <c:pt idx="706" formatCode="0.0">
                  <c:v>11126.51</c:v>
                </c:pt>
                <c:pt idx="707" formatCode="0.0">
                  <c:v>11142.45</c:v>
                </c:pt>
                <c:pt idx="708" formatCode="0.0">
                  <c:v>11158.4</c:v>
                </c:pt>
                <c:pt idx="709" formatCode="0.0">
                  <c:v>11174.34</c:v>
                </c:pt>
                <c:pt idx="710" formatCode="0.0">
                  <c:v>11190.28</c:v>
                </c:pt>
                <c:pt idx="711" formatCode="0.0">
                  <c:v>11206.22</c:v>
                </c:pt>
                <c:pt idx="712" formatCode="0.0">
                  <c:v>11222.16</c:v>
                </c:pt>
                <c:pt idx="713" formatCode="0.0">
                  <c:v>11238.11</c:v>
                </c:pt>
                <c:pt idx="714" formatCode="0.0">
                  <c:v>11254.05</c:v>
                </c:pt>
                <c:pt idx="715" formatCode="0.0">
                  <c:v>11269.99</c:v>
                </c:pt>
                <c:pt idx="716" formatCode="0.0">
                  <c:v>11285.93</c:v>
                </c:pt>
                <c:pt idx="717" formatCode="0.0">
                  <c:v>11301.88</c:v>
                </c:pt>
                <c:pt idx="718" formatCode="0.0">
                  <c:v>11317.86</c:v>
                </c:pt>
                <c:pt idx="719" formatCode="0.0">
                  <c:v>11333.87</c:v>
                </c:pt>
                <c:pt idx="720" formatCode="0.0">
                  <c:v>11349.88</c:v>
                </c:pt>
                <c:pt idx="721" formatCode="0.0">
                  <c:v>11365.88</c:v>
                </c:pt>
                <c:pt idx="722" formatCode="0.0">
                  <c:v>11381.89</c:v>
                </c:pt>
                <c:pt idx="723" formatCode="0.0">
                  <c:v>11397.9</c:v>
                </c:pt>
                <c:pt idx="724" formatCode="0.0">
                  <c:v>11413.91</c:v>
                </c:pt>
                <c:pt idx="725" formatCode="0.0">
                  <c:v>11429.91</c:v>
                </c:pt>
                <c:pt idx="726" formatCode="0.0">
                  <c:v>11445.92</c:v>
                </c:pt>
                <c:pt idx="727" formatCode="0.0">
                  <c:v>11461.93</c:v>
                </c:pt>
                <c:pt idx="728" formatCode="0.0">
                  <c:v>11477.94</c:v>
                </c:pt>
                <c:pt idx="729" formatCode="0.0">
                  <c:v>11493.94</c:v>
                </c:pt>
                <c:pt idx="730" formatCode="0.0">
                  <c:v>11509.96</c:v>
                </c:pt>
                <c:pt idx="731" formatCode="0.0">
                  <c:v>11525.98</c:v>
                </c:pt>
                <c:pt idx="732" formatCode="0.0">
                  <c:v>11542.01</c:v>
                </c:pt>
                <c:pt idx="733" formatCode="0.0">
                  <c:v>11558.03</c:v>
                </c:pt>
                <c:pt idx="734" formatCode="0.0">
                  <c:v>11574.05</c:v>
                </c:pt>
                <c:pt idx="735" formatCode="0.0">
                  <c:v>11590.07</c:v>
                </c:pt>
                <c:pt idx="736" formatCode="0.0">
                  <c:v>11606.1</c:v>
                </c:pt>
                <c:pt idx="737" formatCode="0.0">
                  <c:v>11622.12</c:v>
                </c:pt>
                <c:pt idx="738" formatCode="0.0">
                  <c:v>11638.14</c:v>
                </c:pt>
                <c:pt idx="739" formatCode="0.0">
                  <c:v>11654.17</c:v>
                </c:pt>
                <c:pt idx="740" formatCode="0.0">
                  <c:v>11670.19</c:v>
                </c:pt>
                <c:pt idx="741" formatCode="0.0">
                  <c:v>11686.21</c:v>
                </c:pt>
                <c:pt idx="742" formatCode="0.0">
                  <c:v>11702.24</c:v>
                </c:pt>
                <c:pt idx="743" formatCode="0.0">
                  <c:v>11718.26</c:v>
                </c:pt>
                <c:pt idx="744" formatCode="0.0">
                  <c:v>11734.28</c:v>
                </c:pt>
                <c:pt idx="745" formatCode="0.0">
                  <c:v>11750.31</c:v>
                </c:pt>
                <c:pt idx="746" formatCode="0.0">
                  <c:v>11766.33</c:v>
                </c:pt>
                <c:pt idx="747" formatCode="0.0">
                  <c:v>11782.35</c:v>
                </c:pt>
                <c:pt idx="748" formatCode="0.0">
                  <c:v>11798.38</c:v>
                </c:pt>
                <c:pt idx="749" formatCode="0.0">
                  <c:v>11814.4</c:v>
                </c:pt>
                <c:pt idx="750" formatCode="0.0">
                  <c:v>11830.42</c:v>
                </c:pt>
                <c:pt idx="751" formatCode="0.0">
                  <c:v>11846.44</c:v>
                </c:pt>
                <c:pt idx="752" formatCode="0.0">
                  <c:v>11862.47</c:v>
                </c:pt>
                <c:pt idx="753" formatCode="0.0">
                  <c:v>11878.49</c:v>
                </c:pt>
                <c:pt idx="754" formatCode="0.0">
                  <c:v>11894.51</c:v>
                </c:pt>
                <c:pt idx="755" formatCode="0.0">
                  <c:v>11910.54</c:v>
                </c:pt>
                <c:pt idx="756" formatCode="0.0">
                  <c:v>11926.56</c:v>
                </c:pt>
                <c:pt idx="757" formatCode="0.0">
                  <c:v>11942.58</c:v>
                </c:pt>
                <c:pt idx="758" formatCode="0.0">
                  <c:v>11958.61</c:v>
                </c:pt>
                <c:pt idx="759" formatCode="0.0">
                  <c:v>11974.63</c:v>
                </c:pt>
                <c:pt idx="760" formatCode="0.0">
                  <c:v>11990.65</c:v>
                </c:pt>
                <c:pt idx="761" formatCode="0.0">
                  <c:v>12006.68</c:v>
                </c:pt>
                <c:pt idx="762" formatCode="0.0">
                  <c:v>12022.7</c:v>
                </c:pt>
                <c:pt idx="763" formatCode="0.0">
                  <c:v>12038.72</c:v>
                </c:pt>
                <c:pt idx="764" formatCode="0.0">
                  <c:v>12054.74</c:v>
                </c:pt>
                <c:pt idx="765" formatCode="0.0">
                  <c:v>12070.77</c:v>
                </c:pt>
                <c:pt idx="766" formatCode="0.0">
                  <c:v>12086.79</c:v>
                </c:pt>
                <c:pt idx="767" formatCode="0.0">
                  <c:v>12102.81</c:v>
                </c:pt>
                <c:pt idx="768" formatCode="0.0">
                  <c:v>12118.84</c:v>
                </c:pt>
                <c:pt idx="769" formatCode="0.0">
                  <c:v>12134.86</c:v>
                </c:pt>
                <c:pt idx="770" formatCode="0.0">
                  <c:v>12150.88</c:v>
                </c:pt>
                <c:pt idx="771" formatCode="0.0">
                  <c:v>12166.91</c:v>
                </c:pt>
                <c:pt idx="772" formatCode="0.0">
                  <c:v>12182.93</c:v>
                </c:pt>
                <c:pt idx="773" formatCode="0.0">
                  <c:v>12198.95</c:v>
                </c:pt>
                <c:pt idx="774" formatCode="0.0">
                  <c:v>12214.98</c:v>
                </c:pt>
                <c:pt idx="775" formatCode="0.0">
                  <c:v>12231</c:v>
                </c:pt>
                <c:pt idx="776" formatCode="0.0">
                  <c:v>12247.02</c:v>
                </c:pt>
                <c:pt idx="777" formatCode="0.0">
                  <c:v>12263.04</c:v>
                </c:pt>
                <c:pt idx="778" formatCode="0.0">
                  <c:v>12279.07</c:v>
                </c:pt>
                <c:pt idx="779" formatCode="0.0">
                  <c:v>12295.09</c:v>
                </c:pt>
                <c:pt idx="780" formatCode="0.0">
                  <c:v>12311.11</c:v>
                </c:pt>
                <c:pt idx="781" formatCode="0.0">
                  <c:v>12327.14</c:v>
                </c:pt>
                <c:pt idx="782" formatCode="0.0">
                  <c:v>12343.16</c:v>
                </c:pt>
                <c:pt idx="783" formatCode="0.0">
                  <c:v>12359.18</c:v>
                </c:pt>
                <c:pt idx="784" formatCode="0.0">
                  <c:v>12375.21</c:v>
                </c:pt>
                <c:pt idx="785" formatCode="0.0">
                  <c:v>12391.23</c:v>
                </c:pt>
                <c:pt idx="786" formatCode="0.0">
                  <c:v>12407.25</c:v>
                </c:pt>
                <c:pt idx="787" formatCode="0.0">
                  <c:v>12423.27</c:v>
                </c:pt>
                <c:pt idx="788" formatCode="0.0">
                  <c:v>12439.3</c:v>
                </c:pt>
                <c:pt idx="789" formatCode="0.0">
                  <c:v>12455.32</c:v>
                </c:pt>
                <c:pt idx="790" formatCode="0.0">
                  <c:v>12471.34</c:v>
                </c:pt>
                <c:pt idx="791" formatCode="0.0">
                  <c:v>12487.37</c:v>
                </c:pt>
                <c:pt idx="792" formatCode="0.0">
                  <c:v>12503.39</c:v>
                </c:pt>
                <c:pt idx="793" formatCode="0.0">
                  <c:v>12519.41</c:v>
                </c:pt>
                <c:pt idx="794" formatCode="0.0">
                  <c:v>12535.44</c:v>
                </c:pt>
                <c:pt idx="795" formatCode="0.0">
                  <c:v>12551.46</c:v>
                </c:pt>
                <c:pt idx="796" formatCode="0.0">
                  <c:v>12567.48</c:v>
                </c:pt>
                <c:pt idx="797" formatCode="0.0">
                  <c:v>12583.51</c:v>
                </c:pt>
                <c:pt idx="798" formatCode="0.0">
                  <c:v>12599.53</c:v>
                </c:pt>
                <c:pt idx="799" formatCode="0.0">
                  <c:v>12615.55</c:v>
                </c:pt>
                <c:pt idx="800" formatCode="0.0">
                  <c:v>12631.57</c:v>
                </c:pt>
                <c:pt idx="801" formatCode="0.0">
                  <c:v>12647.6</c:v>
                </c:pt>
                <c:pt idx="802" formatCode="0.0">
                  <c:v>12663.62</c:v>
                </c:pt>
                <c:pt idx="803" formatCode="0.0">
                  <c:v>12679.64</c:v>
                </c:pt>
                <c:pt idx="804" formatCode="0.0">
                  <c:v>12695.67</c:v>
                </c:pt>
                <c:pt idx="805" formatCode="0.0">
                  <c:v>12711.69</c:v>
                </c:pt>
                <c:pt idx="806" formatCode="0.0">
                  <c:v>12727.71</c:v>
                </c:pt>
                <c:pt idx="807" formatCode="0.0">
                  <c:v>12743.74</c:v>
                </c:pt>
                <c:pt idx="808" formatCode="0.0">
                  <c:v>12759.76</c:v>
                </c:pt>
                <c:pt idx="809" formatCode="0.0">
                  <c:v>12775.78</c:v>
                </c:pt>
                <c:pt idx="810" formatCode="0.0">
                  <c:v>12791.8</c:v>
                </c:pt>
                <c:pt idx="811" formatCode="0.0">
                  <c:v>12807.83</c:v>
                </c:pt>
                <c:pt idx="812" formatCode="0.0">
                  <c:v>12823.85</c:v>
                </c:pt>
                <c:pt idx="813" formatCode="0.0">
                  <c:v>12839.87</c:v>
                </c:pt>
                <c:pt idx="814" formatCode="0.0">
                  <c:v>12855.9</c:v>
                </c:pt>
                <c:pt idx="815" formatCode="0.0">
                  <c:v>12871.92</c:v>
                </c:pt>
                <c:pt idx="816" formatCode="0.0">
                  <c:v>12887.94</c:v>
                </c:pt>
                <c:pt idx="817" formatCode="0.0">
                  <c:v>12903.97</c:v>
                </c:pt>
                <c:pt idx="818" formatCode="0.0">
                  <c:v>12919.99</c:v>
                </c:pt>
                <c:pt idx="819" formatCode="0.0">
                  <c:v>12936.01</c:v>
                </c:pt>
                <c:pt idx="820" formatCode="0.0">
                  <c:v>12952.04</c:v>
                </c:pt>
                <c:pt idx="821" formatCode="0.0">
                  <c:v>12968.06</c:v>
                </c:pt>
                <c:pt idx="822" formatCode="0.0">
                  <c:v>12984.08</c:v>
                </c:pt>
                <c:pt idx="823" formatCode="0.0">
                  <c:v>13000.1</c:v>
                </c:pt>
                <c:pt idx="824" formatCode="0.0">
                  <c:v>13016.13</c:v>
                </c:pt>
                <c:pt idx="825" formatCode="0.0">
                  <c:v>13032.15</c:v>
                </c:pt>
                <c:pt idx="826" formatCode="0.0">
                  <c:v>13048.17</c:v>
                </c:pt>
                <c:pt idx="827" formatCode="0.0">
                  <c:v>13064.2</c:v>
                </c:pt>
                <c:pt idx="828" formatCode="0.0">
                  <c:v>13080.22</c:v>
                </c:pt>
                <c:pt idx="829" formatCode="0.0">
                  <c:v>13096.24</c:v>
                </c:pt>
                <c:pt idx="830" formatCode="0.0">
                  <c:v>13112.27</c:v>
                </c:pt>
                <c:pt idx="831" formatCode="0.0">
                  <c:v>13128.29</c:v>
                </c:pt>
                <c:pt idx="832" formatCode="0.0">
                  <c:v>13144.31</c:v>
                </c:pt>
                <c:pt idx="833" formatCode="0.0">
                  <c:v>13160.33</c:v>
                </c:pt>
                <c:pt idx="834" formatCode="0.0">
                  <c:v>13176.36</c:v>
                </c:pt>
                <c:pt idx="835" formatCode="0.0">
                  <c:v>13192.38</c:v>
                </c:pt>
                <c:pt idx="836" formatCode="0.0">
                  <c:v>13208.4</c:v>
                </c:pt>
                <c:pt idx="837" formatCode="0.0">
                  <c:v>13224.43</c:v>
                </c:pt>
                <c:pt idx="838" formatCode="0.0">
                  <c:v>13240.45</c:v>
                </c:pt>
                <c:pt idx="839" formatCode="0.0">
                  <c:v>13256.47</c:v>
                </c:pt>
                <c:pt idx="840" formatCode="0.0">
                  <c:v>13272.5</c:v>
                </c:pt>
                <c:pt idx="841" formatCode="0.0">
                  <c:v>13288.52</c:v>
                </c:pt>
                <c:pt idx="842" formatCode="0.0">
                  <c:v>13304.54</c:v>
                </c:pt>
                <c:pt idx="843" formatCode="0.0">
                  <c:v>13320.57</c:v>
                </c:pt>
                <c:pt idx="844" formatCode="0.0">
                  <c:v>13336.59</c:v>
                </c:pt>
                <c:pt idx="845" formatCode="0.0">
                  <c:v>13352.61</c:v>
                </c:pt>
                <c:pt idx="846" formatCode="0.0">
                  <c:v>13368.63</c:v>
                </c:pt>
                <c:pt idx="847" formatCode="0.0">
                  <c:v>13384.66</c:v>
                </c:pt>
                <c:pt idx="848" formatCode="0.0">
                  <c:v>13400.68</c:v>
                </c:pt>
                <c:pt idx="849" formatCode="0.0">
                  <c:v>13416.7</c:v>
                </c:pt>
                <c:pt idx="850" formatCode="0.0">
                  <c:v>13432.73</c:v>
                </c:pt>
                <c:pt idx="851" formatCode="0.0">
                  <c:v>13448.75</c:v>
                </c:pt>
                <c:pt idx="852" formatCode="0.0">
                  <c:v>13464.77</c:v>
                </c:pt>
                <c:pt idx="853" formatCode="0.0">
                  <c:v>13480.8</c:v>
                </c:pt>
                <c:pt idx="854" formatCode="0.0">
                  <c:v>13496.82</c:v>
                </c:pt>
                <c:pt idx="855" formatCode="0.0">
                  <c:v>13512.84</c:v>
                </c:pt>
                <c:pt idx="856" formatCode="0.0">
                  <c:v>13528.87</c:v>
                </c:pt>
                <c:pt idx="857" formatCode="0.0">
                  <c:v>13544.89</c:v>
                </c:pt>
                <c:pt idx="858" formatCode="0.0">
                  <c:v>13560.91</c:v>
                </c:pt>
                <c:pt idx="859" formatCode="0.0">
                  <c:v>13576.93</c:v>
                </c:pt>
                <c:pt idx="860" formatCode="0.0">
                  <c:v>13592.96</c:v>
                </c:pt>
                <c:pt idx="861" formatCode="0.0">
                  <c:v>13608.98</c:v>
                </c:pt>
                <c:pt idx="862" formatCode="0.0">
                  <c:v>13625</c:v>
                </c:pt>
                <c:pt idx="863" formatCode="0.0">
                  <c:v>13641.03</c:v>
                </c:pt>
                <c:pt idx="864" formatCode="0.0">
                  <c:v>13657.05</c:v>
                </c:pt>
                <c:pt idx="865" formatCode="0.0">
                  <c:v>13673.07</c:v>
                </c:pt>
                <c:pt idx="866" formatCode="0.0">
                  <c:v>13689.1</c:v>
                </c:pt>
                <c:pt idx="867" formatCode="0.0">
                  <c:v>13705.12</c:v>
                </c:pt>
                <c:pt idx="868" formatCode="0.0">
                  <c:v>13721.14</c:v>
                </c:pt>
                <c:pt idx="869" formatCode="0.0">
                  <c:v>13737.16</c:v>
                </c:pt>
                <c:pt idx="870" formatCode="0.0">
                  <c:v>13753.19</c:v>
                </c:pt>
                <c:pt idx="871" formatCode="0.0">
                  <c:v>13769.21</c:v>
                </c:pt>
                <c:pt idx="872" formatCode="0.0">
                  <c:v>13785.23</c:v>
                </c:pt>
                <c:pt idx="873" formatCode="0.0">
                  <c:v>13801.26</c:v>
                </c:pt>
                <c:pt idx="874" formatCode="0.0">
                  <c:v>13817.28</c:v>
                </c:pt>
                <c:pt idx="875" formatCode="0.0">
                  <c:v>13833.3</c:v>
                </c:pt>
                <c:pt idx="876" formatCode="0.0">
                  <c:v>13849.33</c:v>
                </c:pt>
                <c:pt idx="877" formatCode="0.0">
                  <c:v>13865.35</c:v>
                </c:pt>
                <c:pt idx="878" formatCode="0.0">
                  <c:v>13881.37</c:v>
                </c:pt>
                <c:pt idx="879" formatCode="0.0">
                  <c:v>13897.4</c:v>
                </c:pt>
                <c:pt idx="880" formatCode="0.0">
                  <c:v>13913.42</c:v>
                </c:pt>
                <c:pt idx="881" formatCode="0.0">
                  <c:v>13929.44</c:v>
                </c:pt>
                <c:pt idx="882" formatCode="0.0">
                  <c:v>13945.46</c:v>
                </c:pt>
                <c:pt idx="883" formatCode="0.0">
                  <c:v>13961.49</c:v>
                </c:pt>
                <c:pt idx="884" formatCode="0.0">
                  <c:v>13977.51</c:v>
                </c:pt>
                <c:pt idx="885" formatCode="0.0">
                  <c:v>13993.53</c:v>
                </c:pt>
                <c:pt idx="886" formatCode="0.0">
                  <c:v>14009.56</c:v>
                </c:pt>
                <c:pt idx="887" formatCode="0.0">
                  <c:v>14025.58</c:v>
                </c:pt>
                <c:pt idx="888" formatCode="0.0">
                  <c:v>14041.6</c:v>
                </c:pt>
                <c:pt idx="889" formatCode="0.0">
                  <c:v>14057.63</c:v>
                </c:pt>
                <c:pt idx="890" formatCode="0.0">
                  <c:v>14073.65</c:v>
                </c:pt>
                <c:pt idx="891" formatCode="0.0">
                  <c:v>14089.67</c:v>
                </c:pt>
                <c:pt idx="892" formatCode="0.0">
                  <c:v>14105.69</c:v>
                </c:pt>
                <c:pt idx="893" formatCode="0.0">
                  <c:v>14121.72</c:v>
                </c:pt>
                <c:pt idx="894" formatCode="0.0">
                  <c:v>14137.74</c:v>
                </c:pt>
                <c:pt idx="895" formatCode="0.0">
                  <c:v>14153.76</c:v>
                </c:pt>
                <c:pt idx="896" formatCode="0.0">
                  <c:v>14169.79</c:v>
                </c:pt>
                <c:pt idx="897" formatCode="0.0">
                  <c:v>14185.81</c:v>
                </c:pt>
                <c:pt idx="898" formatCode="0.0">
                  <c:v>14201.83</c:v>
                </c:pt>
                <c:pt idx="899" formatCode="0.0">
                  <c:v>14217.86</c:v>
                </c:pt>
                <c:pt idx="900" formatCode="0.0">
                  <c:v>14233.88</c:v>
                </c:pt>
                <c:pt idx="901" formatCode="0.0">
                  <c:v>14249.9</c:v>
                </c:pt>
                <c:pt idx="902" formatCode="0.0">
                  <c:v>14265.93</c:v>
                </c:pt>
                <c:pt idx="903" formatCode="0.0">
                  <c:v>14281.95</c:v>
                </c:pt>
                <c:pt idx="904" formatCode="0.0">
                  <c:v>14297.97</c:v>
                </c:pt>
                <c:pt idx="905" formatCode="0.0">
                  <c:v>14313.99</c:v>
                </c:pt>
                <c:pt idx="906" formatCode="0.0">
                  <c:v>14330.02</c:v>
                </c:pt>
                <c:pt idx="907" formatCode="0.0">
                  <c:v>14346.04</c:v>
                </c:pt>
                <c:pt idx="908" formatCode="0.0">
                  <c:v>14362.06</c:v>
                </c:pt>
                <c:pt idx="909" formatCode="0.0">
                  <c:v>14378.09</c:v>
                </c:pt>
                <c:pt idx="910" formatCode="0.0">
                  <c:v>14394.11</c:v>
                </c:pt>
                <c:pt idx="911" formatCode="0.0">
                  <c:v>14410.13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4-4B00-90C9-1DDD0FC25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5728"/>
        <c:axId val="195147648"/>
      </c:scatterChart>
      <c:valAx>
        <c:axId val="1951457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2-Way Time (ms)</a:t>
                </a:r>
              </a:p>
            </c:rich>
          </c:tx>
          <c:layout>
            <c:manualLayout>
              <c:xMode val="edge"/>
              <c:yMode val="edge"/>
              <c:x val="0.36621480884556534"/>
              <c:y val="1.604278074866312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7648"/>
        <c:crosses val="autoZero"/>
        <c:crossBetween val="midCat"/>
      </c:valAx>
      <c:valAx>
        <c:axId val="1951476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6.1652281134402026E-3"/>
              <c:y val="0.46880645266935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5728"/>
        <c:crosses val="autoZero"/>
        <c:crossBetween val="midCat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939619600570858"/>
          <c:y val="0.34759414431484853"/>
          <c:w val="0.15659692353498977"/>
          <c:h val="7.664902849710630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Depth Prediction Error</a:t>
            </a:r>
          </a:p>
        </c:rich>
      </c:tx>
      <c:layout>
        <c:manualLayout>
          <c:xMode val="edge"/>
          <c:yMode val="edge"/>
          <c:x val="0.33046708841984479"/>
          <c:y val="3.96039603960396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9270636943488"/>
          <c:y val="0.17821799410000996"/>
          <c:w val="0.76658522642407023"/>
          <c:h val="0.72277297607226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'NUNR-012'!$D$2</c:f>
              <c:strCache>
                <c:ptCount val="1"/>
                <c:pt idx="0">
                  <c:v>NunR-012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'NUNR-012'!$D$15:$D$926</c:f>
              <c:numCache>
                <c:formatCode>0.00</c:formatCode>
                <c:ptCount val="912"/>
                <c:pt idx="0">
                  <c:v>0</c:v>
                </c:pt>
                <c:pt idx="1">
                  <c:v>15.74</c:v>
                </c:pt>
                <c:pt idx="2">
                  <c:v>32.15</c:v>
                </c:pt>
                <c:pt idx="3">
                  <c:v>48.55</c:v>
                </c:pt>
                <c:pt idx="4">
                  <c:v>64.95</c:v>
                </c:pt>
                <c:pt idx="5">
                  <c:v>81.36</c:v>
                </c:pt>
                <c:pt idx="6">
                  <c:v>97.76</c:v>
                </c:pt>
                <c:pt idx="7">
                  <c:v>114.17</c:v>
                </c:pt>
                <c:pt idx="8">
                  <c:v>130.57</c:v>
                </c:pt>
                <c:pt idx="9">
                  <c:v>146.97999999999999</c:v>
                </c:pt>
                <c:pt idx="10">
                  <c:v>163.38</c:v>
                </c:pt>
                <c:pt idx="11">
                  <c:v>179.78</c:v>
                </c:pt>
                <c:pt idx="12">
                  <c:v>196.19</c:v>
                </c:pt>
                <c:pt idx="13">
                  <c:v>212.59</c:v>
                </c:pt>
                <c:pt idx="14">
                  <c:v>229</c:v>
                </c:pt>
                <c:pt idx="15">
                  <c:v>245.4</c:v>
                </c:pt>
                <c:pt idx="16">
                  <c:v>261.8</c:v>
                </c:pt>
                <c:pt idx="17">
                  <c:v>278.20999999999998</c:v>
                </c:pt>
                <c:pt idx="18">
                  <c:v>294.61</c:v>
                </c:pt>
                <c:pt idx="19">
                  <c:v>311.02</c:v>
                </c:pt>
                <c:pt idx="20">
                  <c:v>327.42</c:v>
                </c:pt>
                <c:pt idx="21">
                  <c:v>343.82</c:v>
                </c:pt>
                <c:pt idx="22">
                  <c:v>360.23</c:v>
                </c:pt>
                <c:pt idx="23">
                  <c:v>376.63</c:v>
                </c:pt>
                <c:pt idx="24">
                  <c:v>393.04</c:v>
                </c:pt>
                <c:pt idx="25">
                  <c:v>409.44</c:v>
                </c:pt>
                <c:pt idx="26">
                  <c:v>425.84</c:v>
                </c:pt>
                <c:pt idx="27">
                  <c:v>442.25</c:v>
                </c:pt>
                <c:pt idx="28">
                  <c:v>458.65</c:v>
                </c:pt>
                <c:pt idx="29">
                  <c:v>475.06</c:v>
                </c:pt>
                <c:pt idx="30">
                  <c:v>491.46</c:v>
                </c:pt>
                <c:pt idx="31">
                  <c:v>507.86</c:v>
                </c:pt>
                <c:pt idx="32">
                  <c:v>524.27</c:v>
                </c:pt>
                <c:pt idx="33">
                  <c:v>540.66999999999996</c:v>
                </c:pt>
                <c:pt idx="34">
                  <c:v>557.08000000000004</c:v>
                </c:pt>
                <c:pt idx="35">
                  <c:v>573.48</c:v>
                </c:pt>
                <c:pt idx="36">
                  <c:v>589.89</c:v>
                </c:pt>
                <c:pt idx="37">
                  <c:v>606.29</c:v>
                </c:pt>
                <c:pt idx="38">
                  <c:v>622.69000000000005</c:v>
                </c:pt>
                <c:pt idx="39">
                  <c:v>639.1</c:v>
                </c:pt>
                <c:pt idx="40">
                  <c:v>655.5</c:v>
                </c:pt>
                <c:pt idx="41">
                  <c:v>671.91</c:v>
                </c:pt>
                <c:pt idx="42">
                  <c:v>688.31</c:v>
                </c:pt>
                <c:pt idx="43">
                  <c:v>704.71</c:v>
                </c:pt>
                <c:pt idx="44">
                  <c:v>721.12</c:v>
                </c:pt>
                <c:pt idx="45">
                  <c:v>737.52</c:v>
                </c:pt>
                <c:pt idx="46">
                  <c:v>753.93</c:v>
                </c:pt>
                <c:pt idx="47">
                  <c:v>770.33</c:v>
                </c:pt>
                <c:pt idx="48">
                  <c:v>786.74</c:v>
                </c:pt>
                <c:pt idx="49">
                  <c:v>803.14</c:v>
                </c:pt>
                <c:pt idx="50">
                  <c:v>819.54</c:v>
                </c:pt>
                <c:pt idx="51">
                  <c:v>835.95</c:v>
                </c:pt>
                <c:pt idx="52">
                  <c:v>852.35</c:v>
                </c:pt>
                <c:pt idx="53">
                  <c:v>868.76</c:v>
                </c:pt>
                <c:pt idx="54">
                  <c:v>885.16</c:v>
                </c:pt>
                <c:pt idx="55">
                  <c:v>901.56</c:v>
                </c:pt>
                <c:pt idx="56">
                  <c:v>917.97</c:v>
                </c:pt>
                <c:pt idx="57">
                  <c:v>934.37</c:v>
                </c:pt>
                <c:pt idx="58">
                  <c:v>950.78</c:v>
                </c:pt>
                <c:pt idx="59">
                  <c:v>967.18</c:v>
                </c:pt>
                <c:pt idx="60">
                  <c:v>983.58</c:v>
                </c:pt>
                <c:pt idx="61">
                  <c:v>999.99</c:v>
                </c:pt>
                <c:pt idx="62">
                  <c:v>1016.39</c:v>
                </c:pt>
                <c:pt idx="63" formatCode="0.0">
                  <c:v>1032.8</c:v>
                </c:pt>
                <c:pt idx="64" formatCode="0.0">
                  <c:v>1049.2</c:v>
                </c:pt>
                <c:pt idx="65" formatCode="0.0">
                  <c:v>1065.5999999999999</c:v>
                </c:pt>
                <c:pt idx="66" formatCode="0.0">
                  <c:v>1082.01</c:v>
                </c:pt>
                <c:pt idx="67" formatCode="0.0">
                  <c:v>1098.4100000000001</c:v>
                </c:pt>
                <c:pt idx="68" formatCode="0.0">
                  <c:v>1114.82</c:v>
                </c:pt>
                <c:pt idx="69" formatCode="0.0">
                  <c:v>1131.22</c:v>
                </c:pt>
                <c:pt idx="70" formatCode="0.0">
                  <c:v>1147.6199999999999</c:v>
                </c:pt>
                <c:pt idx="71" formatCode="0.0">
                  <c:v>1164.03</c:v>
                </c:pt>
                <c:pt idx="72" formatCode="0.0">
                  <c:v>1180.43</c:v>
                </c:pt>
                <c:pt idx="73" formatCode="0.0">
                  <c:v>1196.8399999999999</c:v>
                </c:pt>
                <c:pt idx="74" formatCode="0.0">
                  <c:v>1213.24</c:v>
                </c:pt>
                <c:pt idx="75" formatCode="0.0">
                  <c:v>1229.6400000000001</c:v>
                </c:pt>
                <c:pt idx="76" formatCode="0.0">
                  <c:v>1246.05</c:v>
                </c:pt>
                <c:pt idx="77" formatCode="0.0">
                  <c:v>1262.45</c:v>
                </c:pt>
                <c:pt idx="78" formatCode="0.0">
                  <c:v>1278.8599999999999</c:v>
                </c:pt>
                <c:pt idx="79" formatCode="0.0">
                  <c:v>1295.26</c:v>
                </c:pt>
                <c:pt idx="80" formatCode="0.0">
                  <c:v>1311.66</c:v>
                </c:pt>
                <c:pt idx="81" formatCode="0.0">
                  <c:v>1328.07</c:v>
                </c:pt>
                <c:pt idx="82" formatCode="0.0">
                  <c:v>1344.47</c:v>
                </c:pt>
                <c:pt idx="83" formatCode="0.0">
                  <c:v>1360.88</c:v>
                </c:pt>
                <c:pt idx="84" formatCode="0.0">
                  <c:v>1377.28</c:v>
                </c:pt>
                <c:pt idx="85" formatCode="0.0">
                  <c:v>1393.68</c:v>
                </c:pt>
                <c:pt idx="86" formatCode="0.0">
                  <c:v>1410.09</c:v>
                </c:pt>
                <c:pt idx="87" formatCode="0.0">
                  <c:v>1426.49</c:v>
                </c:pt>
                <c:pt idx="88" formatCode="0.0">
                  <c:v>1442.9</c:v>
                </c:pt>
                <c:pt idx="89" formatCode="0.0">
                  <c:v>1459.3</c:v>
                </c:pt>
                <c:pt idx="90" formatCode="0.0">
                  <c:v>1475.71</c:v>
                </c:pt>
                <c:pt idx="91" formatCode="0.0">
                  <c:v>1492.11</c:v>
                </c:pt>
                <c:pt idx="92" formatCode="0.0">
                  <c:v>1508.51</c:v>
                </c:pt>
                <c:pt idx="93" formatCode="0.0">
                  <c:v>1524.92</c:v>
                </c:pt>
                <c:pt idx="94" formatCode="0.0">
                  <c:v>1541.32</c:v>
                </c:pt>
                <c:pt idx="95" formatCode="0.0">
                  <c:v>1557.73</c:v>
                </c:pt>
                <c:pt idx="96" formatCode="0.0">
                  <c:v>1574.13</c:v>
                </c:pt>
                <c:pt idx="97" formatCode="0.0">
                  <c:v>1590.53</c:v>
                </c:pt>
                <c:pt idx="98" formatCode="0.0">
                  <c:v>1606.94</c:v>
                </c:pt>
                <c:pt idx="99" formatCode="0.0">
                  <c:v>1623.34</c:v>
                </c:pt>
                <c:pt idx="100" formatCode="0.0">
                  <c:v>1639.75</c:v>
                </c:pt>
                <c:pt idx="101" formatCode="0.0">
                  <c:v>1656.15</c:v>
                </c:pt>
                <c:pt idx="102" formatCode="0.0">
                  <c:v>1672.55</c:v>
                </c:pt>
                <c:pt idx="103" formatCode="0.0">
                  <c:v>1688.96</c:v>
                </c:pt>
                <c:pt idx="104" formatCode="0.0">
                  <c:v>1705.36</c:v>
                </c:pt>
                <c:pt idx="105" formatCode="0.0">
                  <c:v>1721.77</c:v>
                </c:pt>
                <c:pt idx="106" formatCode="0.0">
                  <c:v>1738.17</c:v>
                </c:pt>
                <c:pt idx="107" formatCode="0.0">
                  <c:v>1754.57</c:v>
                </c:pt>
                <c:pt idx="108" formatCode="0.0">
                  <c:v>1770.98</c:v>
                </c:pt>
                <c:pt idx="109" formatCode="0.0">
                  <c:v>1787.38</c:v>
                </c:pt>
                <c:pt idx="110" formatCode="0.0">
                  <c:v>1803.79</c:v>
                </c:pt>
                <c:pt idx="111" formatCode="0.0">
                  <c:v>1820.19</c:v>
                </c:pt>
                <c:pt idx="112" formatCode="0.0">
                  <c:v>1836.59</c:v>
                </c:pt>
                <c:pt idx="113" formatCode="0.0">
                  <c:v>1853</c:v>
                </c:pt>
                <c:pt idx="114" formatCode="0.0">
                  <c:v>1869.4</c:v>
                </c:pt>
                <c:pt idx="115" formatCode="0.0">
                  <c:v>1885.81</c:v>
                </c:pt>
                <c:pt idx="116" formatCode="0.0">
                  <c:v>1902.21</c:v>
                </c:pt>
                <c:pt idx="117" formatCode="0.0">
                  <c:v>1918.61</c:v>
                </c:pt>
                <c:pt idx="118" formatCode="0.0">
                  <c:v>1935.02</c:v>
                </c:pt>
                <c:pt idx="119" formatCode="0.0">
                  <c:v>1951.42</c:v>
                </c:pt>
                <c:pt idx="120" formatCode="0.0">
                  <c:v>1967.83</c:v>
                </c:pt>
                <c:pt idx="121" formatCode="0.0">
                  <c:v>1984.23</c:v>
                </c:pt>
                <c:pt idx="122" formatCode="0.0">
                  <c:v>2000.63</c:v>
                </c:pt>
                <c:pt idx="123" formatCode="0.0">
                  <c:v>2017.04</c:v>
                </c:pt>
                <c:pt idx="124" formatCode="0.0">
                  <c:v>2033.44</c:v>
                </c:pt>
                <c:pt idx="125" formatCode="0.0">
                  <c:v>2049.85</c:v>
                </c:pt>
                <c:pt idx="126" formatCode="0.0">
                  <c:v>2066.25</c:v>
                </c:pt>
                <c:pt idx="127" formatCode="0.0">
                  <c:v>2082.65</c:v>
                </c:pt>
                <c:pt idx="128" formatCode="0.0">
                  <c:v>2099.06</c:v>
                </c:pt>
                <c:pt idx="129" formatCode="0.0">
                  <c:v>2115.46</c:v>
                </c:pt>
                <c:pt idx="130" formatCode="0.0">
                  <c:v>2131.87</c:v>
                </c:pt>
                <c:pt idx="131" formatCode="0.0">
                  <c:v>2148.27</c:v>
                </c:pt>
                <c:pt idx="132" formatCode="0.0">
                  <c:v>2164.6799999999998</c:v>
                </c:pt>
                <c:pt idx="133" formatCode="0.0">
                  <c:v>2181.08</c:v>
                </c:pt>
                <c:pt idx="134" formatCode="0.0">
                  <c:v>2197.48</c:v>
                </c:pt>
                <c:pt idx="135" formatCode="0.0">
                  <c:v>2213.89</c:v>
                </c:pt>
                <c:pt idx="136" formatCode="0.0">
                  <c:v>2230.29</c:v>
                </c:pt>
                <c:pt idx="137" formatCode="0.0">
                  <c:v>2246.6999999999998</c:v>
                </c:pt>
                <c:pt idx="138" formatCode="0.0">
                  <c:v>2263.1</c:v>
                </c:pt>
                <c:pt idx="139" formatCode="0.0">
                  <c:v>2279.5</c:v>
                </c:pt>
                <c:pt idx="140" formatCode="0.0">
                  <c:v>2295.91</c:v>
                </c:pt>
                <c:pt idx="141" formatCode="0.0">
                  <c:v>2312.31</c:v>
                </c:pt>
                <c:pt idx="142" formatCode="0.0">
                  <c:v>2328.7199999999998</c:v>
                </c:pt>
                <c:pt idx="143" formatCode="0.0">
                  <c:v>2345.12</c:v>
                </c:pt>
                <c:pt idx="144" formatCode="0.0">
                  <c:v>2361.52</c:v>
                </c:pt>
                <c:pt idx="145" formatCode="0.0">
                  <c:v>2377.9299999999998</c:v>
                </c:pt>
                <c:pt idx="146" formatCode="0.0">
                  <c:v>2394.33</c:v>
                </c:pt>
                <c:pt idx="147" formatCode="0.0">
                  <c:v>2410.7399999999998</c:v>
                </c:pt>
                <c:pt idx="148" formatCode="0.0">
                  <c:v>2427.14</c:v>
                </c:pt>
                <c:pt idx="149" formatCode="0.0">
                  <c:v>2443.54</c:v>
                </c:pt>
                <c:pt idx="150" formatCode="0.0">
                  <c:v>2459.9499999999998</c:v>
                </c:pt>
                <c:pt idx="151" formatCode="0.0">
                  <c:v>2476.35</c:v>
                </c:pt>
                <c:pt idx="152" formatCode="0.0">
                  <c:v>2492.75</c:v>
                </c:pt>
                <c:pt idx="153" formatCode="0.0">
                  <c:v>2509.16</c:v>
                </c:pt>
                <c:pt idx="154" formatCode="0.0">
                  <c:v>2525.56</c:v>
                </c:pt>
                <c:pt idx="155" formatCode="0.0">
                  <c:v>2541.96</c:v>
                </c:pt>
                <c:pt idx="156" formatCode="0.0">
                  <c:v>2558.37</c:v>
                </c:pt>
                <c:pt idx="157" formatCode="0.0">
                  <c:v>2574.77</c:v>
                </c:pt>
                <c:pt idx="158" formatCode="0.0">
                  <c:v>2591.1799999999998</c:v>
                </c:pt>
                <c:pt idx="159" formatCode="0.0">
                  <c:v>2607.58</c:v>
                </c:pt>
                <c:pt idx="160" formatCode="0.0">
                  <c:v>2623.98</c:v>
                </c:pt>
                <c:pt idx="161" formatCode="0.0">
                  <c:v>2640.39</c:v>
                </c:pt>
                <c:pt idx="162" formatCode="0.0">
                  <c:v>2656.79</c:v>
                </c:pt>
                <c:pt idx="163" formatCode="0.0">
                  <c:v>2673.19</c:v>
                </c:pt>
                <c:pt idx="164" formatCode="0.0">
                  <c:v>2689.6</c:v>
                </c:pt>
                <c:pt idx="165" formatCode="0.0">
                  <c:v>2706</c:v>
                </c:pt>
                <c:pt idx="166" formatCode="0.0">
                  <c:v>2722.4</c:v>
                </c:pt>
                <c:pt idx="167" formatCode="0.0">
                  <c:v>2738.81</c:v>
                </c:pt>
                <c:pt idx="168" formatCode="0.0">
                  <c:v>2755.21</c:v>
                </c:pt>
                <c:pt idx="169" formatCode="0.0">
                  <c:v>2771.61</c:v>
                </c:pt>
                <c:pt idx="170" formatCode="0.0">
                  <c:v>2788.02</c:v>
                </c:pt>
                <c:pt idx="171" formatCode="0.0">
                  <c:v>2804.42</c:v>
                </c:pt>
                <c:pt idx="172" formatCode="0.0">
                  <c:v>2820.82</c:v>
                </c:pt>
                <c:pt idx="173" formatCode="0.0">
                  <c:v>2837.23</c:v>
                </c:pt>
                <c:pt idx="174" formatCode="0.0">
                  <c:v>2853.63</c:v>
                </c:pt>
                <c:pt idx="175" formatCode="0.0">
                  <c:v>2870.03</c:v>
                </c:pt>
                <c:pt idx="176" formatCode="0.0">
                  <c:v>2886.44</c:v>
                </c:pt>
                <c:pt idx="177" formatCode="0.0">
                  <c:v>2902.84</c:v>
                </c:pt>
                <c:pt idx="178" formatCode="0.0">
                  <c:v>2919.24</c:v>
                </c:pt>
                <c:pt idx="179" formatCode="0.0">
                  <c:v>2935.65</c:v>
                </c:pt>
                <c:pt idx="180" formatCode="0.0">
                  <c:v>2952.05</c:v>
                </c:pt>
                <c:pt idx="181" formatCode="0.0">
                  <c:v>2968.45</c:v>
                </c:pt>
                <c:pt idx="182" formatCode="0.0">
                  <c:v>2984.86</c:v>
                </c:pt>
                <c:pt idx="183" formatCode="0.0">
                  <c:v>3001.26</c:v>
                </c:pt>
                <c:pt idx="184" formatCode="0.0">
                  <c:v>3017.66</c:v>
                </c:pt>
                <c:pt idx="185" formatCode="0.0">
                  <c:v>3034.07</c:v>
                </c:pt>
                <c:pt idx="186" formatCode="0.0">
                  <c:v>3050.47</c:v>
                </c:pt>
                <c:pt idx="187" formatCode="0.0">
                  <c:v>3066.87</c:v>
                </c:pt>
                <c:pt idx="188" formatCode="0.0">
                  <c:v>3083.28</c:v>
                </c:pt>
                <c:pt idx="189" formatCode="0.0">
                  <c:v>3099.68</c:v>
                </c:pt>
                <c:pt idx="190" formatCode="0.0">
                  <c:v>3116.09</c:v>
                </c:pt>
                <c:pt idx="191" formatCode="0.0">
                  <c:v>3132.49</c:v>
                </c:pt>
                <c:pt idx="192" formatCode="0.0">
                  <c:v>3148.89</c:v>
                </c:pt>
                <c:pt idx="193" formatCode="0.0">
                  <c:v>3165.3</c:v>
                </c:pt>
                <c:pt idx="194" formatCode="0.0">
                  <c:v>3181.7</c:v>
                </c:pt>
                <c:pt idx="195" formatCode="0.0">
                  <c:v>3198.1</c:v>
                </c:pt>
                <c:pt idx="196" formatCode="0.0">
                  <c:v>3214.51</c:v>
                </c:pt>
                <c:pt idx="197" formatCode="0.0">
                  <c:v>3230.91</c:v>
                </c:pt>
                <c:pt idx="198" formatCode="0.0">
                  <c:v>3247.31</c:v>
                </c:pt>
                <c:pt idx="199" formatCode="0.0">
                  <c:v>3263.72</c:v>
                </c:pt>
                <c:pt idx="200" formatCode="0.0">
                  <c:v>3280.12</c:v>
                </c:pt>
                <c:pt idx="201" formatCode="0.0">
                  <c:v>3296.52</c:v>
                </c:pt>
                <c:pt idx="202" formatCode="0.0">
                  <c:v>3312.93</c:v>
                </c:pt>
                <c:pt idx="203" formatCode="0.0">
                  <c:v>3329.33</c:v>
                </c:pt>
                <c:pt idx="204" formatCode="0.0">
                  <c:v>3345.73</c:v>
                </c:pt>
                <c:pt idx="205" formatCode="0.0">
                  <c:v>3362.13</c:v>
                </c:pt>
                <c:pt idx="206" formatCode="0.0">
                  <c:v>3378.54</c:v>
                </c:pt>
                <c:pt idx="207" formatCode="0.0">
                  <c:v>3394.94</c:v>
                </c:pt>
                <c:pt idx="208" formatCode="0.0">
                  <c:v>3411.34</c:v>
                </c:pt>
                <c:pt idx="209" formatCode="0.0">
                  <c:v>3427.74</c:v>
                </c:pt>
                <c:pt idx="210" formatCode="0.0">
                  <c:v>3444.15</c:v>
                </c:pt>
                <c:pt idx="211" formatCode="0.0">
                  <c:v>3460.55</c:v>
                </c:pt>
                <c:pt idx="212" formatCode="0.0">
                  <c:v>3476.95</c:v>
                </c:pt>
                <c:pt idx="213" formatCode="0.0">
                  <c:v>3493.35</c:v>
                </c:pt>
                <c:pt idx="214" formatCode="0.0">
                  <c:v>3509.76</c:v>
                </c:pt>
                <c:pt idx="215" formatCode="0.0">
                  <c:v>3526.16</c:v>
                </c:pt>
                <c:pt idx="216" formatCode="0.0">
                  <c:v>3542.56</c:v>
                </c:pt>
                <c:pt idx="217" formatCode="0.0">
                  <c:v>3558.97</c:v>
                </c:pt>
                <c:pt idx="218" formatCode="0.0">
                  <c:v>3575.37</c:v>
                </c:pt>
                <c:pt idx="219" formatCode="0.0">
                  <c:v>3591.77</c:v>
                </c:pt>
                <c:pt idx="220" formatCode="0.0">
                  <c:v>3608.17</c:v>
                </c:pt>
                <c:pt idx="221" formatCode="0.0">
                  <c:v>3624.58</c:v>
                </c:pt>
                <c:pt idx="222" formatCode="0.0">
                  <c:v>3640.98</c:v>
                </c:pt>
                <c:pt idx="223" formatCode="0.0">
                  <c:v>3657.38</c:v>
                </c:pt>
                <c:pt idx="224" formatCode="0.0">
                  <c:v>3673.78</c:v>
                </c:pt>
                <c:pt idx="225" formatCode="0.0">
                  <c:v>3690.19</c:v>
                </c:pt>
                <c:pt idx="226" formatCode="0.0">
                  <c:v>3706.59</c:v>
                </c:pt>
                <c:pt idx="227" formatCode="0.0">
                  <c:v>3722.99</c:v>
                </c:pt>
                <c:pt idx="228" formatCode="0.0">
                  <c:v>3739.4</c:v>
                </c:pt>
                <c:pt idx="229" formatCode="0.0">
                  <c:v>3755.8</c:v>
                </c:pt>
                <c:pt idx="230" formatCode="0.0">
                  <c:v>3772.2</c:v>
                </c:pt>
                <c:pt idx="231" formatCode="0.0">
                  <c:v>3788.6</c:v>
                </c:pt>
                <c:pt idx="232" formatCode="0.0">
                  <c:v>3805</c:v>
                </c:pt>
                <c:pt idx="233" formatCode="0.0">
                  <c:v>3821.41</c:v>
                </c:pt>
                <c:pt idx="234" formatCode="0.0">
                  <c:v>3837.81</c:v>
                </c:pt>
                <c:pt idx="235" formatCode="0.0">
                  <c:v>3854.21</c:v>
                </c:pt>
                <c:pt idx="236" formatCode="0.0">
                  <c:v>3870.61</c:v>
                </c:pt>
                <c:pt idx="237" formatCode="0.0">
                  <c:v>3887.01</c:v>
                </c:pt>
                <c:pt idx="238" formatCode="0.0">
                  <c:v>3903.41</c:v>
                </c:pt>
                <c:pt idx="239" formatCode="0.0">
                  <c:v>3919.82</c:v>
                </c:pt>
                <c:pt idx="240" formatCode="0.0">
                  <c:v>3936.22</c:v>
                </c:pt>
                <c:pt idx="241" formatCode="0.0">
                  <c:v>3952.62</c:v>
                </c:pt>
                <c:pt idx="242" formatCode="0.0">
                  <c:v>3969.02</c:v>
                </c:pt>
                <c:pt idx="243" formatCode="0.0">
                  <c:v>3985.42</c:v>
                </c:pt>
                <c:pt idx="244" formatCode="0.0">
                  <c:v>4001.83</c:v>
                </c:pt>
                <c:pt idx="245" formatCode="0.0">
                  <c:v>4018.23</c:v>
                </c:pt>
                <c:pt idx="246" formatCode="0.0">
                  <c:v>4034.63</c:v>
                </c:pt>
                <c:pt idx="247" formatCode="0.0">
                  <c:v>4051.03</c:v>
                </c:pt>
                <c:pt idx="248" formatCode="0.0">
                  <c:v>4067.44</c:v>
                </c:pt>
                <c:pt idx="249" formatCode="0.0">
                  <c:v>4083.84</c:v>
                </c:pt>
                <c:pt idx="250" formatCode="0.0">
                  <c:v>4100.24</c:v>
                </c:pt>
                <c:pt idx="251" formatCode="0.0">
                  <c:v>4116.6499999999996</c:v>
                </c:pt>
                <c:pt idx="252" formatCode="0.0">
                  <c:v>4133.05</c:v>
                </c:pt>
                <c:pt idx="253" formatCode="0.0">
                  <c:v>4149.45</c:v>
                </c:pt>
                <c:pt idx="254" formatCode="0.0">
                  <c:v>4165.8500000000004</c:v>
                </c:pt>
                <c:pt idx="255" formatCode="0.0">
                  <c:v>4182.26</c:v>
                </c:pt>
                <c:pt idx="256" formatCode="0.0">
                  <c:v>4198.66</c:v>
                </c:pt>
                <c:pt idx="257" formatCode="0.0">
                  <c:v>4215.0600000000004</c:v>
                </c:pt>
                <c:pt idx="258" formatCode="0.0">
                  <c:v>4231.46</c:v>
                </c:pt>
                <c:pt idx="259" formatCode="0.0">
                  <c:v>4247.87</c:v>
                </c:pt>
                <c:pt idx="260" formatCode="0.0">
                  <c:v>4264.2700000000004</c:v>
                </c:pt>
                <c:pt idx="261" formatCode="0.0">
                  <c:v>4280.67</c:v>
                </c:pt>
                <c:pt idx="262" formatCode="0.0">
                  <c:v>4297.07</c:v>
                </c:pt>
                <c:pt idx="263" formatCode="0.0">
                  <c:v>4313.47</c:v>
                </c:pt>
                <c:pt idx="264" formatCode="0.0">
                  <c:v>4329.87</c:v>
                </c:pt>
                <c:pt idx="265" formatCode="0.0">
                  <c:v>4346.2700000000004</c:v>
                </c:pt>
                <c:pt idx="266" formatCode="0.0">
                  <c:v>4362.68</c:v>
                </c:pt>
                <c:pt idx="267" formatCode="0.0">
                  <c:v>4379.08</c:v>
                </c:pt>
                <c:pt idx="268" formatCode="0.0">
                  <c:v>4395.4799999999996</c:v>
                </c:pt>
                <c:pt idx="269" formatCode="0.0">
                  <c:v>4411.88</c:v>
                </c:pt>
                <c:pt idx="270" formatCode="0.0">
                  <c:v>4428.28</c:v>
                </c:pt>
                <c:pt idx="271" formatCode="0.0">
                  <c:v>4444.68</c:v>
                </c:pt>
                <c:pt idx="272" formatCode="0.0">
                  <c:v>4461.08</c:v>
                </c:pt>
                <c:pt idx="273" formatCode="0.0">
                  <c:v>4477.46</c:v>
                </c:pt>
                <c:pt idx="274" formatCode="0.0">
                  <c:v>4493.84</c:v>
                </c:pt>
                <c:pt idx="275" formatCode="0.0">
                  <c:v>4510.22</c:v>
                </c:pt>
                <c:pt idx="276" formatCode="0.0">
                  <c:v>4526.59</c:v>
                </c:pt>
                <c:pt idx="277" formatCode="0.0">
                  <c:v>4542.97</c:v>
                </c:pt>
                <c:pt idx="278" formatCode="0.0">
                  <c:v>4559.34</c:v>
                </c:pt>
                <c:pt idx="279" formatCode="0.0">
                  <c:v>4575.6899999999996</c:v>
                </c:pt>
                <c:pt idx="280" formatCode="0.0">
                  <c:v>4592</c:v>
                </c:pt>
                <c:pt idx="281" formatCode="0.0">
                  <c:v>4608.32</c:v>
                </c:pt>
                <c:pt idx="282" formatCode="0.0">
                  <c:v>4624.6400000000003</c:v>
                </c:pt>
                <c:pt idx="283" formatCode="0.0">
                  <c:v>4640.95</c:v>
                </c:pt>
                <c:pt idx="284" formatCode="0.0">
                  <c:v>4657.2700000000004</c:v>
                </c:pt>
                <c:pt idx="285" formatCode="0.0">
                  <c:v>4673.55</c:v>
                </c:pt>
                <c:pt idx="286" formatCode="0.0">
                  <c:v>4689.8100000000004</c:v>
                </c:pt>
                <c:pt idx="287" formatCode="0.0">
                  <c:v>4706.0600000000004</c:v>
                </c:pt>
                <c:pt idx="288" formatCode="0.0">
                  <c:v>4722.32</c:v>
                </c:pt>
                <c:pt idx="289" formatCode="0.0">
                  <c:v>4738.57</c:v>
                </c:pt>
                <c:pt idx="290" formatCode="0.0">
                  <c:v>4754.83</c:v>
                </c:pt>
                <c:pt idx="291" formatCode="0.0">
                  <c:v>4771.05</c:v>
                </c:pt>
                <c:pt idx="292" formatCode="0.0">
                  <c:v>4787.24</c:v>
                </c:pt>
                <c:pt idx="293" formatCode="0.0">
                  <c:v>4803.43</c:v>
                </c:pt>
                <c:pt idx="294" formatCode="0.0">
                  <c:v>4819.63</c:v>
                </c:pt>
                <c:pt idx="295" formatCode="0.0">
                  <c:v>4835.82</c:v>
                </c:pt>
                <c:pt idx="296" formatCode="0.0">
                  <c:v>4852.01</c:v>
                </c:pt>
                <c:pt idx="297" formatCode="0.0">
                  <c:v>4868.16</c:v>
                </c:pt>
                <c:pt idx="298" formatCode="0.0">
                  <c:v>4884.2299999999996</c:v>
                </c:pt>
                <c:pt idx="299" formatCode="0.0">
                  <c:v>4900.3100000000004</c:v>
                </c:pt>
                <c:pt idx="300" formatCode="0.0">
                  <c:v>4916.38</c:v>
                </c:pt>
                <c:pt idx="301" formatCode="0.0">
                  <c:v>4932.46</c:v>
                </c:pt>
                <c:pt idx="302" formatCode="0.0">
                  <c:v>4948.53</c:v>
                </c:pt>
                <c:pt idx="303" formatCode="0.0">
                  <c:v>4964.57</c:v>
                </c:pt>
                <c:pt idx="304" formatCode="0.0">
                  <c:v>4980.51</c:v>
                </c:pt>
                <c:pt idx="305" formatCode="0.0">
                  <c:v>4996.4399999999996</c:v>
                </c:pt>
                <c:pt idx="306" formatCode="0.0">
                  <c:v>5012.38</c:v>
                </c:pt>
                <c:pt idx="307" formatCode="0.0">
                  <c:v>5028.3100000000004</c:v>
                </c:pt>
                <c:pt idx="308" formatCode="0.0">
                  <c:v>5044.24</c:v>
                </c:pt>
                <c:pt idx="309" formatCode="0.0">
                  <c:v>5060.16</c:v>
                </c:pt>
                <c:pt idx="310" formatCode="0.0">
                  <c:v>5075.96</c:v>
                </c:pt>
                <c:pt idx="311" formatCode="0.0">
                  <c:v>5091.76</c:v>
                </c:pt>
                <c:pt idx="312" formatCode="0.0">
                  <c:v>5107.55</c:v>
                </c:pt>
                <c:pt idx="313" formatCode="0.0">
                  <c:v>5123.3500000000004</c:v>
                </c:pt>
                <c:pt idx="314" formatCode="0.0">
                  <c:v>5139.1499999999996</c:v>
                </c:pt>
                <c:pt idx="315" formatCode="0.0">
                  <c:v>5154.95</c:v>
                </c:pt>
                <c:pt idx="316" formatCode="0.0">
                  <c:v>5170.6400000000003</c:v>
                </c:pt>
                <c:pt idx="317" formatCode="0.0">
                  <c:v>5186.34</c:v>
                </c:pt>
                <c:pt idx="318" formatCode="0.0">
                  <c:v>5202.04</c:v>
                </c:pt>
                <c:pt idx="319" formatCode="0.0">
                  <c:v>5217.74</c:v>
                </c:pt>
                <c:pt idx="320" formatCode="0.0">
                  <c:v>5233.43</c:v>
                </c:pt>
                <c:pt idx="321" formatCode="0.0">
                  <c:v>5249.13</c:v>
                </c:pt>
                <c:pt idx="322" formatCode="0.0">
                  <c:v>5264.8</c:v>
                </c:pt>
                <c:pt idx="323" formatCode="0.0">
                  <c:v>5280.47</c:v>
                </c:pt>
                <c:pt idx="324" formatCode="0.0">
                  <c:v>5296.13</c:v>
                </c:pt>
                <c:pt idx="325" formatCode="0.0">
                  <c:v>5311.8</c:v>
                </c:pt>
                <c:pt idx="326" formatCode="0.0">
                  <c:v>5327.47</c:v>
                </c:pt>
                <c:pt idx="327" formatCode="0.0">
                  <c:v>5343.13</c:v>
                </c:pt>
                <c:pt idx="328" formatCode="0.0">
                  <c:v>5358.73</c:v>
                </c:pt>
                <c:pt idx="329" formatCode="0.0">
                  <c:v>5374.31</c:v>
                </c:pt>
                <c:pt idx="330" formatCode="0.0">
                  <c:v>5389.89</c:v>
                </c:pt>
                <c:pt idx="331" formatCode="0.0">
                  <c:v>5405.46</c:v>
                </c:pt>
                <c:pt idx="332" formatCode="0.0">
                  <c:v>5421.04</c:v>
                </c:pt>
                <c:pt idx="333" formatCode="0.0">
                  <c:v>5436.62</c:v>
                </c:pt>
                <c:pt idx="334" formatCode="0.0">
                  <c:v>5452.06</c:v>
                </c:pt>
                <c:pt idx="335" formatCode="0.0">
                  <c:v>5467.45</c:v>
                </c:pt>
                <c:pt idx="336" formatCode="0.0">
                  <c:v>5482.84</c:v>
                </c:pt>
                <c:pt idx="337" formatCode="0.0">
                  <c:v>5498.23</c:v>
                </c:pt>
                <c:pt idx="338" formatCode="0.0">
                  <c:v>5513.62</c:v>
                </c:pt>
                <c:pt idx="339" formatCode="0.0">
                  <c:v>5529.01</c:v>
                </c:pt>
                <c:pt idx="340" formatCode="0.0">
                  <c:v>5544.28</c:v>
                </c:pt>
                <c:pt idx="341" formatCode="0.0">
                  <c:v>5559.48</c:v>
                </c:pt>
                <c:pt idx="342" formatCode="0.0">
                  <c:v>5574.67</c:v>
                </c:pt>
                <c:pt idx="343" formatCode="0.0">
                  <c:v>5589.87</c:v>
                </c:pt>
                <c:pt idx="344" formatCode="0.0">
                  <c:v>5605.06</c:v>
                </c:pt>
                <c:pt idx="345" formatCode="0.0">
                  <c:v>5620.26</c:v>
                </c:pt>
                <c:pt idx="346" formatCode="0.0">
                  <c:v>5635.41</c:v>
                </c:pt>
                <c:pt idx="347" formatCode="0.0">
                  <c:v>5650.53</c:v>
                </c:pt>
                <c:pt idx="348" formatCode="0.0">
                  <c:v>5665.64</c:v>
                </c:pt>
                <c:pt idx="349" formatCode="0.0">
                  <c:v>5680.75</c:v>
                </c:pt>
                <c:pt idx="350" formatCode="0.0">
                  <c:v>5695.87</c:v>
                </c:pt>
                <c:pt idx="351" formatCode="0.0">
                  <c:v>5710.98</c:v>
                </c:pt>
                <c:pt idx="352" formatCode="0.0">
                  <c:v>5726.14</c:v>
                </c:pt>
                <c:pt idx="353" formatCode="0.0">
                  <c:v>5741.35</c:v>
                </c:pt>
                <c:pt idx="354" formatCode="0.0">
                  <c:v>5756.56</c:v>
                </c:pt>
                <c:pt idx="355" formatCode="0.0">
                  <c:v>5771.77</c:v>
                </c:pt>
                <c:pt idx="356" formatCode="0.0">
                  <c:v>5786.98</c:v>
                </c:pt>
                <c:pt idx="357" formatCode="0.0">
                  <c:v>5802.19</c:v>
                </c:pt>
                <c:pt idx="358" formatCode="0.0">
                  <c:v>5817.42</c:v>
                </c:pt>
                <c:pt idx="359" formatCode="0.0">
                  <c:v>5832.71</c:v>
                </c:pt>
                <c:pt idx="360" formatCode="0.0">
                  <c:v>5848</c:v>
                </c:pt>
                <c:pt idx="361" formatCode="0.0">
                  <c:v>5863.29</c:v>
                </c:pt>
                <c:pt idx="362" formatCode="0.0">
                  <c:v>5878.58</c:v>
                </c:pt>
                <c:pt idx="363" formatCode="0.0">
                  <c:v>5893.87</c:v>
                </c:pt>
                <c:pt idx="364" formatCode="0.0">
                  <c:v>5909.16</c:v>
                </c:pt>
                <c:pt idx="365" formatCode="0.0">
                  <c:v>5924.44</c:v>
                </c:pt>
                <c:pt idx="366" formatCode="0.0">
                  <c:v>5939.73</c:v>
                </c:pt>
                <c:pt idx="367" formatCode="0.0">
                  <c:v>5955.02</c:v>
                </c:pt>
                <c:pt idx="368" formatCode="0.0">
                  <c:v>5970.31</c:v>
                </c:pt>
                <c:pt idx="369" formatCode="0.0">
                  <c:v>5985.6</c:v>
                </c:pt>
                <c:pt idx="370" formatCode="0.0">
                  <c:v>6000.88</c:v>
                </c:pt>
                <c:pt idx="371" formatCode="0.0">
                  <c:v>6016.12</c:v>
                </c:pt>
                <c:pt idx="372" formatCode="0.0">
                  <c:v>6031.35</c:v>
                </c:pt>
                <c:pt idx="373" formatCode="0.0">
                  <c:v>6046.59</c:v>
                </c:pt>
                <c:pt idx="374" formatCode="0.0">
                  <c:v>6061.83</c:v>
                </c:pt>
                <c:pt idx="375" formatCode="0.0">
                  <c:v>6077.06</c:v>
                </c:pt>
                <c:pt idx="376" formatCode="0.0">
                  <c:v>6092.3</c:v>
                </c:pt>
                <c:pt idx="377" formatCode="0.0">
                  <c:v>6107.45</c:v>
                </c:pt>
                <c:pt idx="378" formatCode="0.0">
                  <c:v>6122.61</c:v>
                </c:pt>
                <c:pt idx="379" formatCode="0.0">
                  <c:v>6137.76</c:v>
                </c:pt>
                <c:pt idx="380" formatCode="0.0">
                  <c:v>6152.92</c:v>
                </c:pt>
                <c:pt idx="381" formatCode="0.0">
                  <c:v>6168.07</c:v>
                </c:pt>
                <c:pt idx="382" formatCode="0.0">
                  <c:v>6183.23</c:v>
                </c:pt>
                <c:pt idx="383" formatCode="0.0">
                  <c:v>6198.33</c:v>
                </c:pt>
                <c:pt idx="384" formatCode="0.0">
                  <c:v>6213.43</c:v>
                </c:pt>
                <c:pt idx="385" formatCode="0.0">
                  <c:v>6228.53</c:v>
                </c:pt>
                <c:pt idx="386" formatCode="0.0">
                  <c:v>6243.63</c:v>
                </c:pt>
                <c:pt idx="387" formatCode="0.0">
                  <c:v>6258.73</c:v>
                </c:pt>
                <c:pt idx="388" formatCode="0.0">
                  <c:v>6273.83</c:v>
                </c:pt>
                <c:pt idx="389" formatCode="0.0">
                  <c:v>6288.93</c:v>
                </c:pt>
                <c:pt idx="390" formatCode="0.0">
                  <c:v>6304.04</c:v>
                </c:pt>
                <c:pt idx="391" formatCode="0.0">
                  <c:v>6319.14</c:v>
                </c:pt>
                <c:pt idx="392" formatCode="0.0">
                  <c:v>6334.24</c:v>
                </c:pt>
                <c:pt idx="393" formatCode="0.0">
                  <c:v>6349.34</c:v>
                </c:pt>
                <c:pt idx="394" formatCode="0.0">
                  <c:v>6364.44</c:v>
                </c:pt>
                <c:pt idx="395" formatCode="0.0">
                  <c:v>6379.55</c:v>
                </c:pt>
                <c:pt idx="396" formatCode="0.0">
                  <c:v>6394.67</c:v>
                </c:pt>
                <c:pt idx="397" formatCode="0.0">
                  <c:v>6409.78</c:v>
                </c:pt>
                <c:pt idx="398" formatCode="0.0">
                  <c:v>6424.9</c:v>
                </c:pt>
                <c:pt idx="399" formatCode="0.0">
                  <c:v>6440.01</c:v>
                </c:pt>
                <c:pt idx="400" formatCode="0.0">
                  <c:v>6455.13</c:v>
                </c:pt>
                <c:pt idx="401" formatCode="0.0">
                  <c:v>6470.25</c:v>
                </c:pt>
                <c:pt idx="402" formatCode="0.0">
                  <c:v>6485.38</c:v>
                </c:pt>
                <c:pt idx="403" formatCode="0.0">
                  <c:v>6500.5</c:v>
                </c:pt>
                <c:pt idx="404" formatCode="0.0">
                  <c:v>6515.63</c:v>
                </c:pt>
                <c:pt idx="405" formatCode="0.0">
                  <c:v>6530.76</c:v>
                </c:pt>
                <c:pt idx="406" formatCode="0.0">
                  <c:v>6545.89</c:v>
                </c:pt>
                <c:pt idx="407" formatCode="0.0">
                  <c:v>6561.03</c:v>
                </c:pt>
                <c:pt idx="408" formatCode="0.0">
                  <c:v>6576.19</c:v>
                </c:pt>
                <c:pt idx="409" formatCode="0.0">
                  <c:v>6591.34</c:v>
                </c:pt>
                <c:pt idx="410" formatCode="0.0">
                  <c:v>6606.5</c:v>
                </c:pt>
                <c:pt idx="411" formatCode="0.0">
                  <c:v>6621.65</c:v>
                </c:pt>
                <c:pt idx="412" formatCode="0.0">
                  <c:v>6636.81</c:v>
                </c:pt>
                <c:pt idx="413" formatCode="0.0">
                  <c:v>6651.96</c:v>
                </c:pt>
                <c:pt idx="414" formatCode="0.0">
                  <c:v>6667.1</c:v>
                </c:pt>
                <c:pt idx="415" formatCode="0.0">
                  <c:v>6682.24</c:v>
                </c:pt>
                <c:pt idx="416" formatCode="0.0">
                  <c:v>6697.38</c:v>
                </c:pt>
                <c:pt idx="417" formatCode="0.0">
                  <c:v>6712.53</c:v>
                </c:pt>
                <c:pt idx="418" formatCode="0.0">
                  <c:v>6727.67</c:v>
                </c:pt>
                <c:pt idx="419" formatCode="0.0">
                  <c:v>6742.79</c:v>
                </c:pt>
                <c:pt idx="420" formatCode="0.0">
                  <c:v>6757.89</c:v>
                </c:pt>
                <c:pt idx="421" formatCode="0.0">
                  <c:v>6772.99</c:v>
                </c:pt>
                <c:pt idx="422" formatCode="0.0">
                  <c:v>6788.09</c:v>
                </c:pt>
                <c:pt idx="423" formatCode="0.0">
                  <c:v>6803.19</c:v>
                </c:pt>
                <c:pt idx="424" formatCode="0.0">
                  <c:v>6818.29</c:v>
                </c:pt>
                <c:pt idx="425" formatCode="0.0">
                  <c:v>6833.41</c:v>
                </c:pt>
                <c:pt idx="426" formatCode="0.0">
                  <c:v>6848.57</c:v>
                </c:pt>
                <c:pt idx="427" formatCode="0.0">
                  <c:v>6863.72</c:v>
                </c:pt>
                <c:pt idx="428" formatCode="0.0">
                  <c:v>6878.88</c:v>
                </c:pt>
                <c:pt idx="429" formatCode="0.0">
                  <c:v>6894.03</c:v>
                </c:pt>
                <c:pt idx="430" formatCode="0.0">
                  <c:v>6909.19</c:v>
                </c:pt>
                <c:pt idx="431" formatCode="0.0">
                  <c:v>6924.36</c:v>
                </c:pt>
                <c:pt idx="432" formatCode="0.0">
                  <c:v>6939.62</c:v>
                </c:pt>
                <c:pt idx="433" formatCode="0.0">
                  <c:v>6954.89</c:v>
                </c:pt>
                <c:pt idx="434" formatCode="0.0">
                  <c:v>6970.15</c:v>
                </c:pt>
                <c:pt idx="435" formatCode="0.0">
                  <c:v>6985.41</c:v>
                </c:pt>
                <c:pt idx="436" formatCode="0.0">
                  <c:v>7000.68</c:v>
                </c:pt>
                <c:pt idx="437" formatCode="0.0">
                  <c:v>7015.94</c:v>
                </c:pt>
                <c:pt idx="438" formatCode="0.0">
                  <c:v>7031.23</c:v>
                </c:pt>
                <c:pt idx="439" formatCode="0.0">
                  <c:v>7046.52</c:v>
                </c:pt>
                <c:pt idx="440" formatCode="0.0">
                  <c:v>7061.81</c:v>
                </c:pt>
                <c:pt idx="441" formatCode="0.0">
                  <c:v>7077.1</c:v>
                </c:pt>
                <c:pt idx="442" formatCode="0.0">
                  <c:v>7092.39</c:v>
                </c:pt>
                <c:pt idx="443" formatCode="0.0">
                  <c:v>7107.67</c:v>
                </c:pt>
                <c:pt idx="444" formatCode="0.0">
                  <c:v>7122.99</c:v>
                </c:pt>
                <c:pt idx="445" formatCode="0.0">
                  <c:v>7138.3</c:v>
                </c:pt>
                <c:pt idx="446" formatCode="0.0">
                  <c:v>7153.62</c:v>
                </c:pt>
                <c:pt idx="447" formatCode="0.0">
                  <c:v>7168.93</c:v>
                </c:pt>
                <c:pt idx="448" formatCode="0.0">
                  <c:v>7184.25</c:v>
                </c:pt>
                <c:pt idx="449" formatCode="0.0">
                  <c:v>7199.56</c:v>
                </c:pt>
                <c:pt idx="450" formatCode="0.0">
                  <c:v>7214.89</c:v>
                </c:pt>
                <c:pt idx="451" formatCode="0.0">
                  <c:v>7230.22</c:v>
                </c:pt>
                <c:pt idx="452" formatCode="0.0">
                  <c:v>7245.54</c:v>
                </c:pt>
                <c:pt idx="453" formatCode="0.0">
                  <c:v>7260.87</c:v>
                </c:pt>
                <c:pt idx="454" formatCode="0.0">
                  <c:v>7276.2</c:v>
                </c:pt>
                <c:pt idx="455" formatCode="0.0">
                  <c:v>7291.53</c:v>
                </c:pt>
                <c:pt idx="456" formatCode="0.0">
                  <c:v>7306.81</c:v>
                </c:pt>
                <c:pt idx="457" formatCode="0.0">
                  <c:v>7322.09</c:v>
                </c:pt>
                <c:pt idx="458" formatCode="0.0">
                  <c:v>7337.36</c:v>
                </c:pt>
                <c:pt idx="459" formatCode="0.0">
                  <c:v>7352.64</c:v>
                </c:pt>
                <c:pt idx="460" formatCode="0.0">
                  <c:v>7367.92</c:v>
                </c:pt>
                <c:pt idx="461" formatCode="0.0">
                  <c:v>7383.19</c:v>
                </c:pt>
                <c:pt idx="462" formatCode="0.0">
                  <c:v>7398.44</c:v>
                </c:pt>
                <c:pt idx="463" formatCode="0.0">
                  <c:v>7413.68</c:v>
                </c:pt>
                <c:pt idx="464" formatCode="0.0">
                  <c:v>7428.91</c:v>
                </c:pt>
                <c:pt idx="465" formatCode="0.0">
                  <c:v>7444.15</c:v>
                </c:pt>
                <c:pt idx="466" formatCode="0.0">
                  <c:v>7459.39</c:v>
                </c:pt>
                <c:pt idx="467" formatCode="0.0">
                  <c:v>7474.62</c:v>
                </c:pt>
                <c:pt idx="468" formatCode="0.0">
                  <c:v>7489.86</c:v>
                </c:pt>
                <c:pt idx="469" formatCode="0.0">
                  <c:v>7505.09</c:v>
                </c:pt>
                <c:pt idx="470" formatCode="0.0">
                  <c:v>7520.33</c:v>
                </c:pt>
                <c:pt idx="471" formatCode="0.0">
                  <c:v>7535.57</c:v>
                </c:pt>
                <c:pt idx="472" formatCode="0.0">
                  <c:v>7550.8</c:v>
                </c:pt>
                <c:pt idx="473" formatCode="0.0">
                  <c:v>7566.04</c:v>
                </c:pt>
                <c:pt idx="474" formatCode="0.0">
                  <c:v>7581.28</c:v>
                </c:pt>
                <c:pt idx="475" formatCode="0.0">
                  <c:v>7596.51</c:v>
                </c:pt>
                <c:pt idx="476" formatCode="0.0">
                  <c:v>7611.75</c:v>
                </c:pt>
                <c:pt idx="477" formatCode="0.0">
                  <c:v>7626.99</c:v>
                </c:pt>
                <c:pt idx="478" formatCode="0.0">
                  <c:v>7642.22</c:v>
                </c:pt>
                <c:pt idx="479" formatCode="0.0">
                  <c:v>7657.46</c:v>
                </c:pt>
                <c:pt idx="480" formatCode="0.0">
                  <c:v>7672.69</c:v>
                </c:pt>
                <c:pt idx="481" formatCode="0.0">
                  <c:v>7687.91</c:v>
                </c:pt>
                <c:pt idx="482" formatCode="0.0">
                  <c:v>7703.14</c:v>
                </c:pt>
                <c:pt idx="483" formatCode="0.0">
                  <c:v>7718.36</c:v>
                </c:pt>
                <c:pt idx="484" formatCode="0.0">
                  <c:v>7733.58</c:v>
                </c:pt>
                <c:pt idx="485" formatCode="0.0">
                  <c:v>7748.8</c:v>
                </c:pt>
                <c:pt idx="486" formatCode="0.0">
                  <c:v>7764.03</c:v>
                </c:pt>
                <c:pt idx="487" formatCode="0.0">
                  <c:v>7779.25</c:v>
                </c:pt>
                <c:pt idx="488" formatCode="0.0">
                  <c:v>7794.47</c:v>
                </c:pt>
                <c:pt idx="489" formatCode="0.0">
                  <c:v>7809.7</c:v>
                </c:pt>
                <c:pt idx="490" formatCode="0.0">
                  <c:v>7824.92</c:v>
                </c:pt>
                <c:pt idx="491" formatCode="0.0">
                  <c:v>7840.14</c:v>
                </c:pt>
                <c:pt idx="492" formatCode="0.0">
                  <c:v>7855.36</c:v>
                </c:pt>
                <c:pt idx="493" formatCode="0.0">
                  <c:v>7870.56</c:v>
                </c:pt>
                <c:pt idx="494" formatCode="0.0">
                  <c:v>7885.75</c:v>
                </c:pt>
                <c:pt idx="495" formatCode="0.0">
                  <c:v>7900.95</c:v>
                </c:pt>
                <c:pt idx="496" formatCode="0.0">
                  <c:v>7916.14</c:v>
                </c:pt>
                <c:pt idx="497" formatCode="0.0">
                  <c:v>7931.34</c:v>
                </c:pt>
                <c:pt idx="498" formatCode="0.0">
                  <c:v>7946.53</c:v>
                </c:pt>
                <c:pt idx="499" formatCode="0.0">
                  <c:v>7961.67</c:v>
                </c:pt>
                <c:pt idx="500" formatCode="0.0">
                  <c:v>7976.81</c:v>
                </c:pt>
                <c:pt idx="501" formatCode="0.0">
                  <c:v>7991.96</c:v>
                </c:pt>
                <c:pt idx="502" formatCode="0.0">
                  <c:v>8007.1</c:v>
                </c:pt>
                <c:pt idx="503" formatCode="0.0">
                  <c:v>8022.24</c:v>
                </c:pt>
                <c:pt idx="504" formatCode="0.0">
                  <c:v>8037.38</c:v>
                </c:pt>
                <c:pt idx="505" formatCode="0.0">
                  <c:v>8052.51</c:v>
                </c:pt>
                <c:pt idx="506" formatCode="0.0">
                  <c:v>8067.64</c:v>
                </c:pt>
                <c:pt idx="507" formatCode="0.0">
                  <c:v>8082.76</c:v>
                </c:pt>
                <c:pt idx="508" formatCode="0.0">
                  <c:v>8097.89</c:v>
                </c:pt>
                <c:pt idx="509" formatCode="0.0">
                  <c:v>8113.02</c:v>
                </c:pt>
                <c:pt idx="510" formatCode="0.0">
                  <c:v>8128.15</c:v>
                </c:pt>
                <c:pt idx="511" formatCode="0.0">
                  <c:v>8143.25</c:v>
                </c:pt>
                <c:pt idx="512" formatCode="0.0">
                  <c:v>8158.35</c:v>
                </c:pt>
                <c:pt idx="513" formatCode="0.0">
                  <c:v>8173.45</c:v>
                </c:pt>
                <c:pt idx="514" formatCode="0.0">
                  <c:v>8188.55</c:v>
                </c:pt>
                <c:pt idx="515" formatCode="0.0">
                  <c:v>8203.65</c:v>
                </c:pt>
                <c:pt idx="516" formatCode="0.0">
                  <c:v>8218.75</c:v>
                </c:pt>
                <c:pt idx="517" formatCode="0.0">
                  <c:v>8233.82</c:v>
                </c:pt>
                <c:pt idx="518" formatCode="0.0">
                  <c:v>8248.8700000000008</c:v>
                </c:pt>
                <c:pt idx="519" formatCode="0.0">
                  <c:v>8263.93</c:v>
                </c:pt>
                <c:pt idx="520" formatCode="0.0">
                  <c:v>8278.99</c:v>
                </c:pt>
                <c:pt idx="521" formatCode="0.0">
                  <c:v>8294.0499999999993</c:v>
                </c:pt>
                <c:pt idx="522" formatCode="0.0">
                  <c:v>8309.1</c:v>
                </c:pt>
                <c:pt idx="523" formatCode="0.0">
                  <c:v>8324.14</c:v>
                </c:pt>
                <c:pt idx="524" formatCode="0.0">
                  <c:v>8339.17</c:v>
                </c:pt>
                <c:pt idx="525" formatCode="0.0">
                  <c:v>8354.2000000000007</c:v>
                </c:pt>
                <c:pt idx="526" formatCode="0.0">
                  <c:v>8369.23</c:v>
                </c:pt>
                <c:pt idx="527" formatCode="0.0">
                  <c:v>8384.26</c:v>
                </c:pt>
                <c:pt idx="528" formatCode="0.0">
                  <c:v>8399.2900000000009</c:v>
                </c:pt>
                <c:pt idx="529" formatCode="0.0">
                  <c:v>8414.31</c:v>
                </c:pt>
                <c:pt idx="530" formatCode="0.0">
                  <c:v>8429.32</c:v>
                </c:pt>
                <c:pt idx="531" formatCode="0.0">
                  <c:v>8444.34</c:v>
                </c:pt>
                <c:pt idx="532" formatCode="0.0">
                  <c:v>8459.35</c:v>
                </c:pt>
                <c:pt idx="533" formatCode="0.0">
                  <c:v>8474.3700000000008</c:v>
                </c:pt>
                <c:pt idx="534" formatCode="0.0">
                  <c:v>8489.3799999999992</c:v>
                </c:pt>
                <c:pt idx="535" formatCode="0.0">
                  <c:v>8504.42</c:v>
                </c:pt>
                <c:pt idx="536" formatCode="0.0">
                  <c:v>8519.4599999999991</c:v>
                </c:pt>
                <c:pt idx="537" formatCode="0.0">
                  <c:v>8534.5</c:v>
                </c:pt>
                <c:pt idx="538" formatCode="0.0">
                  <c:v>8549.5499999999993</c:v>
                </c:pt>
                <c:pt idx="539" formatCode="0.0">
                  <c:v>8564.59</c:v>
                </c:pt>
                <c:pt idx="540" formatCode="0.0">
                  <c:v>8579.6299999999992</c:v>
                </c:pt>
                <c:pt idx="541" formatCode="0.0">
                  <c:v>8594.68</c:v>
                </c:pt>
                <c:pt idx="542" formatCode="0.0">
                  <c:v>8609.7199999999993</c:v>
                </c:pt>
                <c:pt idx="543" formatCode="0.0">
                  <c:v>8624.76</c:v>
                </c:pt>
                <c:pt idx="544" formatCode="0.0">
                  <c:v>8639.81</c:v>
                </c:pt>
                <c:pt idx="545" formatCode="0.0">
                  <c:v>8654.85</c:v>
                </c:pt>
                <c:pt idx="546" formatCode="0.0">
                  <c:v>8669.89</c:v>
                </c:pt>
                <c:pt idx="547" formatCode="0.0">
                  <c:v>8684.93</c:v>
                </c:pt>
                <c:pt idx="548" formatCode="0.0">
                  <c:v>8699.94</c:v>
                </c:pt>
                <c:pt idx="549" formatCode="0.0">
                  <c:v>8714.9599999999991</c:v>
                </c:pt>
                <c:pt idx="550" formatCode="0.0">
                  <c:v>8729.9699999999993</c:v>
                </c:pt>
                <c:pt idx="551" formatCode="0.0">
                  <c:v>8744.99</c:v>
                </c:pt>
                <c:pt idx="552" formatCode="0.0">
                  <c:v>8760</c:v>
                </c:pt>
                <c:pt idx="553" formatCode="0.0">
                  <c:v>8775.01</c:v>
                </c:pt>
                <c:pt idx="554" formatCode="0.0">
                  <c:v>8790</c:v>
                </c:pt>
                <c:pt idx="555" formatCode="0.0">
                  <c:v>8804.98</c:v>
                </c:pt>
                <c:pt idx="556" formatCode="0.0">
                  <c:v>8819.9699999999993</c:v>
                </c:pt>
                <c:pt idx="557" formatCode="0.0">
                  <c:v>8834.9500000000007</c:v>
                </c:pt>
                <c:pt idx="558" formatCode="0.0">
                  <c:v>8849.94</c:v>
                </c:pt>
                <c:pt idx="559" formatCode="0.0">
                  <c:v>8864.92</c:v>
                </c:pt>
                <c:pt idx="560" formatCode="0.0">
                  <c:v>8879.86</c:v>
                </c:pt>
                <c:pt idx="561" formatCode="0.0">
                  <c:v>8894.7999999999993</c:v>
                </c:pt>
                <c:pt idx="562" formatCode="0.0">
                  <c:v>8909.74</c:v>
                </c:pt>
                <c:pt idx="563" formatCode="0.0">
                  <c:v>8924.69</c:v>
                </c:pt>
                <c:pt idx="564" formatCode="0.0">
                  <c:v>8939.6299999999992</c:v>
                </c:pt>
                <c:pt idx="565" formatCode="0.0">
                  <c:v>8954.57</c:v>
                </c:pt>
                <c:pt idx="566" formatCode="0.0">
                  <c:v>8969.51</c:v>
                </c:pt>
                <c:pt idx="567" formatCode="0.0">
                  <c:v>8984.4500000000007</c:v>
                </c:pt>
                <c:pt idx="568" formatCode="0.0">
                  <c:v>8999.4</c:v>
                </c:pt>
                <c:pt idx="569" formatCode="0.0">
                  <c:v>9014.34</c:v>
                </c:pt>
                <c:pt idx="570" formatCode="0.0">
                  <c:v>9029.2800000000007</c:v>
                </c:pt>
                <c:pt idx="571" formatCode="0.0">
                  <c:v>9044.2199999999993</c:v>
                </c:pt>
                <c:pt idx="572" formatCode="0.0">
                  <c:v>9059.2099999999991</c:v>
                </c:pt>
                <c:pt idx="573" formatCode="0.0">
                  <c:v>9074.19</c:v>
                </c:pt>
                <c:pt idx="574" formatCode="0.0">
                  <c:v>9089.18</c:v>
                </c:pt>
                <c:pt idx="575" formatCode="0.0">
                  <c:v>9104.17</c:v>
                </c:pt>
                <c:pt idx="576" formatCode="0.0">
                  <c:v>9119.15</c:v>
                </c:pt>
                <c:pt idx="577" formatCode="0.0">
                  <c:v>9134.14</c:v>
                </c:pt>
                <c:pt idx="578" formatCode="0.0">
                  <c:v>9149.16</c:v>
                </c:pt>
                <c:pt idx="579" formatCode="0.0">
                  <c:v>9164.19</c:v>
                </c:pt>
                <c:pt idx="580" formatCode="0.0">
                  <c:v>9179.2199999999993</c:v>
                </c:pt>
                <c:pt idx="581" formatCode="0.0">
                  <c:v>9194.25</c:v>
                </c:pt>
                <c:pt idx="582" formatCode="0.0">
                  <c:v>9209.2800000000007</c:v>
                </c:pt>
                <c:pt idx="583" formatCode="0.0">
                  <c:v>9224.31</c:v>
                </c:pt>
                <c:pt idx="584" formatCode="0.0">
                  <c:v>9239.36</c:v>
                </c:pt>
                <c:pt idx="585" formatCode="0.0">
                  <c:v>9254.42</c:v>
                </c:pt>
                <c:pt idx="586" formatCode="0.0">
                  <c:v>9269.48</c:v>
                </c:pt>
                <c:pt idx="587" formatCode="0.0">
                  <c:v>9284.5400000000009</c:v>
                </c:pt>
                <c:pt idx="588" formatCode="0.0">
                  <c:v>9299.59</c:v>
                </c:pt>
                <c:pt idx="589" formatCode="0.0">
                  <c:v>9314.65</c:v>
                </c:pt>
                <c:pt idx="590" formatCode="0.0">
                  <c:v>9329.73</c:v>
                </c:pt>
                <c:pt idx="591" formatCode="0.0">
                  <c:v>9344.81</c:v>
                </c:pt>
                <c:pt idx="592" formatCode="0.0">
                  <c:v>9359.9</c:v>
                </c:pt>
                <c:pt idx="593" formatCode="0.0">
                  <c:v>9374.99</c:v>
                </c:pt>
                <c:pt idx="594" formatCode="0.0">
                  <c:v>9390.07</c:v>
                </c:pt>
                <c:pt idx="595" formatCode="0.0">
                  <c:v>9405.16</c:v>
                </c:pt>
                <c:pt idx="596" formatCode="0.0">
                  <c:v>9420.26</c:v>
                </c:pt>
                <c:pt idx="597" formatCode="0.0">
                  <c:v>9435.3799999999992</c:v>
                </c:pt>
                <c:pt idx="598" formatCode="0.0">
                  <c:v>9450.49</c:v>
                </c:pt>
                <c:pt idx="599" formatCode="0.0">
                  <c:v>9465.6</c:v>
                </c:pt>
                <c:pt idx="600" formatCode="0.0">
                  <c:v>9480.7199999999993</c:v>
                </c:pt>
                <c:pt idx="601" formatCode="0.0">
                  <c:v>9495.83</c:v>
                </c:pt>
                <c:pt idx="602" formatCode="0.0">
                  <c:v>9510.9599999999991</c:v>
                </c:pt>
                <c:pt idx="603" formatCode="0.0">
                  <c:v>9526.1</c:v>
                </c:pt>
                <c:pt idx="604" formatCode="0.0">
                  <c:v>9541.24</c:v>
                </c:pt>
                <c:pt idx="605" formatCode="0.0">
                  <c:v>9556.39</c:v>
                </c:pt>
                <c:pt idx="606" formatCode="0.0">
                  <c:v>9571.5300000000007</c:v>
                </c:pt>
                <c:pt idx="607" formatCode="0.0">
                  <c:v>9586.67</c:v>
                </c:pt>
                <c:pt idx="608" formatCode="0.0">
                  <c:v>9601.92</c:v>
                </c:pt>
                <c:pt idx="609" formatCode="0.0">
                  <c:v>9617.33</c:v>
                </c:pt>
                <c:pt idx="610" formatCode="0.0">
                  <c:v>9632.74</c:v>
                </c:pt>
                <c:pt idx="611" formatCode="0.0">
                  <c:v>9648.15</c:v>
                </c:pt>
                <c:pt idx="612" formatCode="0.0">
                  <c:v>9663.56</c:v>
                </c:pt>
                <c:pt idx="613" formatCode="0.0">
                  <c:v>9678.9699999999993</c:v>
                </c:pt>
                <c:pt idx="614" formatCode="0.0">
                  <c:v>9694.3799999999992</c:v>
                </c:pt>
                <c:pt idx="615" formatCode="0.0">
                  <c:v>9709.7900000000009</c:v>
                </c:pt>
                <c:pt idx="616" formatCode="0.0">
                  <c:v>9725.2000000000007</c:v>
                </c:pt>
                <c:pt idx="617" formatCode="0.0">
                  <c:v>9740.61</c:v>
                </c:pt>
                <c:pt idx="618" formatCode="0.0">
                  <c:v>9756.02</c:v>
                </c:pt>
                <c:pt idx="619" formatCode="0.0">
                  <c:v>9771.43</c:v>
                </c:pt>
                <c:pt idx="620" formatCode="0.0">
                  <c:v>9786.7900000000009</c:v>
                </c:pt>
                <c:pt idx="621" formatCode="0.0">
                  <c:v>9801.9599999999991</c:v>
                </c:pt>
                <c:pt idx="622" formatCode="0.0">
                  <c:v>9817.1299999999992</c:v>
                </c:pt>
                <c:pt idx="623" formatCode="0.0">
                  <c:v>9832.2999999999993</c:v>
                </c:pt>
                <c:pt idx="624" formatCode="0.0">
                  <c:v>9847.4699999999993</c:v>
                </c:pt>
                <c:pt idx="625" formatCode="0.0">
                  <c:v>9862.64</c:v>
                </c:pt>
                <c:pt idx="626" formatCode="0.0">
                  <c:v>9877.81</c:v>
                </c:pt>
                <c:pt idx="627" formatCode="0.0">
                  <c:v>9893.02</c:v>
                </c:pt>
                <c:pt idx="628" formatCode="0.0">
                  <c:v>9908.23</c:v>
                </c:pt>
                <c:pt idx="629" formatCode="0.0">
                  <c:v>9923.44</c:v>
                </c:pt>
                <c:pt idx="630" formatCode="0.0">
                  <c:v>9938.65</c:v>
                </c:pt>
                <c:pt idx="631" formatCode="0.0">
                  <c:v>9953.86</c:v>
                </c:pt>
                <c:pt idx="632" formatCode="0.0">
                  <c:v>9969.07</c:v>
                </c:pt>
                <c:pt idx="633" formatCode="0.0">
                  <c:v>9984.39</c:v>
                </c:pt>
                <c:pt idx="634" formatCode="0.0">
                  <c:v>9999.7000000000007</c:v>
                </c:pt>
                <c:pt idx="635" formatCode="0.0">
                  <c:v>10015.01</c:v>
                </c:pt>
                <c:pt idx="636" formatCode="0.0">
                  <c:v>10030.33</c:v>
                </c:pt>
                <c:pt idx="637" formatCode="0.0">
                  <c:v>10045.64</c:v>
                </c:pt>
                <c:pt idx="638" formatCode="0.0">
                  <c:v>10060.959999999999</c:v>
                </c:pt>
                <c:pt idx="639" formatCode="0.0">
                  <c:v>10076.34</c:v>
                </c:pt>
                <c:pt idx="640" formatCode="0.0">
                  <c:v>10091.73</c:v>
                </c:pt>
                <c:pt idx="641" formatCode="0.0">
                  <c:v>10107.120000000001</c:v>
                </c:pt>
                <c:pt idx="642" formatCode="0.0">
                  <c:v>10122.51</c:v>
                </c:pt>
                <c:pt idx="643" formatCode="0.0">
                  <c:v>10137.9</c:v>
                </c:pt>
                <c:pt idx="644" formatCode="0.0">
                  <c:v>10153.290000000001</c:v>
                </c:pt>
                <c:pt idx="645" formatCode="0.0">
                  <c:v>10168.700000000001</c:v>
                </c:pt>
                <c:pt idx="646" formatCode="0.0">
                  <c:v>10184.120000000001</c:v>
                </c:pt>
                <c:pt idx="647" formatCode="0.0">
                  <c:v>10199.530000000001</c:v>
                </c:pt>
                <c:pt idx="648" formatCode="0.0">
                  <c:v>10214.950000000001</c:v>
                </c:pt>
                <c:pt idx="649" formatCode="0.0">
                  <c:v>10230.36</c:v>
                </c:pt>
                <c:pt idx="650" formatCode="0.0">
                  <c:v>10245.780000000001</c:v>
                </c:pt>
                <c:pt idx="651" formatCode="0.0">
                  <c:v>10261.25</c:v>
                </c:pt>
                <c:pt idx="652" formatCode="0.0">
                  <c:v>10276.73</c:v>
                </c:pt>
                <c:pt idx="653" formatCode="0.0">
                  <c:v>10292.219999999999</c:v>
                </c:pt>
                <c:pt idx="654" formatCode="0.0">
                  <c:v>10307.709999999999</c:v>
                </c:pt>
                <c:pt idx="655" formatCode="0.0">
                  <c:v>10323.19</c:v>
                </c:pt>
                <c:pt idx="656" formatCode="0.0">
                  <c:v>10338.68</c:v>
                </c:pt>
                <c:pt idx="657" formatCode="0.0">
                  <c:v>10354.209999999999</c:v>
                </c:pt>
                <c:pt idx="658" formatCode="0.0">
                  <c:v>10369.77</c:v>
                </c:pt>
                <c:pt idx="659" formatCode="0.0">
                  <c:v>10385.32</c:v>
                </c:pt>
                <c:pt idx="660" formatCode="0.0">
                  <c:v>10400.879999999999</c:v>
                </c:pt>
                <c:pt idx="661" formatCode="0.0">
                  <c:v>10416.44</c:v>
                </c:pt>
                <c:pt idx="662" formatCode="0.0">
                  <c:v>10431.99</c:v>
                </c:pt>
                <c:pt idx="663" formatCode="0.0">
                  <c:v>10447.6</c:v>
                </c:pt>
                <c:pt idx="664" formatCode="0.0">
                  <c:v>10463.24</c:v>
                </c:pt>
                <c:pt idx="665" formatCode="0.0">
                  <c:v>10478.89</c:v>
                </c:pt>
                <c:pt idx="666" formatCode="0.0">
                  <c:v>10494.53</c:v>
                </c:pt>
                <c:pt idx="667" formatCode="0.0">
                  <c:v>10510.18</c:v>
                </c:pt>
                <c:pt idx="668" formatCode="0.0">
                  <c:v>10525.82</c:v>
                </c:pt>
                <c:pt idx="669" formatCode="0.0">
                  <c:v>10541.46</c:v>
                </c:pt>
                <c:pt idx="670" formatCode="0.0">
                  <c:v>10557.11</c:v>
                </c:pt>
                <c:pt idx="671" formatCode="0.0">
                  <c:v>10572.75</c:v>
                </c:pt>
                <c:pt idx="672" formatCode="0.0">
                  <c:v>10588.4</c:v>
                </c:pt>
                <c:pt idx="673" formatCode="0.0">
                  <c:v>10604.04</c:v>
                </c:pt>
                <c:pt idx="674" formatCode="0.0">
                  <c:v>10619.69</c:v>
                </c:pt>
                <c:pt idx="675" formatCode="0.0">
                  <c:v>10635.37</c:v>
                </c:pt>
                <c:pt idx="676" formatCode="0.0">
                  <c:v>10651.13</c:v>
                </c:pt>
                <c:pt idx="677" formatCode="0.0">
                  <c:v>10666.89</c:v>
                </c:pt>
                <c:pt idx="678" formatCode="0.0">
                  <c:v>10682.65</c:v>
                </c:pt>
                <c:pt idx="679" formatCode="0.0">
                  <c:v>10698.41</c:v>
                </c:pt>
                <c:pt idx="680" formatCode="0.0">
                  <c:v>10714.16</c:v>
                </c:pt>
                <c:pt idx="681" formatCode="0.0">
                  <c:v>10729.94</c:v>
                </c:pt>
                <c:pt idx="682" formatCode="0.0">
                  <c:v>10745.78</c:v>
                </c:pt>
                <c:pt idx="683" formatCode="0.0">
                  <c:v>10761.62</c:v>
                </c:pt>
                <c:pt idx="684" formatCode="0.0">
                  <c:v>10777.46</c:v>
                </c:pt>
                <c:pt idx="685" formatCode="0.0">
                  <c:v>10793.29</c:v>
                </c:pt>
                <c:pt idx="686" formatCode="0.0">
                  <c:v>10809.13</c:v>
                </c:pt>
                <c:pt idx="687" formatCode="0.0">
                  <c:v>10824.97</c:v>
                </c:pt>
                <c:pt idx="688" formatCode="0.0">
                  <c:v>10840.81</c:v>
                </c:pt>
                <c:pt idx="689" formatCode="0.0">
                  <c:v>10856.64</c:v>
                </c:pt>
                <c:pt idx="690" formatCode="0.0">
                  <c:v>10872.48</c:v>
                </c:pt>
                <c:pt idx="691" formatCode="0.0">
                  <c:v>10888.32</c:v>
                </c:pt>
                <c:pt idx="692" formatCode="0.0">
                  <c:v>10904.16</c:v>
                </c:pt>
                <c:pt idx="693" formatCode="0.0">
                  <c:v>10920</c:v>
                </c:pt>
                <c:pt idx="694" formatCode="0.0">
                  <c:v>10935.88</c:v>
                </c:pt>
                <c:pt idx="695" formatCode="0.0">
                  <c:v>10951.76</c:v>
                </c:pt>
                <c:pt idx="696" formatCode="0.0">
                  <c:v>10967.64</c:v>
                </c:pt>
                <c:pt idx="697" formatCode="0.0">
                  <c:v>10983.52</c:v>
                </c:pt>
                <c:pt idx="698" formatCode="0.0">
                  <c:v>10999.4</c:v>
                </c:pt>
                <c:pt idx="699" formatCode="0.0">
                  <c:v>11015.29</c:v>
                </c:pt>
                <c:pt idx="700" formatCode="0.0">
                  <c:v>11031.17</c:v>
                </c:pt>
                <c:pt idx="701" formatCode="0.0">
                  <c:v>11047.05</c:v>
                </c:pt>
                <c:pt idx="702" formatCode="0.0">
                  <c:v>11062.93</c:v>
                </c:pt>
                <c:pt idx="703" formatCode="0.0">
                  <c:v>11078.81</c:v>
                </c:pt>
                <c:pt idx="704" formatCode="0.0">
                  <c:v>11094.7</c:v>
                </c:pt>
                <c:pt idx="705" formatCode="0.0">
                  <c:v>11110.58</c:v>
                </c:pt>
                <c:pt idx="706" formatCode="0.0">
                  <c:v>11126.51</c:v>
                </c:pt>
                <c:pt idx="707" formatCode="0.0">
                  <c:v>11142.45</c:v>
                </c:pt>
                <c:pt idx="708" formatCode="0.0">
                  <c:v>11158.4</c:v>
                </c:pt>
                <c:pt idx="709" formatCode="0.0">
                  <c:v>11174.34</c:v>
                </c:pt>
                <c:pt idx="710" formatCode="0.0">
                  <c:v>11190.28</c:v>
                </c:pt>
                <c:pt idx="711" formatCode="0.0">
                  <c:v>11206.22</c:v>
                </c:pt>
                <c:pt idx="712" formatCode="0.0">
                  <c:v>11222.16</c:v>
                </c:pt>
                <c:pt idx="713" formatCode="0.0">
                  <c:v>11238.11</c:v>
                </c:pt>
                <c:pt idx="714" formatCode="0.0">
                  <c:v>11254.05</c:v>
                </c:pt>
                <c:pt idx="715" formatCode="0.0">
                  <c:v>11269.99</c:v>
                </c:pt>
                <c:pt idx="716" formatCode="0.0">
                  <c:v>11285.93</c:v>
                </c:pt>
                <c:pt idx="717" formatCode="0.0">
                  <c:v>11301.88</c:v>
                </c:pt>
                <c:pt idx="718" formatCode="0.0">
                  <c:v>11317.86</c:v>
                </c:pt>
                <c:pt idx="719" formatCode="0.0">
                  <c:v>11333.87</c:v>
                </c:pt>
                <c:pt idx="720" formatCode="0.0">
                  <c:v>11349.88</c:v>
                </c:pt>
                <c:pt idx="721" formatCode="0.0">
                  <c:v>11365.88</c:v>
                </c:pt>
                <c:pt idx="722" formatCode="0.0">
                  <c:v>11381.89</c:v>
                </c:pt>
                <c:pt idx="723" formatCode="0.0">
                  <c:v>11397.9</c:v>
                </c:pt>
                <c:pt idx="724" formatCode="0.0">
                  <c:v>11413.91</c:v>
                </c:pt>
                <c:pt idx="725" formatCode="0.0">
                  <c:v>11429.91</c:v>
                </c:pt>
                <c:pt idx="726" formatCode="0.0">
                  <c:v>11445.92</c:v>
                </c:pt>
                <c:pt idx="727" formatCode="0.0">
                  <c:v>11461.93</c:v>
                </c:pt>
                <c:pt idx="728" formatCode="0.0">
                  <c:v>11477.94</c:v>
                </c:pt>
                <c:pt idx="729" formatCode="0.0">
                  <c:v>11493.94</c:v>
                </c:pt>
                <c:pt idx="730" formatCode="0.0">
                  <c:v>11509.96</c:v>
                </c:pt>
                <c:pt idx="731" formatCode="0.0">
                  <c:v>11525.98</c:v>
                </c:pt>
                <c:pt idx="732" formatCode="0.0">
                  <c:v>11542.01</c:v>
                </c:pt>
                <c:pt idx="733" formatCode="0.0">
                  <c:v>11558.03</c:v>
                </c:pt>
                <c:pt idx="734" formatCode="0.0">
                  <c:v>11574.05</c:v>
                </c:pt>
                <c:pt idx="735" formatCode="0.0">
                  <c:v>11590.07</c:v>
                </c:pt>
                <c:pt idx="736" formatCode="0.0">
                  <c:v>11606.1</c:v>
                </c:pt>
                <c:pt idx="737" formatCode="0.0">
                  <c:v>11622.12</c:v>
                </c:pt>
                <c:pt idx="738" formatCode="0.0">
                  <c:v>11638.14</c:v>
                </c:pt>
                <c:pt idx="739" formatCode="0.0">
                  <c:v>11654.17</c:v>
                </c:pt>
                <c:pt idx="740" formatCode="0.0">
                  <c:v>11670.19</c:v>
                </c:pt>
                <c:pt idx="741" formatCode="0.0">
                  <c:v>11686.21</c:v>
                </c:pt>
                <c:pt idx="742" formatCode="0.0">
                  <c:v>11702.24</c:v>
                </c:pt>
                <c:pt idx="743" formatCode="0.0">
                  <c:v>11718.26</c:v>
                </c:pt>
                <c:pt idx="744" formatCode="0.0">
                  <c:v>11734.28</c:v>
                </c:pt>
                <c:pt idx="745" formatCode="0.0">
                  <c:v>11750.31</c:v>
                </c:pt>
                <c:pt idx="746" formatCode="0.0">
                  <c:v>11766.33</c:v>
                </c:pt>
                <c:pt idx="747" formatCode="0.0">
                  <c:v>11782.35</c:v>
                </c:pt>
                <c:pt idx="748" formatCode="0.0">
                  <c:v>11798.38</c:v>
                </c:pt>
                <c:pt idx="749" formatCode="0.0">
                  <c:v>11814.4</c:v>
                </c:pt>
                <c:pt idx="750" formatCode="0.0">
                  <c:v>11830.42</c:v>
                </c:pt>
                <c:pt idx="751" formatCode="0.0">
                  <c:v>11846.44</c:v>
                </c:pt>
                <c:pt idx="752" formatCode="0.0">
                  <c:v>11862.47</c:v>
                </c:pt>
                <c:pt idx="753" formatCode="0.0">
                  <c:v>11878.49</c:v>
                </c:pt>
                <c:pt idx="754" formatCode="0.0">
                  <c:v>11894.51</c:v>
                </c:pt>
                <c:pt idx="755" formatCode="0.0">
                  <c:v>11910.54</c:v>
                </c:pt>
                <c:pt idx="756" formatCode="0.0">
                  <c:v>11926.56</c:v>
                </c:pt>
                <c:pt idx="757" formatCode="0.0">
                  <c:v>11942.58</c:v>
                </c:pt>
                <c:pt idx="758" formatCode="0.0">
                  <c:v>11958.61</c:v>
                </c:pt>
                <c:pt idx="759" formatCode="0.0">
                  <c:v>11974.63</c:v>
                </c:pt>
                <c:pt idx="760" formatCode="0.0">
                  <c:v>11990.65</c:v>
                </c:pt>
                <c:pt idx="761" formatCode="0.0">
                  <c:v>12006.68</c:v>
                </c:pt>
                <c:pt idx="762" formatCode="0.0">
                  <c:v>12022.7</c:v>
                </c:pt>
                <c:pt idx="763" formatCode="0.0">
                  <c:v>12038.72</c:v>
                </c:pt>
                <c:pt idx="764" formatCode="0.0">
                  <c:v>12054.74</c:v>
                </c:pt>
                <c:pt idx="765" formatCode="0.0">
                  <c:v>12070.77</c:v>
                </c:pt>
                <c:pt idx="766" formatCode="0.0">
                  <c:v>12086.79</c:v>
                </c:pt>
                <c:pt idx="767" formatCode="0.0">
                  <c:v>12102.81</c:v>
                </c:pt>
                <c:pt idx="768" formatCode="0.0">
                  <c:v>12118.84</c:v>
                </c:pt>
                <c:pt idx="769" formatCode="0.0">
                  <c:v>12134.86</c:v>
                </c:pt>
                <c:pt idx="770" formatCode="0.0">
                  <c:v>12150.88</c:v>
                </c:pt>
                <c:pt idx="771" formatCode="0.0">
                  <c:v>12166.91</c:v>
                </c:pt>
                <c:pt idx="772" formatCode="0.0">
                  <c:v>12182.93</c:v>
                </c:pt>
                <c:pt idx="773" formatCode="0.0">
                  <c:v>12198.95</c:v>
                </c:pt>
                <c:pt idx="774" formatCode="0.0">
                  <c:v>12214.98</c:v>
                </c:pt>
                <c:pt idx="775" formatCode="0.0">
                  <c:v>12231</c:v>
                </c:pt>
                <c:pt idx="776" formatCode="0.0">
                  <c:v>12247.02</c:v>
                </c:pt>
                <c:pt idx="777" formatCode="0.0">
                  <c:v>12263.04</c:v>
                </c:pt>
                <c:pt idx="778" formatCode="0.0">
                  <c:v>12279.07</c:v>
                </c:pt>
                <c:pt idx="779" formatCode="0.0">
                  <c:v>12295.09</c:v>
                </c:pt>
                <c:pt idx="780" formatCode="0.0">
                  <c:v>12311.11</c:v>
                </c:pt>
                <c:pt idx="781" formatCode="0.0">
                  <c:v>12327.14</c:v>
                </c:pt>
                <c:pt idx="782" formatCode="0.0">
                  <c:v>12343.16</c:v>
                </c:pt>
                <c:pt idx="783" formatCode="0.0">
                  <c:v>12359.18</c:v>
                </c:pt>
                <c:pt idx="784" formatCode="0.0">
                  <c:v>12375.21</c:v>
                </c:pt>
                <c:pt idx="785" formatCode="0.0">
                  <c:v>12391.23</c:v>
                </c:pt>
                <c:pt idx="786" formatCode="0.0">
                  <c:v>12407.25</c:v>
                </c:pt>
                <c:pt idx="787" formatCode="0.0">
                  <c:v>12423.27</c:v>
                </c:pt>
                <c:pt idx="788" formatCode="0.0">
                  <c:v>12439.3</c:v>
                </c:pt>
                <c:pt idx="789" formatCode="0.0">
                  <c:v>12455.32</c:v>
                </c:pt>
                <c:pt idx="790" formatCode="0.0">
                  <c:v>12471.34</c:v>
                </c:pt>
                <c:pt idx="791" formatCode="0.0">
                  <c:v>12487.37</c:v>
                </c:pt>
                <c:pt idx="792" formatCode="0.0">
                  <c:v>12503.39</c:v>
                </c:pt>
                <c:pt idx="793" formatCode="0.0">
                  <c:v>12519.41</c:v>
                </c:pt>
                <c:pt idx="794" formatCode="0.0">
                  <c:v>12535.44</c:v>
                </c:pt>
                <c:pt idx="795" formatCode="0.0">
                  <c:v>12551.46</c:v>
                </c:pt>
                <c:pt idx="796" formatCode="0.0">
                  <c:v>12567.48</c:v>
                </c:pt>
                <c:pt idx="797" formatCode="0.0">
                  <c:v>12583.51</c:v>
                </c:pt>
                <c:pt idx="798" formatCode="0.0">
                  <c:v>12599.53</c:v>
                </c:pt>
                <c:pt idx="799" formatCode="0.0">
                  <c:v>12615.55</c:v>
                </c:pt>
                <c:pt idx="800" formatCode="0.0">
                  <c:v>12631.57</c:v>
                </c:pt>
                <c:pt idx="801" formatCode="0.0">
                  <c:v>12647.6</c:v>
                </c:pt>
                <c:pt idx="802" formatCode="0.0">
                  <c:v>12663.62</c:v>
                </c:pt>
                <c:pt idx="803" formatCode="0.0">
                  <c:v>12679.64</c:v>
                </c:pt>
                <c:pt idx="804" formatCode="0.0">
                  <c:v>12695.67</c:v>
                </c:pt>
                <c:pt idx="805" formatCode="0.0">
                  <c:v>12711.69</c:v>
                </c:pt>
                <c:pt idx="806" formatCode="0.0">
                  <c:v>12727.71</c:v>
                </c:pt>
                <c:pt idx="807" formatCode="0.0">
                  <c:v>12743.74</c:v>
                </c:pt>
                <c:pt idx="808" formatCode="0.0">
                  <c:v>12759.76</c:v>
                </c:pt>
                <c:pt idx="809" formatCode="0.0">
                  <c:v>12775.78</c:v>
                </c:pt>
                <c:pt idx="810" formatCode="0.0">
                  <c:v>12791.8</c:v>
                </c:pt>
                <c:pt idx="811" formatCode="0.0">
                  <c:v>12807.83</c:v>
                </c:pt>
                <c:pt idx="812" formatCode="0.0">
                  <c:v>12823.85</c:v>
                </c:pt>
                <c:pt idx="813" formatCode="0.0">
                  <c:v>12839.87</c:v>
                </c:pt>
                <c:pt idx="814" formatCode="0.0">
                  <c:v>12855.9</c:v>
                </c:pt>
                <c:pt idx="815" formatCode="0.0">
                  <c:v>12871.92</c:v>
                </c:pt>
                <c:pt idx="816" formatCode="0.0">
                  <c:v>12887.94</c:v>
                </c:pt>
                <c:pt idx="817" formatCode="0.0">
                  <c:v>12903.97</c:v>
                </c:pt>
                <c:pt idx="818" formatCode="0.0">
                  <c:v>12919.99</c:v>
                </c:pt>
                <c:pt idx="819" formatCode="0.0">
                  <c:v>12936.01</c:v>
                </c:pt>
                <c:pt idx="820" formatCode="0.0">
                  <c:v>12952.04</c:v>
                </c:pt>
                <c:pt idx="821" formatCode="0.0">
                  <c:v>12968.06</c:v>
                </c:pt>
                <c:pt idx="822" formatCode="0.0">
                  <c:v>12984.08</c:v>
                </c:pt>
                <c:pt idx="823" formatCode="0.0">
                  <c:v>13000.1</c:v>
                </c:pt>
                <c:pt idx="824" formatCode="0.0">
                  <c:v>13016.13</c:v>
                </c:pt>
                <c:pt idx="825" formatCode="0.0">
                  <c:v>13032.15</c:v>
                </c:pt>
                <c:pt idx="826" formatCode="0.0">
                  <c:v>13048.17</c:v>
                </c:pt>
                <c:pt idx="827" formatCode="0.0">
                  <c:v>13064.2</c:v>
                </c:pt>
                <c:pt idx="828" formatCode="0.0">
                  <c:v>13080.22</c:v>
                </c:pt>
                <c:pt idx="829" formatCode="0.0">
                  <c:v>13096.24</c:v>
                </c:pt>
                <c:pt idx="830" formatCode="0.0">
                  <c:v>13112.27</c:v>
                </c:pt>
                <c:pt idx="831" formatCode="0.0">
                  <c:v>13128.29</c:v>
                </c:pt>
                <c:pt idx="832" formatCode="0.0">
                  <c:v>13144.31</c:v>
                </c:pt>
                <c:pt idx="833" formatCode="0.0">
                  <c:v>13160.33</c:v>
                </c:pt>
                <c:pt idx="834" formatCode="0.0">
                  <c:v>13176.36</c:v>
                </c:pt>
                <c:pt idx="835" formatCode="0.0">
                  <c:v>13192.38</c:v>
                </c:pt>
                <c:pt idx="836" formatCode="0.0">
                  <c:v>13208.4</c:v>
                </c:pt>
                <c:pt idx="837" formatCode="0.0">
                  <c:v>13224.43</c:v>
                </c:pt>
                <c:pt idx="838" formatCode="0.0">
                  <c:v>13240.45</c:v>
                </c:pt>
                <c:pt idx="839" formatCode="0.0">
                  <c:v>13256.47</c:v>
                </c:pt>
                <c:pt idx="840" formatCode="0.0">
                  <c:v>13272.5</c:v>
                </c:pt>
                <c:pt idx="841" formatCode="0.0">
                  <c:v>13288.52</c:v>
                </c:pt>
                <c:pt idx="842" formatCode="0.0">
                  <c:v>13304.54</c:v>
                </c:pt>
                <c:pt idx="843" formatCode="0.0">
                  <c:v>13320.57</c:v>
                </c:pt>
                <c:pt idx="844" formatCode="0.0">
                  <c:v>13336.59</c:v>
                </c:pt>
                <c:pt idx="845" formatCode="0.0">
                  <c:v>13352.61</c:v>
                </c:pt>
                <c:pt idx="846" formatCode="0.0">
                  <c:v>13368.63</c:v>
                </c:pt>
                <c:pt idx="847" formatCode="0.0">
                  <c:v>13384.66</c:v>
                </c:pt>
                <c:pt idx="848" formatCode="0.0">
                  <c:v>13400.68</c:v>
                </c:pt>
                <c:pt idx="849" formatCode="0.0">
                  <c:v>13416.7</c:v>
                </c:pt>
                <c:pt idx="850" formatCode="0.0">
                  <c:v>13432.73</c:v>
                </c:pt>
                <c:pt idx="851" formatCode="0.0">
                  <c:v>13448.75</c:v>
                </c:pt>
                <c:pt idx="852" formatCode="0.0">
                  <c:v>13464.77</c:v>
                </c:pt>
                <c:pt idx="853" formatCode="0.0">
                  <c:v>13480.8</c:v>
                </c:pt>
                <c:pt idx="854" formatCode="0.0">
                  <c:v>13496.82</c:v>
                </c:pt>
                <c:pt idx="855" formatCode="0.0">
                  <c:v>13512.84</c:v>
                </c:pt>
                <c:pt idx="856" formatCode="0.0">
                  <c:v>13528.87</c:v>
                </c:pt>
                <c:pt idx="857" formatCode="0.0">
                  <c:v>13544.89</c:v>
                </c:pt>
                <c:pt idx="858" formatCode="0.0">
                  <c:v>13560.91</c:v>
                </c:pt>
                <c:pt idx="859" formatCode="0.0">
                  <c:v>13576.93</c:v>
                </c:pt>
                <c:pt idx="860" formatCode="0.0">
                  <c:v>13592.96</c:v>
                </c:pt>
                <c:pt idx="861" formatCode="0.0">
                  <c:v>13608.98</c:v>
                </c:pt>
                <c:pt idx="862" formatCode="0.0">
                  <c:v>13625</c:v>
                </c:pt>
                <c:pt idx="863" formatCode="0.0">
                  <c:v>13641.03</c:v>
                </c:pt>
                <c:pt idx="864" formatCode="0.0">
                  <c:v>13657.05</c:v>
                </c:pt>
                <c:pt idx="865" formatCode="0.0">
                  <c:v>13673.07</c:v>
                </c:pt>
                <c:pt idx="866" formatCode="0.0">
                  <c:v>13689.1</c:v>
                </c:pt>
                <c:pt idx="867" formatCode="0.0">
                  <c:v>13705.12</c:v>
                </c:pt>
                <c:pt idx="868" formatCode="0.0">
                  <c:v>13721.14</c:v>
                </c:pt>
                <c:pt idx="869" formatCode="0.0">
                  <c:v>13737.16</c:v>
                </c:pt>
                <c:pt idx="870" formatCode="0.0">
                  <c:v>13753.19</c:v>
                </c:pt>
                <c:pt idx="871" formatCode="0.0">
                  <c:v>13769.21</c:v>
                </c:pt>
                <c:pt idx="872" formatCode="0.0">
                  <c:v>13785.23</c:v>
                </c:pt>
                <c:pt idx="873" formatCode="0.0">
                  <c:v>13801.26</c:v>
                </c:pt>
                <c:pt idx="874" formatCode="0.0">
                  <c:v>13817.28</c:v>
                </c:pt>
                <c:pt idx="875" formatCode="0.0">
                  <c:v>13833.3</c:v>
                </c:pt>
                <c:pt idx="876" formatCode="0.0">
                  <c:v>13849.33</c:v>
                </c:pt>
                <c:pt idx="877" formatCode="0.0">
                  <c:v>13865.35</c:v>
                </c:pt>
                <c:pt idx="878" formatCode="0.0">
                  <c:v>13881.37</c:v>
                </c:pt>
                <c:pt idx="879" formatCode="0.0">
                  <c:v>13897.4</c:v>
                </c:pt>
                <c:pt idx="880" formatCode="0.0">
                  <c:v>13913.42</c:v>
                </c:pt>
                <c:pt idx="881" formatCode="0.0">
                  <c:v>13929.44</c:v>
                </c:pt>
                <c:pt idx="882" formatCode="0.0">
                  <c:v>13945.46</c:v>
                </c:pt>
                <c:pt idx="883" formatCode="0.0">
                  <c:v>13961.49</c:v>
                </c:pt>
                <c:pt idx="884" formatCode="0.0">
                  <c:v>13977.51</c:v>
                </c:pt>
                <c:pt idx="885" formatCode="0.0">
                  <c:v>13993.53</c:v>
                </c:pt>
                <c:pt idx="886" formatCode="0.0">
                  <c:v>14009.56</c:v>
                </c:pt>
                <c:pt idx="887" formatCode="0.0">
                  <c:v>14025.58</c:v>
                </c:pt>
                <c:pt idx="888" formatCode="0.0">
                  <c:v>14041.6</c:v>
                </c:pt>
                <c:pt idx="889" formatCode="0.0">
                  <c:v>14057.63</c:v>
                </c:pt>
                <c:pt idx="890" formatCode="0.0">
                  <c:v>14073.65</c:v>
                </c:pt>
                <c:pt idx="891" formatCode="0.0">
                  <c:v>14089.67</c:v>
                </c:pt>
                <c:pt idx="892" formatCode="0.0">
                  <c:v>14105.69</c:v>
                </c:pt>
                <c:pt idx="893" formatCode="0.0">
                  <c:v>14121.72</c:v>
                </c:pt>
                <c:pt idx="894" formatCode="0.0">
                  <c:v>14137.74</c:v>
                </c:pt>
                <c:pt idx="895" formatCode="0.0">
                  <c:v>14153.76</c:v>
                </c:pt>
                <c:pt idx="896" formatCode="0.0">
                  <c:v>14169.79</c:v>
                </c:pt>
                <c:pt idx="897" formatCode="0.0">
                  <c:v>14185.81</c:v>
                </c:pt>
                <c:pt idx="898" formatCode="0.0">
                  <c:v>14201.83</c:v>
                </c:pt>
                <c:pt idx="899" formatCode="0.0">
                  <c:v>14217.86</c:v>
                </c:pt>
                <c:pt idx="900" formatCode="0.0">
                  <c:v>14233.88</c:v>
                </c:pt>
                <c:pt idx="901" formatCode="0.0">
                  <c:v>14249.9</c:v>
                </c:pt>
                <c:pt idx="902" formatCode="0.0">
                  <c:v>14265.93</c:v>
                </c:pt>
                <c:pt idx="903" formatCode="0.0">
                  <c:v>14281.95</c:v>
                </c:pt>
                <c:pt idx="904" formatCode="0.0">
                  <c:v>14297.97</c:v>
                </c:pt>
                <c:pt idx="905" formatCode="0.0">
                  <c:v>14313.99</c:v>
                </c:pt>
                <c:pt idx="906" formatCode="0.0">
                  <c:v>14330.02</c:v>
                </c:pt>
                <c:pt idx="907" formatCode="0.0">
                  <c:v>14346.04</c:v>
                </c:pt>
                <c:pt idx="908" formatCode="0.0">
                  <c:v>14362.06</c:v>
                </c:pt>
                <c:pt idx="909" formatCode="0.0">
                  <c:v>14378.09</c:v>
                </c:pt>
                <c:pt idx="910" formatCode="0.0">
                  <c:v>14394.11</c:v>
                </c:pt>
                <c:pt idx="911" formatCode="0.0">
                  <c:v>14410.13</c:v>
                </c:pt>
              </c:numCache>
            </c:numRef>
          </c:xVal>
          <c:yVal>
            <c:numRef>
              <c:f>'NUNR-012'!$H$15:$H$926</c:f>
              <c:numCache>
                <c:formatCode>0</c:formatCode>
                <c:ptCount val="912"/>
                <c:pt idx="0">
                  <c:v>0</c:v>
                </c:pt>
                <c:pt idx="1">
                  <c:v>11.870945361903997</c:v>
                </c:pt>
                <c:pt idx="2">
                  <c:v>24.299169609001616</c:v>
                </c:pt>
                <c:pt idx="3">
                  <c:v>36.802335906852861</c:v>
                </c:pt>
                <c:pt idx="4">
                  <c:v>49.370590501282607</c:v>
                </c:pt>
                <c:pt idx="5">
                  <c:v>48.89303581691901</c:v>
                </c:pt>
                <c:pt idx="6">
                  <c:v>47.063635509885742</c:v>
                </c:pt>
                <c:pt idx="7">
                  <c:v>45.21125590016176</c:v>
                </c:pt>
                <c:pt idx="8">
                  <c:v>43.414734188982749</c:v>
                </c:pt>
                <c:pt idx="9">
                  <c:v>41.624696212800472</c:v>
                </c:pt>
                <c:pt idx="10">
                  <c:v>39.861160577697405</c:v>
                </c:pt>
                <c:pt idx="11">
                  <c:v>38.084586968501668</c:v>
                </c:pt>
                <c:pt idx="12">
                  <c:v>36.344078553057443</c:v>
                </c:pt>
                <c:pt idx="13">
                  <c:v>34.630128385382903</c:v>
                </c:pt>
                <c:pt idx="14">
                  <c:v>32.922755155665413</c:v>
                </c:pt>
                <c:pt idx="15">
                  <c:v>31.241977575193715</c:v>
                </c:pt>
                <c:pt idx="16">
                  <c:v>29.548088300818051</c:v>
                </c:pt>
                <c:pt idx="17">
                  <c:v>27.890524683769797</c:v>
                </c:pt>
                <c:pt idx="18">
                  <c:v>26.259612938764803</c:v>
                </c:pt>
                <c:pt idx="19">
                  <c:v>24.635371861673605</c:v>
                </c:pt>
                <c:pt idx="20">
                  <c:v>23.00795982082127</c:v>
                </c:pt>
                <c:pt idx="21">
                  <c:v>21.427082846943335</c:v>
                </c:pt>
                <c:pt idx="22">
                  <c:v>19.852933017929843</c:v>
                </c:pt>
                <c:pt idx="23">
                  <c:v>18.305529214610317</c:v>
                </c:pt>
                <c:pt idx="24">
                  <c:v>16.7348949097439</c:v>
                </c:pt>
                <c:pt idx="25">
                  <c:v>15.221006028120257</c:v>
                </c:pt>
                <c:pt idx="26">
                  <c:v>13.723919904438105</c:v>
                </c:pt>
                <c:pt idx="27">
                  <c:v>12.233655504880119</c:v>
                </c:pt>
                <c:pt idx="28">
                  <c:v>10.74010079685786</c:v>
                </c:pt>
                <c:pt idx="29">
                  <c:v>9.2835028192298523</c:v>
                </c:pt>
                <c:pt idx="30">
                  <c:v>7.853783554425263</c:v>
                </c:pt>
                <c:pt idx="31">
                  <c:v>6.4409620543575556</c:v>
                </c:pt>
                <c:pt idx="32">
                  <c:v>5.0350573924471291</c:v>
                </c:pt>
                <c:pt idx="33">
                  <c:v>3.6257872755022618</c:v>
                </c:pt>
                <c:pt idx="34">
                  <c:v>2.2537393934879901</c:v>
                </c:pt>
                <c:pt idx="35">
                  <c:v>0.90866566055763087</c:v>
                </c:pt>
                <c:pt idx="36">
                  <c:v>-0.42941476364967457</c:v>
                </c:pt>
                <c:pt idx="37">
                  <c:v>-1.7709210598490017</c:v>
                </c:pt>
                <c:pt idx="38">
                  <c:v>-3.0649916585914525</c:v>
                </c:pt>
                <c:pt idx="39">
                  <c:v>-4.3520113786192951</c:v>
                </c:pt>
                <c:pt idx="40">
                  <c:v>-5.6119609736831535</c:v>
                </c:pt>
                <c:pt idx="41">
                  <c:v>-6.8953971308008022</c:v>
                </c:pt>
                <c:pt idx="42">
                  <c:v>-8.1211831630067763</c:v>
                </c:pt>
                <c:pt idx="43">
                  <c:v>-9.3298412400152984</c:v>
                </c:pt>
                <c:pt idx="44">
                  <c:v>-10.531352028583228</c:v>
                </c:pt>
                <c:pt idx="45">
                  <c:v>-11.705696173634237</c:v>
                </c:pt>
                <c:pt idx="46">
                  <c:v>-12.903603136976699</c:v>
                </c:pt>
                <c:pt idx="47">
                  <c:v>-14.043590550251906</c:v>
                </c:pt>
                <c:pt idx="48">
                  <c:v>-15.176353162794157</c:v>
                </c:pt>
                <c:pt idx="49">
                  <c:v>-16.281871532042715</c:v>
                </c:pt>
                <c:pt idx="50">
                  <c:v>-17.401014028695727</c:v>
                </c:pt>
                <c:pt idx="51">
                  <c:v>-18.482020360622641</c:v>
                </c:pt>
                <c:pt idx="52">
                  <c:v>-19.53572402914449</c:v>
                </c:pt>
                <c:pt idx="53">
                  <c:v>-20.582105503813636</c:v>
                </c:pt>
                <c:pt idx="54">
                  <c:v>-21.632172692139193</c:v>
                </c:pt>
                <c:pt idx="55">
                  <c:v>-22.633886121905107</c:v>
                </c:pt>
                <c:pt idx="56">
                  <c:v>-23.628218673622882</c:v>
                </c:pt>
                <c:pt idx="57">
                  <c:v>-24.595150728557542</c:v>
                </c:pt>
                <c:pt idx="58">
                  <c:v>-25.554662645825829</c:v>
                </c:pt>
                <c:pt idx="59">
                  <c:v>-26.517937659038239</c:v>
                </c:pt>
                <c:pt idx="60">
                  <c:v>-27.432585510026001</c:v>
                </c:pt>
                <c:pt idx="61">
                  <c:v>-28.339754207340093</c:v>
                </c:pt>
                <c:pt idx="62">
                  <c:v>-29.21942402132197</c:v>
                </c:pt>
                <c:pt idx="63">
                  <c:v>-30.122919145693459</c:v>
                </c:pt>
                <c:pt idx="64">
                  <c:v>-30.967567294504875</c:v>
                </c:pt>
                <c:pt idx="65">
                  <c:v>-31.794657277200031</c:v>
                </c:pt>
                <c:pt idx="66">
                  <c:v>-32.614169274925416</c:v>
                </c:pt>
                <c:pt idx="67">
                  <c:v>-33.437569078721936</c:v>
                </c:pt>
                <c:pt idx="68">
                  <c:v>-34.221901099988827</c:v>
                </c:pt>
                <c:pt idx="69">
                  <c:v>-34.978595585522498</c:v>
                </c:pt>
                <c:pt idx="70">
                  <c:v>-35.717632626890691</c:v>
                </c:pt>
                <c:pt idx="71">
                  <c:v>-36.448992293175706</c:v>
                </c:pt>
                <c:pt idx="72">
                  <c:v>-37.184318290496776</c:v>
                </c:pt>
                <c:pt idx="73">
                  <c:v>-37.880299064357359</c:v>
                </c:pt>
                <c:pt idx="74">
                  <c:v>-38.54854257565944</c:v>
                </c:pt>
                <c:pt idx="75">
                  <c:v>-39.199028803401688</c:v>
                </c:pt>
                <c:pt idx="76">
                  <c:v>-39.873544495323813</c:v>
                </c:pt>
                <c:pt idx="77">
                  <c:v>-40.488491904540751</c:v>
                </c:pt>
                <c:pt idx="78">
                  <c:v>-41.095621872006859</c:v>
                </c:pt>
                <c:pt idx="79">
                  <c:v>-41.674914286212925</c:v>
                </c:pt>
                <c:pt idx="80">
                  <c:v>-42.2682995831276</c:v>
                </c:pt>
                <c:pt idx="81">
                  <c:v>-42.821892529785828</c:v>
                </c:pt>
                <c:pt idx="82">
                  <c:v>-43.347587493052288</c:v>
                </c:pt>
                <c:pt idx="83">
                  <c:v>-43.865364270508053</c:v>
                </c:pt>
                <c:pt idx="84">
                  <c:v>-44.387297635884806</c:v>
                </c:pt>
                <c:pt idx="85">
                  <c:v>-44.859213570574639</c:v>
                </c:pt>
                <c:pt idx="86">
                  <c:v>-45.323150616155999</c:v>
                </c:pt>
                <c:pt idx="87">
                  <c:v>-45.75908847888968</c:v>
                </c:pt>
                <c:pt idx="88">
                  <c:v>-46.1870068421224</c:v>
                </c:pt>
                <c:pt idx="89">
                  <c:v>-46.61916183799417</c:v>
                </c:pt>
                <c:pt idx="90">
                  <c:v>-47.011016592716487</c:v>
                </c:pt>
                <c:pt idx="91">
                  <c:v>-47.374790801412928</c:v>
                </c:pt>
                <c:pt idx="92">
                  <c:v>-47.720464055593766</c:v>
                </c:pt>
                <c:pt idx="93">
                  <c:v>-48.090438297428818</c:v>
                </c:pt>
                <c:pt idx="94">
                  <c:v>-48.399884921822832</c:v>
                </c:pt>
                <c:pt idx="95">
                  <c:v>-48.701169269223783</c:v>
                </c:pt>
                <c:pt idx="96">
                  <c:v>-48.974270838885104</c:v>
                </c:pt>
                <c:pt idx="97">
                  <c:v>-49.261738042121351</c:v>
                </c:pt>
                <c:pt idx="98">
                  <c:v>-49.508449223804064</c:v>
                </c:pt>
                <c:pt idx="99">
                  <c:v>-49.726916028065943</c:v>
                </c:pt>
                <c:pt idx="100">
                  <c:v>-49.937117861494698</c:v>
                </c:pt>
                <c:pt idx="101">
                  <c:v>-50.151750266647014</c:v>
                </c:pt>
                <c:pt idx="102">
                  <c:v>-50.315397213653569</c:v>
                </c:pt>
                <c:pt idx="103">
                  <c:v>-50.470717311687849</c:v>
                </c:pt>
                <c:pt idx="104">
                  <c:v>-50.597689874252183</c:v>
                </c:pt>
                <c:pt idx="105">
                  <c:v>-50.71629419148735</c:v>
                </c:pt>
                <c:pt idx="106">
                  <c:v>-50.839410674332157</c:v>
                </c:pt>
                <c:pt idx="107">
                  <c:v>-50.911253415115198</c:v>
                </c:pt>
                <c:pt idx="108">
                  <c:v>-50.97466568255777</c:v>
                </c:pt>
                <c:pt idx="109">
                  <c:v>-51.00962667319277</c:v>
                </c:pt>
                <c:pt idx="110">
                  <c:v>-51.069165429966461</c:v>
                </c:pt>
                <c:pt idx="111">
                  <c:v>-51.067198667792809</c:v>
                </c:pt>
                <c:pt idx="112">
                  <c:v>-51.046718119504931</c:v>
                </c:pt>
                <c:pt idx="113">
                  <c:v>-51.017702887597352</c:v>
                </c:pt>
                <c:pt idx="114">
                  <c:v>-50.993331318895798</c:v>
                </c:pt>
                <c:pt idx="115">
                  <c:v>-50.927221406638182</c:v>
                </c:pt>
                <c:pt idx="116">
                  <c:v>-50.832514018890606</c:v>
                </c:pt>
                <c:pt idx="117">
                  <c:v>-50.719188163677472</c:v>
                </c:pt>
                <c:pt idx="118">
                  <c:v>-50.597222825328572</c:v>
                </c:pt>
                <c:pt idx="119">
                  <c:v>-50.479983948943982</c:v>
                </c:pt>
                <c:pt idx="120">
                  <c:v>-50.320714188091188</c:v>
                </c:pt>
                <c:pt idx="121">
                  <c:v>-50.132741797191557</c:v>
                </c:pt>
                <c:pt idx="122">
                  <c:v>-49.92604566557975</c:v>
                </c:pt>
                <c:pt idx="123">
                  <c:v>-49.744142565160246</c:v>
                </c:pt>
                <c:pt idx="124">
                  <c:v>-49.499973380814481</c:v>
                </c:pt>
                <c:pt idx="125">
                  <c:v>-49.247017023398485</c:v>
                </c:pt>
                <c:pt idx="126">
                  <c:v>-48.965252286813438</c:v>
                </c:pt>
                <c:pt idx="127">
                  <c:v>-48.698347451570271</c:v>
                </c:pt>
                <c:pt idx="128">
                  <c:v>-48.388940269750947</c:v>
                </c:pt>
                <c:pt idx="129">
                  <c:v>-48.050660989669723</c:v>
                </c:pt>
                <c:pt idx="130">
                  <c:v>-47.703488309366548</c:v>
                </c:pt>
                <c:pt idx="131">
                  <c:v>-47.361242702827894</c:v>
                </c:pt>
                <c:pt idx="132">
                  <c:v>-46.976257419070407</c:v>
                </c:pt>
                <c:pt idx="133">
                  <c:v>-46.562314727964804</c:v>
                </c:pt>
                <c:pt idx="134">
                  <c:v>-46.12939323125147</c:v>
                </c:pt>
                <c:pt idx="135">
                  <c:v>-45.687471506535985</c:v>
                </c:pt>
                <c:pt idx="136">
                  <c:v>-45.25056125681931</c:v>
                </c:pt>
                <c:pt idx="137">
                  <c:v>-44.770613127187062</c:v>
                </c:pt>
                <c:pt idx="138">
                  <c:v>-44.261600400507177</c:v>
                </c:pt>
                <c:pt idx="139">
                  <c:v>-43.733501557541331</c:v>
                </c:pt>
                <c:pt idx="140">
                  <c:v>-43.230482047168607</c:v>
                </c:pt>
                <c:pt idx="141">
                  <c:v>-42.66418490542037</c:v>
                </c:pt>
                <c:pt idx="142">
                  <c:v>-42.088736987372158</c:v>
                </c:pt>
                <c:pt idx="143">
                  <c:v>-41.484116676506346</c:v>
                </c:pt>
                <c:pt idx="144">
                  <c:v>-40.894643862570319</c:v>
                </c:pt>
                <c:pt idx="145">
                  <c:v>-40.261652582033548</c:v>
                </c:pt>
                <c:pt idx="146">
                  <c:v>-39.599423956375176</c:v>
                </c:pt>
                <c:pt idx="147">
                  <c:v>-38.927936271364615</c:v>
                </c:pt>
                <c:pt idx="148">
                  <c:v>-38.261664555754578</c:v>
                </c:pt>
                <c:pt idx="149">
                  <c:v>-37.541632449646841</c:v>
                </c:pt>
                <c:pt idx="150">
                  <c:v>-36.812276038273922</c:v>
                </c:pt>
                <c:pt idx="151">
                  <c:v>-36.053573509252601</c:v>
                </c:pt>
                <c:pt idx="152">
                  <c:v>-35.275503025572107</c:v>
                </c:pt>
                <c:pt idx="153">
                  <c:v>-34.522734546005722</c:v>
                </c:pt>
                <c:pt idx="154">
                  <c:v>-33.705901701892344</c:v>
                </c:pt>
                <c:pt idx="155">
                  <c:v>-32.869635288289828</c:v>
                </c:pt>
                <c:pt idx="156">
                  <c:v>-32.023913369480852</c:v>
                </c:pt>
                <c:pt idx="157">
                  <c:v>-31.183562625688865</c:v>
                </c:pt>
                <c:pt idx="158">
                  <c:v>-30.298903125784818</c:v>
                </c:pt>
                <c:pt idx="159">
                  <c:v>-29.384722209242227</c:v>
                </c:pt>
                <c:pt idx="160">
                  <c:v>-28.450997841184289</c:v>
                </c:pt>
                <c:pt idx="161">
                  <c:v>-27.542714131715456</c:v>
                </c:pt>
                <c:pt idx="162">
                  <c:v>-26.569876169831787</c:v>
                </c:pt>
                <c:pt idx="163">
                  <c:v>-25.57742854705748</c:v>
                </c:pt>
                <c:pt idx="164">
                  <c:v>-24.575349128904236</c:v>
                </c:pt>
                <c:pt idx="165">
                  <c:v>-23.578780167015339</c:v>
                </c:pt>
                <c:pt idx="166">
                  <c:v>-22.527410346664055</c:v>
                </c:pt>
                <c:pt idx="167">
                  <c:v>-21.466342222271123</c:v>
                </c:pt>
                <c:pt idx="168">
                  <c:v>-20.375553559290893</c:v>
                </c:pt>
                <c:pt idx="169">
                  <c:v>-19.300345465756891</c:v>
                </c:pt>
                <c:pt idx="170">
                  <c:v>-18.180088792966671</c:v>
                </c:pt>
                <c:pt idx="171">
                  <c:v>-17.030044772277506</c:v>
                </c:pt>
                <c:pt idx="172">
                  <c:v>-15.895634104945202</c:v>
                </c:pt>
                <c:pt idx="173">
                  <c:v>-14.715988364574059</c:v>
                </c:pt>
                <c:pt idx="174">
                  <c:v>-13.506488240660019</c:v>
                </c:pt>
                <c:pt idx="175">
                  <c:v>-12.277111322483506</c:v>
                </c:pt>
                <c:pt idx="176">
                  <c:v>-11.073438426386474</c:v>
                </c:pt>
                <c:pt idx="177">
                  <c:v>-9.8042807736401301</c:v>
                </c:pt>
                <c:pt idx="178">
                  <c:v>-8.5151789879569151</c:v>
                </c:pt>
                <c:pt idx="179">
                  <c:v>-7.2161105573140958</c:v>
                </c:pt>
                <c:pt idx="180">
                  <c:v>-5.9228171369263691</c:v>
                </c:pt>
                <c:pt idx="181">
                  <c:v>-4.573788147610685</c:v>
                </c:pt>
                <c:pt idx="182">
                  <c:v>-3.2147248702672186</c:v>
                </c:pt>
                <c:pt idx="183">
                  <c:v>-1.8256046911069461</c:v>
                </c:pt>
                <c:pt idx="184">
                  <c:v>-0.45233083126686324</c:v>
                </c:pt>
                <c:pt idx="185">
                  <c:v>0.96693054354273045</c:v>
                </c:pt>
                <c:pt idx="186">
                  <c:v>2.4163167690139744</c:v>
                </c:pt>
                <c:pt idx="187">
                  <c:v>3.8858505611478904</c:v>
                </c:pt>
                <c:pt idx="188">
                  <c:v>5.3294664025538623</c:v>
                </c:pt>
                <c:pt idx="189">
                  <c:v>6.8393228438621918</c:v>
                </c:pt>
                <c:pt idx="190">
                  <c:v>8.35939510784101</c:v>
                </c:pt>
                <c:pt idx="191">
                  <c:v>9.9097060131739454</c:v>
                </c:pt>
                <c:pt idx="192">
                  <c:v>11.444027012564675</c:v>
                </c:pt>
                <c:pt idx="193">
                  <c:v>13.024842840839483</c:v>
                </c:pt>
                <c:pt idx="194">
                  <c:v>14.635965875012971</c:v>
                </c:pt>
                <c:pt idx="195">
                  <c:v>16.267419036927549</c:v>
                </c:pt>
                <c:pt idx="196">
                  <c:v>17.909225274297569</c:v>
                </c:pt>
                <c:pt idx="197">
                  <c:v>19.544951194989153</c:v>
                </c:pt>
                <c:pt idx="198">
                  <c:v>21.237491379776657</c:v>
                </c:pt>
                <c:pt idx="199">
                  <c:v>22.940453592244467</c:v>
                </c:pt>
                <c:pt idx="200">
                  <c:v>24.637281011076993</c:v>
                </c:pt>
                <c:pt idx="201">
                  <c:v>26.391115169577006</c:v>
                </c:pt>
                <c:pt idx="202">
                  <c:v>28.155440541578173</c:v>
                </c:pt>
                <c:pt idx="203">
                  <c:v>29.95028025661486</c:v>
                </c:pt>
                <c:pt idx="204">
                  <c:v>31.728912242592287</c:v>
                </c:pt>
                <c:pt idx="205">
                  <c:v>33.564808660459676</c:v>
                </c:pt>
                <c:pt idx="206">
                  <c:v>35.411288919931394</c:v>
                </c:pt>
                <c:pt idx="207">
                  <c:v>37.288376255101412</c:v>
                </c:pt>
                <c:pt idx="208">
                  <c:v>39.149182596090213</c:v>
                </c:pt>
                <c:pt idx="209">
                  <c:v>41.067512226059534</c:v>
                </c:pt>
                <c:pt idx="210">
                  <c:v>42.996518744453169</c:v>
                </c:pt>
                <c:pt idx="211">
                  <c:v>44.919189111851665</c:v>
                </c:pt>
                <c:pt idx="212">
                  <c:v>46.899577645840964</c:v>
                </c:pt>
                <c:pt idx="213">
                  <c:v>48.900713117491705</c:v>
                </c:pt>
                <c:pt idx="214">
                  <c:v>50.912618944995302</c:v>
                </c:pt>
                <c:pt idx="215">
                  <c:v>52.918114775867252</c:v>
                </c:pt>
                <c:pt idx="216">
                  <c:v>54.981589681470723</c:v>
                </c:pt>
                <c:pt idx="217">
                  <c:v>57.055905308812726</c:v>
                </c:pt>
                <c:pt idx="218">
                  <c:v>59.161085181945055</c:v>
                </c:pt>
                <c:pt idx="219">
                  <c:v>61.249780878996717</c:v>
                </c:pt>
                <c:pt idx="220">
                  <c:v>62.685864937871884</c:v>
                </c:pt>
                <c:pt idx="221">
                  <c:v>63.419716249611611</c:v>
                </c:pt>
                <c:pt idx="222">
                  <c:v>64.181435429393332</c:v>
                </c:pt>
                <c:pt idx="223">
                  <c:v>64.998570738701801</c:v>
                </c:pt>
                <c:pt idx="224">
                  <c:v>65.833689495003</c:v>
                </c:pt>
                <c:pt idx="225">
                  <c:v>66.714418647740331</c:v>
                </c:pt>
                <c:pt idx="226">
                  <c:v>67.58559995129508</c:v>
                </c:pt>
                <c:pt idx="227">
                  <c:v>68.512508009786416</c:v>
                </c:pt>
                <c:pt idx="228">
                  <c:v>69.409827317419058</c:v>
                </c:pt>
                <c:pt idx="229">
                  <c:v>70.372989981955016</c:v>
                </c:pt>
                <c:pt idx="230">
                  <c:v>71.31652290837792</c:v>
                </c:pt>
                <c:pt idx="231">
                  <c:v>72.278171305195883</c:v>
                </c:pt>
                <c:pt idx="232">
                  <c:v>73.295838355773867</c:v>
                </c:pt>
                <c:pt idx="233">
                  <c:v>74.283814048888416</c:v>
                </c:pt>
                <c:pt idx="234">
                  <c:v>75.337925608490877</c:v>
                </c:pt>
                <c:pt idx="235">
                  <c:v>76.372304608682043</c:v>
                </c:pt>
                <c:pt idx="236">
                  <c:v>77.462936933344736</c:v>
                </c:pt>
                <c:pt idx="237">
                  <c:v>78.533795410436142</c:v>
                </c:pt>
                <c:pt idx="238">
                  <c:v>79.62290235056571</c:v>
                </c:pt>
                <c:pt idx="239">
                  <c:v>80.758439198951237</c:v>
                </c:pt>
                <c:pt idx="240">
                  <c:v>81.884140128039235</c:v>
                </c:pt>
                <c:pt idx="241">
                  <c:v>83.066389038619491</c:v>
                </c:pt>
                <c:pt idx="242">
                  <c:v>84.22876052546917</c:v>
                </c:pt>
                <c:pt idx="243">
                  <c:v>85.447798314104148</c:v>
                </c:pt>
                <c:pt idx="244">
                  <c:v>86.483468489101597</c:v>
                </c:pt>
                <c:pt idx="245">
                  <c:v>86.126398998279456</c:v>
                </c:pt>
                <c:pt idx="246">
                  <c:v>85.784588964902468</c:v>
                </c:pt>
                <c:pt idx="247">
                  <c:v>85.496524491858963</c:v>
                </c:pt>
                <c:pt idx="248">
                  <c:v>85.175313522699525</c:v>
                </c:pt>
                <c:pt idx="249">
                  <c:v>84.917950526657478</c:v>
                </c:pt>
                <c:pt idx="250">
                  <c:v>84.637396928583257</c:v>
                </c:pt>
                <c:pt idx="251">
                  <c:v>84.400793911550863</c:v>
                </c:pt>
                <c:pt idx="252">
                  <c:v>84.150956102535019</c:v>
                </c:pt>
                <c:pt idx="253">
                  <c:v>83.91647974587886</c:v>
                </c:pt>
                <c:pt idx="254">
                  <c:v>83.736108187335049</c:v>
                </c:pt>
                <c:pt idx="255">
                  <c:v>83.522435420443799</c:v>
                </c:pt>
                <c:pt idx="256">
                  <c:v>83.372970548980447</c:v>
                </c:pt>
                <c:pt idx="257">
                  <c:v>83.200160068444347</c:v>
                </c:pt>
                <c:pt idx="258">
                  <c:v>83.081660777100296</c:v>
                </c:pt>
                <c:pt idx="259">
                  <c:v>82.92977139136201</c:v>
                </c:pt>
                <c:pt idx="260">
                  <c:v>82.803346134627645</c:v>
                </c:pt>
                <c:pt idx="261">
                  <c:v>82.731387314958738</c:v>
                </c:pt>
                <c:pt idx="262">
                  <c:v>82.635971540597893</c:v>
                </c:pt>
                <c:pt idx="263">
                  <c:v>82.595125989718326</c:v>
                </c:pt>
                <c:pt idx="264">
                  <c:v>82.530778786648625</c:v>
                </c:pt>
                <c:pt idx="265">
                  <c:v>82.481969467911767</c:v>
                </c:pt>
                <c:pt idx="266">
                  <c:v>82.477886360979028</c:v>
                </c:pt>
                <c:pt idx="267">
                  <c:v>82.46023442267051</c:v>
                </c:pt>
                <c:pt idx="268">
                  <c:v>82.458164783551183</c:v>
                </c:pt>
                <c:pt idx="269">
                  <c:v>82.471692264942249</c:v>
                </c:pt>
                <c:pt idx="270">
                  <c:v>82.461508899222281</c:v>
                </c:pt>
                <c:pt idx="271">
                  <c:v>82.466877623618529</c:v>
                </c:pt>
                <c:pt idx="272">
                  <c:v>82.527210659579396</c:v>
                </c:pt>
                <c:pt idx="273">
                  <c:v>82.583765233512167</c:v>
                </c:pt>
                <c:pt idx="274">
                  <c:v>82.616443979345604</c:v>
                </c:pt>
                <c:pt idx="275">
                  <c:v>82.704168776115694</c:v>
                </c:pt>
                <c:pt idx="276">
                  <c:v>82.817519589075346</c:v>
                </c:pt>
                <c:pt idx="277">
                  <c:v>82.896926597466518</c:v>
                </c:pt>
                <c:pt idx="278">
                  <c:v>83.041536377488228</c:v>
                </c:pt>
                <c:pt idx="279">
                  <c:v>83.182156945993484</c:v>
                </c:pt>
                <c:pt idx="280">
                  <c:v>83.338690545580903</c:v>
                </c:pt>
                <c:pt idx="281">
                  <c:v>83.500774056170485</c:v>
                </c:pt>
                <c:pt idx="282">
                  <c:v>83.678422162077368</c:v>
                </c:pt>
                <c:pt idx="283">
                  <c:v>83.921459298190712</c:v>
                </c:pt>
                <c:pt idx="284">
                  <c:v>84.130318296841324</c:v>
                </c:pt>
                <c:pt idx="285">
                  <c:v>84.354901102893564</c:v>
                </c:pt>
                <c:pt idx="286">
                  <c:v>84.615032177183821</c:v>
                </c:pt>
                <c:pt idx="287">
                  <c:v>84.860766115094521</c:v>
                </c:pt>
                <c:pt idx="288">
                  <c:v>85.152000037082871</c:v>
                </c:pt>
                <c:pt idx="289">
                  <c:v>85.468826175349932</c:v>
                </c:pt>
                <c:pt idx="290">
                  <c:v>85.751186217382383</c:v>
                </c:pt>
                <c:pt idx="291">
                  <c:v>86.08909245614268</c:v>
                </c:pt>
                <c:pt idx="292">
                  <c:v>86.392263062857637</c:v>
                </c:pt>
                <c:pt idx="293">
                  <c:v>86.550116571801482</c:v>
                </c:pt>
                <c:pt idx="294">
                  <c:v>86.713110183450226</c:v>
                </c:pt>
                <c:pt idx="295">
                  <c:v>86.901257919381351</c:v>
                </c:pt>
                <c:pt idx="296">
                  <c:v>87.104573814161995</c:v>
                </c:pt>
                <c:pt idx="297">
                  <c:v>87.282403332781541</c:v>
                </c:pt>
                <c:pt idx="298">
                  <c:v>87.514908743444721</c:v>
                </c:pt>
                <c:pt idx="299">
                  <c:v>87.752400919571301</c:v>
                </c:pt>
                <c:pt idx="300">
                  <c:v>88.014893638381182</c:v>
                </c:pt>
                <c:pt idx="301">
                  <c:v>88.282400689752649</c:v>
                </c:pt>
                <c:pt idx="302">
                  <c:v>88.574935876247764</c:v>
                </c:pt>
                <c:pt idx="303">
                  <c:v>88.871955874280502</c:v>
                </c:pt>
                <c:pt idx="304">
                  <c:v>89.162174738130489</c:v>
                </c:pt>
                <c:pt idx="305">
                  <c:v>89.517797123432501</c:v>
                </c:pt>
                <c:pt idx="306">
                  <c:v>89.837611454659964</c:v>
                </c:pt>
                <c:pt idx="307">
                  <c:v>90.182225243199355</c:v>
                </c:pt>
                <c:pt idx="308">
                  <c:v>90.582394099831617</c:v>
                </c:pt>
                <c:pt idx="309">
                  <c:v>90.966684308971708</c:v>
                </c:pt>
                <c:pt idx="310">
                  <c:v>91.363365714868451</c:v>
                </c:pt>
                <c:pt idx="311">
                  <c:v>91.73382556739034</c:v>
                </c:pt>
                <c:pt idx="312">
                  <c:v>92.169746045306965</c:v>
                </c:pt>
                <c:pt idx="313">
                  <c:v>92.610324316248807</c:v>
                </c:pt>
                <c:pt idx="314">
                  <c:v>93.065573621433032</c:v>
                </c:pt>
                <c:pt idx="315">
                  <c:v>93.535507214035533</c:v>
                </c:pt>
                <c:pt idx="316">
                  <c:v>94.007025547386547</c:v>
                </c:pt>
                <c:pt idx="317">
                  <c:v>94.359810776657469</c:v>
                </c:pt>
                <c:pt idx="318">
                  <c:v>94.151340040995819</c:v>
                </c:pt>
                <c:pt idx="319">
                  <c:v>93.915013945420469</c:v>
                </c:pt>
                <c:pt idx="320">
                  <c:v>93.701917820766539</c:v>
                </c:pt>
                <c:pt idx="321">
                  <c:v>93.533277845555858</c:v>
                </c:pt>
                <c:pt idx="322">
                  <c:v>93.366710890635659</c:v>
                </c:pt>
                <c:pt idx="323">
                  <c:v>93.172122509990913</c:v>
                </c:pt>
                <c:pt idx="324">
                  <c:v>93.042059555130436</c:v>
                </c:pt>
                <c:pt idx="325">
                  <c:v>92.915283262726007</c:v>
                </c:pt>
                <c:pt idx="326">
                  <c:v>92.76041362561682</c:v>
                </c:pt>
                <c:pt idx="327">
                  <c:v>92.67020935767323</c:v>
                </c:pt>
                <c:pt idx="328">
                  <c:v>92.570401676658548</c:v>
                </c:pt>
                <c:pt idx="329">
                  <c:v>92.503784641573475</c:v>
                </c:pt>
                <c:pt idx="330">
                  <c:v>92.408836932583654</c:v>
                </c:pt>
                <c:pt idx="331">
                  <c:v>92.378599530437896</c:v>
                </c:pt>
                <c:pt idx="332">
                  <c:v>92.309983279673361</c:v>
                </c:pt>
                <c:pt idx="333">
                  <c:v>92.296170367540981</c:v>
                </c:pt>
                <c:pt idx="334">
                  <c:v>92.268909180916125</c:v>
                </c:pt>
                <c:pt idx="335">
                  <c:v>92.26291525970646</c:v>
                </c:pt>
                <c:pt idx="336">
                  <c:v>92.269838012926812</c:v>
                </c:pt>
                <c:pt idx="337">
                  <c:v>92.289688285638476</c:v>
                </c:pt>
                <c:pt idx="338">
                  <c:v>92.364290696236822</c:v>
                </c:pt>
                <c:pt idx="339">
                  <c:v>92.410063687098955</c:v>
                </c:pt>
                <c:pt idx="340">
                  <c:v>92.463145076145338</c:v>
                </c:pt>
                <c:pt idx="341">
                  <c:v>92.515150233705754</c:v>
                </c:pt>
                <c:pt idx="342">
                  <c:v>92.631740869045643</c:v>
                </c:pt>
                <c:pt idx="343">
                  <c:v>92.709055739114774</c:v>
                </c:pt>
                <c:pt idx="344">
                  <c:v>92.514866584224364</c:v>
                </c:pt>
                <c:pt idx="345">
                  <c:v>91.692025366187409</c:v>
                </c:pt>
                <c:pt idx="346">
                  <c:v>90.888284340919199</c:v>
                </c:pt>
                <c:pt idx="347">
                  <c:v>90.12567431401385</c:v>
                </c:pt>
                <c:pt idx="348">
                  <c:v>89.342051177055509</c:v>
                </c:pt>
                <c:pt idx="349">
                  <c:v>88.61169635704664</c:v>
                </c:pt>
                <c:pt idx="350">
                  <c:v>87.840280353962953</c:v>
                </c:pt>
                <c:pt idx="351">
                  <c:v>87.132215238364552</c:v>
                </c:pt>
                <c:pt idx="352">
                  <c:v>86.385324319042411</c:v>
                </c:pt>
                <c:pt idx="353">
                  <c:v>85.641932696001277</c:v>
                </c:pt>
                <c:pt idx="354">
                  <c:v>84.952147832402261</c:v>
                </c:pt>
                <c:pt idx="355">
                  <c:v>84.273695038384176</c:v>
                </c:pt>
                <c:pt idx="356">
                  <c:v>83.564167574849307</c:v>
                </c:pt>
                <c:pt idx="357">
                  <c:v>82.908372356132531</c:v>
                </c:pt>
                <c:pt idx="358">
                  <c:v>82.243935733672515</c:v>
                </c:pt>
                <c:pt idx="359">
                  <c:v>81.573381540352784</c:v>
                </c:pt>
                <c:pt idx="360">
                  <c:v>80.956818478423884</c:v>
                </c:pt>
                <c:pt idx="361">
                  <c:v>80.309192123457251</c:v>
                </c:pt>
                <c:pt idx="362">
                  <c:v>79.673026503811343</c:v>
                </c:pt>
                <c:pt idx="363">
                  <c:v>79.090979016135861</c:v>
                </c:pt>
                <c:pt idx="364">
                  <c:v>78.477795166822034</c:v>
                </c:pt>
                <c:pt idx="365">
                  <c:v>77.886099011333499</c:v>
                </c:pt>
                <c:pt idx="366">
                  <c:v>77.338648287122851</c:v>
                </c:pt>
                <c:pt idx="367">
                  <c:v>76.759987960809667</c:v>
                </c:pt>
                <c:pt idx="368">
                  <c:v>76.19284235023315</c:v>
                </c:pt>
                <c:pt idx="369">
                  <c:v>75.680069769683541</c:v>
                </c:pt>
                <c:pt idx="370">
                  <c:v>75.146014174280936</c:v>
                </c:pt>
                <c:pt idx="371">
                  <c:v>74.620583975071895</c:v>
                </c:pt>
                <c:pt idx="372">
                  <c:v>74.116637526433806</c:v>
                </c:pt>
                <c:pt idx="373">
                  <c:v>73.184354987521147</c:v>
                </c:pt>
                <c:pt idx="374">
                  <c:v>70.112287393334555</c:v>
                </c:pt>
                <c:pt idx="375">
                  <c:v>67.058054377875123</c:v>
                </c:pt>
                <c:pt idx="376">
                  <c:v>64.044726504890605</c:v>
                </c:pt>
                <c:pt idx="377">
                  <c:v>61.000019114275347</c:v>
                </c:pt>
                <c:pt idx="378">
                  <c:v>57.996171570016486</c:v>
                </c:pt>
                <c:pt idx="379">
                  <c:v>55.010123353621566</c:v>
                </c:pt>
                <c:pt idx="380">
                  <c:v>51.978703419084013</c:v>
                </c:pt>
                <c:pt idx="381">
                  <c:v>49.008241172111411</c:v>
                </c:pt>
                <c:pt idx="382">
                  <c:v>46.035593256894572</c:v>
                </c:pt>
                <c:pt idx="383">
                  <c:v>43.087505577487718</c:v>
                </c:pt>
                <c:pt idx="384">
                  <c:v>40.103900181603422</c:v>
                </c:pt>
                <c:pt idx="385">
                  <c:v>37.171327697102242</c:v>
                </c:pt>
                <c:pt idx="386">
                  <c:v>34.246534082794824</c:v>
                </c:pt>
                <c:pt idx="387">
                  <c:v>31.286154667913252</c:v>
                </c:pt>
                <c:pt idx="388">
                  <c:v>28.376905989669467</c:v>
                </c:pt>
                <c:pt idx="389">
                  <c:v>25.47545109298153</c:v>
                </c:pt>
                <c:pt idx="390">
                  <c:v>22.528342181106382</c:v>
                </c:pt>
                <c:pt idx="391">
                  <c:v>19.642462018651713</c:v>
                </c:pt>
                <c:pt idx="392">
                  <c:v>16.764390577690392</c:v>
                </c:pt>
                <c:pt idx="393">
                  <c:v>13.850596776173006</c:v>
                </c:pt>
                <c:pt idx="394">
                  <c:v>10.988129924739042</c:v>
                </c:pt>
                <c:pt idx="395">
                  <c:v>8.1234867633747854</c:v>
                </c:pt>
                <c:pt idx="396">
                  <c:v>5.2566722939227475</c:v>
                </c:pt>
                <c:pt idx="397">
                  <c:v>2.4076915214081964</c:v>
                </c:pt>
                <c:pt idx="398">
                  <c:v>-0.44345054593031819</c:v>
                </c:pt>
                <c:pt idx="399">
                  <c:v>-3.2767488966619567</c:v>
                </c:pt>
                <c:pt idx="400">
                  <c:v>-6.1121985161425982</c:v>
                </c:pt>
                <c:pt idx="401">
                  <c:v>-8.9397943865305933</c:v>
                </c:pt>
                <c:pt idx="402">
                  <c:v>-11.769531486776032</c:v>
                </c:pt>
                <c:pt idx="403">
                  <c:v>-14.581404792612375</c:v>
                </c:pt>
                <c:pt idx="404">
                  <c:v>-17.39540927656526</c:v>
                </c:pt>
                <c:pt idx="405">
                  <c:v>-20.157668655308044</c:v>
                </c:pt>
                <c:pt idx="406">
                  <c:v>-22.955892352478259</c:v>
                </c:pt>
                <c:pt idx="407">
                  <c:v>-25.756232108116819</c:v>
                </c:pt>
                <c:pt idx="408">
                  <c:v>-28.524727332242037</c:v>
                </c:pt>
                <c:pt idx="409">
                  <c:v>-30.395576193515808</c:v>
                </c:pt>
                <c:pt idx="410">
                  <c:v>-31.739101252511318</c:v>
                </c:pt>
                <c:pt idx="411">
                  <c:v>-33.018706735662818</c:v>
                </c:pt>
                <c:pt idx="412">
                  <c:v>-34.342451569171317</c:v>
                </c:pt>
                <c:pt idx="413">
                  <c:v>-35.646311419202902</c:v>
                </c:pt>
                <c:pt idx="414">
                  <c:v>-36.886135923232359</c:v>
                </c:pt>
                <c:pt idx="415">
                  <c:v>-38.160173077862964</c:v>
                </c:pt>
                <c:pt idx="416">
                  <c:v>-39.424304025072161</c:v>
                </c:pt>
                <c:pt idx="417">
                  <c:v>-40.688521687607135</c:v>
                </c:pt>
                <c:pt idx="418">
                  <c:v>-41.932818983156722</c:v>
                </c:pt>
                <c:pt idx="419">
                  <c:v>-43.14718882435227</c:v>
                </c:pt>
                <c:pt idx="420">
                  <c:v>-44.375956980265073</c:v>
                </c:pt>
                <c:pt idx="421">
                  <c:v>-45.55048230293869</c:v>
                </c:pt>
                <c:pt idx="422">
                  <c:v>-46.759455029655328</c:v>
                </c:pt>
                <c:pt idx="423">
                  <c:v>-47.958535258980191</c:v>
                </c:pt>
                <c:pt idx="424">
                  <c:v>-49.147715945964592</c:v>
                </c:pt>
                <c:pt idx="425">
                  <c:v>-50.302498994678899</c:v>
                </c:pt>
                <c:pt idx="426">
                  <c:v>-51.487304926235083</c:v>
                </c:pt>
                <c:pt idx="427">
                  <c:v>-52.607571871567416</c:v>
                </c:pt>
                <c:pt idx="428">
                  <c:v>-53.772370348903678</c:v>
                </c:pt>
                <c:pt idx="429">
                  <c:v>-54.872551759788621</c:v>
                </c:pt>
                <c:pt idx="430">
                  <c:v>-56.017314139416158</c:v>
                </c:pt>
                <c:pt idx="431">
                  <c:v>-57.117381260592083</c:v>
                </c:pt>
                <c:pt idx="432">
                  <c:v>-58.207935265317246</c:v>
                </c:pt>
                <c:pt idx="433">
                  <c:v>-59.343016377876666</c:v>
                </c:pt>
                <c:pt idx="434">
                  <c:v>-60.413155734638167</c:v>
                </c:pt>
                <c:pt idx="435">
                  <c:v>-61.473060591842113</c:v>
                </c:pt>
                <c:pt idx="436">
                  <c:v>-62.577567240564349</c:v>
                </c:pt>
                <c:pt idx="437">
                  <c:v>-63.617013292004231</c:v>
                </c:pt>
                <c:pt idx="438">
                  <c:v>-64.67620270621228</c:v>
                </c:pt>
                <c:pt idx="439">
                  <c:v>-65.725128085537108</c:v>
                </c:pt>
                <c:pt idx="440">
                  <c:v>-66.763782027006528</c:v>
                </c:pt>
                <c:pt idx="441">
                  <c:v>-67.027047581336774</c:v>
                </c:pt>
                <c:pt idx="442">
                  <c:v>-67.143768581698168</c:v>
                </c:pt>
                <c:pt idx="443">
                  <c:v>-67.238855062815674</c:v>
                </c:pt>
                <c:pt idx="444">
                  <c:v>-67.362298103615103</c:v>
                </c:pt>
                <c:pt idx="445">
                  <c:v>-67.418943210032921</c:v>
                </c:pt>
                <c:pt idx="446">
                  <c:v>-67.519037963006667</c:v>
                </c:pt>
                <c:pt idx="447">
                  <c:v>-67.59746244481812</c:v>
                </c:pt>
                <c:pt idx="448">
                  <c:v>-67.628958108525694</c:v>
                </c:pt>
                <c:pt idx="449">
                  <c:v>-67.683980499311474</c:v>
                </c:pt>
                <c:pt idx="450">
                  <c:v>-67.7019866054452</c:v>
                </c:pt>
                <c:pt idx="451">
                  <c:v>-67.753570949777895</c:v>
                </c:pt>
                <c:pt idx="452">
                  <c:v>-67.738051408518913</c:v>
                </c:pt>
                <c:pt idx="453">
                  <c:v>-67.766161695720257</c:v>
                </c:pt>
                <c:pt idx="454">
                  <c:v>-67.737080361808694</c:v>
                </c:pt>
                <c:pt idx="455">
                  <c:v>-67.696187079737683</c:v>
                </c:pt>
                <c:pt idx="456">
                  <c:v>-67.684529527979066</c:v>
                </c:pt>
                <c:pt idx="457">
                  <c:v>-67.615618357577659</c:v>
                </c:pt>
                <c:pt idx="458">
                  <c:v>-67.57053606991667</c:v>
                </c:pt>
                <c:pt idx="459">
                  <c:v>-67.478112458870783</c:v>
                </c:pt>
                <c:pt idx="460">
                  <c:v>-67.419569551803761</c:v>
                </c:pt>
                <c:pt idx="461">
                  <c:v>-67.293597482261248</c:v>
                </c:pt>
                <c:pt idx="462">
                  <c:v>-67.181558017314273</c:v>
                </c:pt>
                <c:pt idx="463">
                  <c:v>-67.093547004883476</c:v>
                </c:pt>
                <c:pt idx="464">
                  <c:v>-66.938044975197954</c:v>
                </c:pt>
                <c:pt idx="465">
                  <c:v>-66.826623369955087</c:v>
                </c:pt>
                <c:pt idx="466">
                  <c:v>-66.657622940975671</c:v>
                </c:pt>
                <c:pt idx="467">
                  <c:v>-66.466842320547585</c:v>
                </c:pt>
                <c:pt idx="468">
                  <c:v>-66.320220270162281</c:v>
                </c:pt>
                <c:pt idx="469">
                  <c:v>-66.10588736916543</c:v>
                </c:pt>
                <c:pt idx="470">
                  <c:v>-66.073818412399305</c:v>
                </c:pt>
                <c:pt idx="471">
                  <c:v>-66.720986296755655</c:v>
                </c:pt>
                <c:pt idx="472">
                  <c:v>-67.393712966420026</c:v>
                </c:pt>
                <c:pt idx="473">
                  <c:v>-68.065973271854091</c:v>
                </c:pt>
                <c:pt idx="474">
                  <c:v>-68.727759687976686</c:v>
                </c:pt>
                <c:pt idx="475">
                  <c:v>-69.369064684282421</c:v>
                </c:pt>
                <c:pt idx="476">
                  <c:v>-70.009880724863251</c:v>
                </c:pt>
                <c:pt idx="477">
                  <c:v>-70.640200268381705</c:v>
                </c:pt>
                <c:pt idx="478">
                  <c:v>-71.250015768083358</c:v>
                </c:pt>
                <c:pt idx="479">
                  <c:v>-71.859319671796584</c:v>
                </c:pt>
                <c:pt idx="480">
                  <c:v>-72.448104421899188</c:v>
                </c:pt>
                <c:pt idx="481">
                  <c:v>-73.016362455357012</c:v>
                </c:pt>
                <c:pt idx="482">
                  <c:v>-73.584086203690276</c:v>
                </c:pt>
                <c:pt idx="483">
                  <c:v>-74.131268092965001</c:v>
                </c:pt>
                <c:pt idx="484">
                  <c:v>-74.667900543820906</c:v>
                </c:pt>
                <c:pt idx="485">
                  <c:v>-75.240492392002125</c:v>
                </c:pt>
                <c:pt idx="486">
                  <c:v>-75.766036650412389</c:v>
                </c:pt>
                <c:pt idx="487">
                  <c:v>-76.271008723630075</c:v>
                </c:pt>
                <c:pt idx="488">
                  <c:v>-76.76540101048522</c:v>
                </c:pt>
                <c:pt idx="489">
                  <c:v>-77.259205904336341</c:v>
                </c:pt>
                <c:pt idx="490">
                  <c:v>-77.732415793084328</c:v>
                </c:pt>
                <c:pt idx="491">
                  <c:v>-78.241740400272647</c:v>
                </c:pt>
                <c:pt idx="492">
                  <c:v>-78.693771009348893</c:v>
                </c:pt>
                <c:pt idx="493">
                  <c:v>-79.161968204677578</c:v>
                </c:pt>
                <c:pt idx="494">
                  <c:v>-79.562789116481326</c:v>
                </c:pt>
                <c:pt idx="495">
                  <c:v>-80.009828556850152</c:v>
                </c:pt>
                <c:pt idx="496">
                  <c:v>-80.436294516775888</c:v>
                </c:pt>
                <c:pt idx="497">
                  <c:v>-80.815260608826065</c:v>
                </c:pt>
                <c:pt idx="498">
                  <c:v>-81.220523241521732</c:v>
                </c:pt>
                <c:pt idx="499">
                  <c:v>-81.612175706409289</c:v>
                </c:pt>
                <c:pt idx="500">
                  <c:v>-81.993291565117943</c:v>
                </c:pt>
                <c:pt idx="501">
                  <c:v>-82.373863290021291</c:v>
                </c:pt>
                <c:pt idx="502">
                  <c:v>-82.592622436678539</c:v>
                </c:pt>
                <c:pt idx="503">
                  <c:v>-82.659255811535331</c:v>
                </c:pt>
                <c:pt idx="504">
                  <c:v>-82.714914529752605</c:v>
                </c:pt>
                <c:pt idx="505">
                  <c:v>-82.749590600875308</c:v>
                </c:pt>
                <c:pt idx="506">
                  <c:v>-82.773276028625332</c:v>
                </c:pt>
                <c:pt idx="507">
                  <c:v>-82.775962810909732</c:v>
                </c:pt>
                <c:pt idx="508">
                  <c:v>-82.777642939805446</c:v>
                </c:pt>
                <c:pt idx="509">
                  <c:v>-82.815635986936286</c:v>
                </c:pt>
                <c:pt idx="510">
                  <c:v>-82.795313220349271</c:v>
                </c:pt>
                <c:pt idx="511">
                  <c:v>-82.733959766695989</c:v>
                </c:pt>
                <c:pt idx="512">
                  <c:v>-82.708998522683032</c:v>
                </c:pt>
                <c:pt idx="513">
                  <c:v>-82.673059482566714</c:v>
                </c:pt>
                <c:pt idx="514">
                  <c:v>-82.626134678585913</c:v>
                </c:pt>
                <c:pt idx="515">
                  <c:v>-82.568216137205127</c:v>
                </c:pt>
                <c:pt idx="516">
                  <c:v>-82.451727098424271</c:v>
                </c:pt>
                <c:pt idx="517">
                  <c:v>-82.389365919137163</c:v>
                </c:pt>
                <c:pt idx="518">
                  <c:v>-82.24841826642205</c:v>
                </c:pt>
                <c:pt idx="519">
                  <c:v>-82.154117248862349</c:v>
                </c:pt>
                <c:pt idx="520">
                  <c:v>-82.048851632580408</c:v>
                </c:pt>
                <c:pt idx="521">
                  <c:v>-81.884872149996227</c:v>
                </c:pt>
                <c:pt idx="522">
                  <c:v>-81.747618988551039</c:v>
                </c:pt>
                <c:pt idx="523">
                  <c:v>-81.589377386490014</c:v>
                </c:pt>
                <c:pt idx="524">
                  <c:v>-81.410139393359714</c:v>
                </c:pt>
                <c:pt idx="525">
                  <c:v>-81.26777670654883</c:v>
                </c:pt>
                <c:pt idx="526">
                  <c:v>-81.066556699215653</c:v>
                </c:pt>
                <c:pt idx="527">
                  <c:v>-80.854316439923423</c:v>
                </c:pt>
                <c:pt idx="528">
                  <c:v>-80.63104795518484</c:v>
                </c:pt>
                <c:pt idx="529">
                  <c:v>-80.434761530163087</c:v>
                </c:pt>
                <c:pt idx="530">
                  <c:v>-80.169447393658629</c:v>
                </c:pt>
                <c:pt idx="531">
                  <c:v>-79.951168767298441</c:v>
                </c:pt>
                <c:pt idx="532">
                  <c:v>-79.663777116305937</c:v>
                </c:pt>
                <c:pt idx="533">
                  <c:v>-79.471631560565584</c:v>
                </c:pt>
                <c:pt idx="534">
                  <c:v>-79.499505564170249</c:v>
                </c:pt>
                <c:pt idx="535">
                  <c:v>-79.546778244226516</c:v>
                </c:pt>
                <c:pt idx="536">
                  <c:v>-79.535182741936296</c:v>
                </c:pt>
                <c:pt idx="537">
                  <c:v>-79.56119611693066</c:v>
                </c:pt>
                <c:pt idx="538">
                  <c:v>-79.538257835993136</c:v>
                </c:pt>
                <c:pt idx="539">
                  <c:v>-79.542981760774637</c:v>
                </c:pt>
                <c:pt idx="540">
                  <c:v>-79.488670437678593</c:v>
                </c:pt>
                <c:pt idx="541">
                  <c:v>-79.482074724344784</c:v>
                </c:pt>
                <c:pt idx="542">
                  <c:v>-79.406360052656964</c:v>
                </c:pt>
                <c:pt idx="543">
                  <c:v>-79.36841447050756</c:v>
                </c:pt>
                <c:pt idx="544">
                  <c:v>-79.281266100837456</c:v>
                </c:pt>
                <c:pt idx="545">
                  <c:v>-79.221940376299244</c:v>
                </c:pt>
                <c:pt idx="546">
                  <c:v>-79.103327916194758</c:v>
                </c:pt>
                <c:pt idx="547">
                  <c:v>-79.022591732778892</c:v>
                </c:pt>
                <c:pt idx="548">
                  <c:v>-78.901156145513596</c:v>
                </c:pt>
                <c:pt idx="549">
                  <c:v>-78.827719311320834</c:v>
                </c:pt>
                <c:pt idx="550">
                  <c:v>-78.684896662443862</c:v>
                </c:pt>
                <c:pt idx="551">
                  <c:v>-78.54135190539273</c:v>
                </c:pt>
                <c:pt idx="552">
                  <c:v>-78.377077453227685</c:v>
                </c:pt>
                <c:pt idx="553">
                  <c:v>-78.202065713638149</c:v>
                </c:pt>
                <c:pt idx="554">
                  <c:v>-78.045187270005044</c:v>
                </c:pt>
                <c:pt idx="555">
                  <c:v>-73.513963343046271</c:v>
                </c:pt>
                <c:pt idx="556">
                  <c:v>-68.877090926163874</c:v>
                </c:pt>
                <c:pt idx="557">
                  <c:v>-64.212309721800921</c:v>
                </c:pt>
                <c:pt idx="558">
                  <c:v>-59.539603388848263</c:v>
                </c:pt>
                <c:pt idx="559">
                  <c:v>-54.838955571305632</c:v>
                </c:pt>
                <c:pt idx="560">
                  <c:v>-50.129495952227444</c:v>
                </c:pt>
                <c:pt idx="561">
                  <c:v>-45.402151667738508</c:v>
                </c:pt>
                <c:pt idx="562">
                  <c:v>-40.656906439478917</c:v>
                </c:pt>
                <c:pt idx="563">
                  <c:v>-35.903743974242389</c:v>
                </c:pt>
                <c:pt idx="564">
                  <c:v>-31.122647964017233</c:v>
                </c:pt>
                <c:pt idx="565">
                  <c:v>-26.323602085934908</c:v>
                </c:pt>
                <c:pt idx="566">
                  <c:v>-22.24780238229323</c:v>
                </c:pt>
                <c:pt idx="567">
                  <c:v>-18.204800640314716</c:v>
                </c:pt>
                <c:pt idx="568">
                  <c:v>-14.204711906288139</c:v>
                </c:pt>
                <c:pt idx="569">
                  <c:v>-10.128565641951354</c:v>
                </c:pt>
                <c:pt idx="570">
                  <c:v>-6.0853898520344956</c:v>
                </c:pt>
                <c:pt idx="571">
                  <c:v>-3.6137481240384659</c:v>
                </c:pt>
                <c:pt idx="572">
                  <c:v>-3.8599596960666531</c:v>
                </c:pt>
                <c:pt idx="573">
                  <c:v>-4.0365156216375908</c:v>
                </c:pt>
                <c:pt idx="574">
                  <c:v>-4.262761123236487</c:v>
                </c:pt>
                <c:pt idx="575">
                  <c:v>-4.4292701925660367</c:v>
                </c:pt>
                <c:pt idx="576">
                  <c:v>-4.6255225856348261</c:v>
                </c:pt>
                <c:pt idx="577">
                  <c:v>-4.8217850973851455</c:v>
                </c:pt>
                <c:pt idx="578">
                  <c:v>-4.9881898610565258</c:v>
                </c:pt>
                <c:pt idx="579">
                  <c:v>-5.1046287025783386</c:v>
                </c:pt>
                <c:pt idx="580">
                  <c:v>-5.2608510366098926</c:v>
                </c:pt>
                <c:pt idx="581">
                  <c:v>-5.4069888006742985</c:v>
                </c:pt>
                <c:pt idx="582">
                  <c:v>-5.5430351573395455</c:v>
                </c:pt>
                <c:pt idx="583">
                  <c:v>-5.6689832645242859</c:v>
                </c:pt>
                <c:pt idx="584">
                  <c:v>-5.7547617493946746</c:v>
                </c:pt>
                <c:pt idx="585">
                  <c:v>-5.8403602842663531</c:v>
                </c:pt>
                <c:pt idx="586">
                  <c:v>-5.9157719438753702</c:v>
                </c:pt>
                <c:pt idx="587">
                  <c:v>-6.0311565684605739</c:v>
                </c:pt>
                <c:pt idx="588">
                  <c:v>-6.0762078105963155</c:v>
                </c:pt>
                <c:pt idx="589">
                  <c:v>-6.1210513965743303</c:v>
                </c:pt>
                <c:pt idx="590">
                  <c:v>-6.1756803822590882</c:v>
                </c:pt>
                <c:pt idx="591">
                  <c:v>-6.220087818805041</c:v>
                </c:pt>
                <c:pt idx="592">
                  <c:v>-6.2139291113289801</c:v>
                </c:pt>
                <c:pt idx="593">
                  <c:v>-6.2478383401485189</c:v>
                </c:pt>
                <c:pt idx="594">
                  <c:v>-6.2615051216089341</c:v>
                </c:pt>
                <c:pt idx="595">
                  <c:v>-6.224481930006732</c:v>
                </c:pt>
                <c:pt idx="596">
                  <c:v>-6.2376085946307285</c:v>
                </c:pt>
                <c:pt idx="597">
                  <c:v>-6.2099625468017621</c:v>
                </c:pt>
                <c:pt idx="598">
                  <c:v>-6.1619772921058029</c:v>
                </c:pt>
                <c:pt idx="599">
                  <c:v>-6.2553803257633263</c:v>
                </c:pt>
                <c:pt idx="600">
                  <c:v>-6.6016956392213615</c:v>
                </c:pt>
                <c:pt idx="601">
                  <c:v>-6.9788411721183365</c:v>
                </c:pt>
                <c:pt idx="602">
                  <c:v>-7.2648748646315653</c:v>
                </c:pt>
                <c:pt idx="603">
                  <c:v>-7.6017257310268178</c:v>
                </c:pt>
                <c:pt idx="604">
                  <c:v>-7.9287420622840727</c:v>
                </c:pt>
                <c:pt idx="605">
                  <c:v>-8.2559173248009756</c:v>
                </c:pt>
                <c:pt idx="606">
                  <c:v>-8.5124312299194571</c:v>
                </c:pt>
                <c:pt idx="607">
                  <c:v>-8.8098709783989761</c:v>
                </c:pt>
                <c:pt idx="608">
                  <c:v>-9.1056870820575568</c:v>
                </c:pt>
                <c:pt idx="609">
                  <c:v>-9.3478368573287298</c:v>
                </c:pt>
                <c:pt idx="610">
                  <c:v>-9.6306532194812462</c:v>
                </c:pt>
                <c:pt idx="611">
                  <c:v>-9.8522626589074207</c:v>
                </c:pt>
                <c:pt idx="612">
                  <c:v>-10.114593755995884</c:v>
                </c:pt>
                <c:pt idx="613">
                  <c:v>-10.315635043813018</c:v>
                </c:pt>
                <c:pt idx="614">
                  <c:v>-10.557453134651951</c:v>
                </c:pt>
                <c:pt idx="615">
                  <c:v>-10.737898417422912</c:v>
                </c:pt>
                <c:pt idx="616">
                  <c:v>-10.959175723250155</c:v>
                </c:pt>
                <c:pt idx="617">
                  <c:v>-11.118997109817428</c:v>
                </c:pt>
                <c:pt idx="618">
                  <c:v>-11.319705814257759</c:v>
                </c:pt>
                <c:pt idx="619">
                  <c:v>-11.458875375697971</c:v>
                </c:pt>
                <c:pt idx="620">
                  <c:v>-11.640283971320969</c:v>
                </c:pt>
                <c:pt idx="621">
                  <c:v>-11.775462399331445</c:v>
                </c:pt>
                <c:pt idx="622">
                  <c:v>-11.900618161225793</c:v>
                </c:pt>
                <c:pt idx="623">
                  <c:v>-12.015744575595818</c:v>
                </c:pt>
                <c:pt idx="624">
                  <c:v>-12.120834956573162</c:v>
                </c:pt>
                <c:pt idx="625">
                  <c:v>-12.215882613834765</c:v>
                </c:pt>
                <c:pt idx="626">
                  <c:v>-12.300880852599221</c:v>
                </c:pt>
                <c:pt idx="627">
                  <c:v>-12.415822973622198</c:v>
                </c:pt>
                <c:pt idx="628">
                  <c:v>-12.469131721887607</c:v>
                </c:pt>
                <c:pt idx="629">
                  <c:v>-12.512302066168559</c:v>
                </c:pt>
                <c:pt idx="630">
                  <c:v>-12.596966790919396</c:v>
                </c:pt>
                <c:pt idx="631">
                  <c:v>-12.619874519803489</c:v>
                </c:pt>
                <c:pt idx="632">
                  <c:v>-12.684332064911359</c:v>
                </c:pt>
                <c:pt idx="633">
                  <c:v>-12.745206964094905</c:v>
                </c:pt>
                <c:pt idx="634">
                  <c:v>-12.837618084467977</c:v>
                </c:pt>
                <c:pt idx="635">
                  <c:v>-12.971662455636761</c:v>
                </c:pt>
                <c:pt idx="636">
                  <c:v>-13.105590076464068</c:v>
                </c:pt>
                <c:pt idx="637">
                  <c:v>-13.167512710811934</c:v>
                </c:pt>
                <c:pt idx="638">
                  <c:v>-13.281152008303252</c:v>
                </c:pt>
                <c:pt idx="639">
                  <c:v>-13.340752558846361</c:v>
                </c:pt>
                <c:pt idx="640">
                  <c:v>-13.400070331445022</c:v>
                </c:pt>
                <c:pt idx="641">
                  <c:v>-13.501119107884733</c:v>
                </c:pt>
                <c:pt idx="642">
                  <c:v>-13.539885530497486</c:v>
                </c:pt>
                <c:pt idx="643">
                  <c:v>-13.568348479862834</c:v>
                </c:pt>
                <c:pt idx="644">
                  <c:v>-13.586501040472285</c:v>
                </c:pt>
                <c:pt idx="645">
                  <c:v>-13.61433629217936</c:v>
                </c:pt>
                <c:pt idx="646">
                  <c:v>-13.641847310191224</c:v>
                </c:pt>
                <c:pt idx="647">
                  <c:v>-13.596796637742955</c:v>
                </c:pt>
                <c:pt idx="648">
                  <c:v>-13.603603339199253</c:v>
                </c:pt>
                <c:pt idx="649">
                  <c:v>-13.590064981150135</c:v>
                </c:pt>
                <c:pt idx="650">
                  <c:v>-13.523838734628953</c:v>
                </c:pt>
                <c:pt idx="651">
                  <c:v>-13.497183164177841</c:v>
                </c:pt>
                <c:pt idx="652">
                  <c:v>-13.417684725554864</c:v>
                </c:pt>
                <c:pt idx="653">
                  <c:v>-13.39011413777007</c:v>
                </c:pt>
                <c:pt idx="654">
                  <c:v>-13.299615866117165</c:v>
                </c:pt>
                <c:pt idx="655">
                  <c:v>-13.188589321611289</c:v>
                </c:pt>
                <c:pt idx="656">
                  <c:v>-13.129575586066494</c:v>
                </c:pt>
                <c:pt idx="657">
                  <c:v>-12.994922951978879</c:v>
                </c:pt>
                <c:pt idx="658">
                  <c:v>-12.879649526796129</c:v>
                </c:pt>
                <c:pt idx="659">
                  <c:v>-12.743748109505759</c:v>
                </c:pt>
                <c:pt idx="660">
                  <c:v>-12.607211494236253</c:v>
                </c:pt>
                <c:pt idx="661">
                  <c:v>-12.460032470207807</c:v>
                </c:pt>
                <c:pt idx="662">
                  <c:v>-12.292203821765725</c:v>
                </c:pt>
                <c:pt idx="663">
                  <c:v>-12.120920226952876</c:v>
                </c:pt>
                <c:pt idx="664">
                  <c:v>-11.916066706906349</c:v>
                </c:pt>
                <c:pt idx="665">
                  <c:v>-11.76326829464233</c:v>
                </c:pt>
                <c:pt idx="666">
                  <c:v>-11.536813291484577</c:v>
                </c:pt>
                <c:pt idx="667">
                  <c:v>-11.309528449808568</c:v>
                </c:pt>
                <c:pt idx="668">
                  <c:v>-11.008427840153672</c:v>
                </c:pt>
                <c:pt idx="669">
                  <c:v>-10.696410160026062</c:v>
                </c:pt>
                <c:pt idx="670">
                  <c:v>-10.383467932990243</c:v>
                </c:pt>
                <c:pt idx="671">
                  <c:v>-10.04959367750962</c:v>
                </c:pt>
                <c:pt idx="672">
                  <c:v>-9.7147799069134635</c:v>
                </c:pt>
                <c:pt idx="673">
                  <c:v>-9.3590191294097167</c:v>
                </c:pt>
                <c:pt idx="674">
                  <c:v>-9.0555004488123814</c:v>
                </c:pt>
                <c:pt idx="675">
                  <c:v>-8.6646265608287649</c:v>
                </c:pt>
                <c:pt idx="676">
                  <c:v>-8.2894404214348469</c:v>
                </c:pt>
                <c:pt idx="677">
                  <c:v>-7.9031308472804085</c:v>
                </c:pt>
                <c:pt idx="678">
                  <c:v>-7.5056901699826994</c:v>
                </c:pt>
                <c:pt idx="679">
                  <c:v>-7.0971107158693485</c:v>
                </c:pt>
                <c:pt idx="680">
                  <c:v>-6.6673848059799639</c:v>
                </c:pt>
                <c:pt idx="681">
                  <c:v>-6.2030510329568642</c:v>
                </c:pt>
                <c:pt idx="682">
                  <c:v>-5.787481607776499</c:v>
                </c:pt>
                <c:pt idx="683">
                  <c:v>-5.3071409444564779</c:v>
                </c:pt>
                <c:pt idx="684">
                  <c:v>-4.8690398722610553</c:v>
                </c:pt>
                <c:pt idx="685">
                  <c:v>-4.3560777833063185</c:v>
                </c:pt>
                <c:pt idx="686">
                  <c:v>-3.84177462767002</c:v>
                </c:pt>
                <c:pt idx="687">
                  <c:v>-3.3697989633928955</c:v>
                </c:pt>
                <c:pt idx="688">
                  <c:v>-2.8328273071183503</c:v>
                </c:pt>
                <c:pt idx="689">
                  <c:v>-2.3282418118305941</c:v>
                </c:pt>
                <c:pt idx="690">
                  <c:v>-1.7685702343969751</c:v>
                </c:pt>
                <c:pt idx="691">
                  <c:v>-1.2513435688833852</c:v>
                </c:pt>
                <c:pt idx="692">
                  <c:v>-0.66894060619779339</c:v>
                </c:pt>
                <c:pt idx="693">
                  <c:v>-7.514144947163004E-2</c:v>
                </c:pt>
                <c:pt idx="694">
                  <c:v>0.49006180958895129</c:v>
                </c:pt>
                <c:pt idx="695">
                  <c:v>1.0666770847674343</c:v>
                </c:pt>
                <c:pt idx="696">
                  <c:v>1.708724644704489</c:v>
                </c:pt>
                <c:pt idx="697">
                  <c:v>2.3082251968844503</c:v>
                </c:pt>
                <c:pt idx="698">
                  <c:v>2.9732490267651883</c:v>
                </c:pt>
                <c:pt idx="699">
                  <c:v>3.5856666811960167</c:v>
                </c:pt>
                <c:pt idx="700">
                  <c:v>3.6779160545502236</c:v>
                </c:pt>
                <c:pt idx="701">
                  <c:v>3.5098985752811132</c:v>
                </c:pt>
                <c:pt idx="702">
                  <c:v>3.4064808405364602</c:v>
                </c:pt>
                <c:pt idx="703">
                  <c:v>3.2592395913725341</c:v>
                </c:pt>
                <c:pt idx="704">
                  <c:v>3.1123788539389352</c:v>
                </c:pt>
                <c:pt idx="705">
                  <c:v>3.0402459618308058</c:v>
                </c:pt>
                <c:pt idx="706">
                  <c:v>2.9285791157781205</c:v>
                </c:pt>
                <c:pt idx="707">
                  <c:v>2.8173852451218409</c:v>
                </c:pt>
                <c:pt idx="708">
                  <c:v>2.7611198965951189</c:v>
                </c:pt>
                <c:pt idx="709">
                  <c:v>2.6709288323690998</c:v>
                </c:pt>
                <c:pt idx="710">
                  <c:v>2.6457524421257403</c:v>
                </c:pt>
                <c:pt idx="711">
                  <c:v>2.5765920523681416</c:v>
                </c:pt>
                <c:pt idx="712">
                  <c:v>2.572532602778665</c:v>
                </c:pt>
                <c:pt idx="713">
                  <c:v>2.5144307925020257</c:v>
                </c:pt>
                <c:pt idx="714">
                  <c:v>2.5315163030463737</c:v>
                </c:pt>
                <c:pt idx="715">
                  <c:v>2.504501014309426</c:v>
                </c:pt>
                <c:pt idx="716">
                  <c:v>2.4880213677188294</c:v>
                </c:pt>
                <c:pt idx="717">
                  <c:v>2.5268587535774714</c:v>
                </c:pt>
                <c:pt idx="718">
                  <c:v>2.5463183916053822</c:v>
                </c:pt>
                <c:pt idx="719">
                  <c:v>2.6012546817819384</c:v>
                </c:pt>
                <c:pt idx="720">
                  <c:v>2.6120164377207402</c:v>
                </c:pt>
                <c:pt idx="721">
                  <c:v>2.6983420232118078</c:v>
                </c:pt>
                <c:pt idx="722">
                  <c:v>2.7853912391419726</c:v>
                </c:pt>
                <c:pt idx="723">
                  <c:v>2.8281776183703187</c:v>
                </c:pt>
                <c:pt idx="724">
                  <c:v>2.936658885641009</c:v>
                </c:pt>
                <c:pt idx="725">
                  <c:v>3.0658852193118946</c:v>
                </c:pt>
                <c:pt idx="726">
                  <c:v>3.1407602372855763</c:v>
                </c:pt>
                <c:pt idx="727">
                  <c:v>3.2814614637863997</c:v>
                </c:pt>
                <c:pt idx="728">
                  <c:v>3.4329292354814243</c:v>
                </c:pt>
                <c:pt idx="729">
                  <c:v>3.5499570356332697</c:v>
                </c:pt>
                <c:pt idx="730">
                  <c:v>3.7129426272967976</c:v>
                </c:pt>
                <c:pt idx="731">
                  <c:v>3.8867162858769007</c:v>
                </c:pt>
                <c:pt idx="732">
                  <c:v>4.0612852030353679</c:v>
                </c:pt>
                <c:pt idx="733">
                  <c:v>4.2566565752149472</c:v>
                </c:pt>
                <c:pt idx="734">
                  <c:v>4.4628376036616828</c:v>
                </c:pt>
                <c:pt idx="735">
                  <c:v>4.6798354944130551</c:v>
                </c:pt>
                <c:pt idx="736">
                  <c:v>4.9531293180079956</c:v>
                </c:pt>
                <c:pt idx="737">
                  <c:v>5.1918195499365538</c:v>
                </c:pt>
                <c:pt idx="738">
                  <c:v>5.4968942849045561</c:v>
                </c:pt>
                <c:pt idx="739">
                  <c:v>5.7473058386021876</c:v>
                </c:pt>
                <c:pt idx="740">
                  <c:v>6.0741905838458479</c:v>
                </c:pt>
                <c:pt idx="741">
                  <c:v>6.3563524786059133</c:v>
                </c:pt>
                <c:pt idx="742">
                  <c:v>6.6950763719214592</c:v>
                </c:pt>
                <c:pt idx="743">
                  <c:v>6.9990176658102428</c:v>
                </c:pt>
                <c:pt idx="744">
                  <c:v>7.3696098839063779</c:v>
                </c:pt>
                <c:pt idx="745">
                  <c:v>7.6853596738274064</c:v>
                </c:pt>
                <c:pt idx="746">
                  <c:v>8.0778494323967607</c:v>
                </c:pt>
                <c:pt idx="747">
                  <c:v>8.4254368541041913</c:v>
                </c:pt>
                <c:pt idx="748">
                  <c:v>8.7739354038894817</c:v>
                </c:pt>
                <c:pt idx="749">
                  <c:v>9.1993076360668056</c:v>
                </c:pt>
                <c:pt idx="750">
                  <c:v>9.5796875693959009</c:v>
                </c:pt>
                <c:pt idx="751">
                  <c:v>10.027030527176976</c:v>
                </c:pt>
                <c:pt idx="752">
                  <c:v>10.419321077202767</c:v>
                </c:pt>
                <c:pt idx="753">
                  <c:v>10.888664113082996</c:v>
                </c:pt>
                <c:pt idx="754">
                  <c:v>11.312894551996578</c:v>
                </c:pt>
                <c:pt idx="755">
                  <c:v>11.794267057697652</c:v>
                </c:pt>
                <c:pt idx="756">
                  <c:v>12.240466696799558</c:v>
                </c:pt>
                <c:pt idx="757">
                  <c:v>12.753898103297615</c:v>
                </c:pt>
                <c:pt idx="758">
                  <c:v>13.212096293049399</c:v>
                </c:pt>
                <c:pt idx="759">
                  <c:v>13.747616070648291</c:v>
                </c:pt>
                <c:pt idx="760">
                  <c:v>14.237842200722298</c:v>
                </c:pt>
                <c:pt idx="761">
                  <c:v>14.729074546148695</c:v>
                </c:pt>
                <c:pt idx="762">
                  <c:v>15.297763358430529</c:v>
                </c:pt>
                <c:pt idx="763">
                  <c:v>15.821067777222197</c:v>
                </c:pt>
                <c:pt idx="764">
                  <c:v>16.411918783514921</c:v>
                </c:pt>
                <c:pt idx="765">
                  <c:v>16.947324763581491</c:v>
                </c:pt>
                <c:pt idx="766">
                  <c:v>17.560367572181349</c:v>
                </c:pt>
                <c:pt idx="767">
                  <c:v>18.127904640808993</c:v>
                </c:pt>
                <c:pt idx="768">
                  <c:v>18.073144162432072</c:v>
                </c:pt>
                <c:pt idx="769">
                  <c:v>16.904572860139524</c:v>
                </c:pt>
                <c:pt idx="770">
                  <c:v>15.744854172866326</c:v>
                </c:pt>
                <c:pt idx="771">
                  <c:v>14.583993377458683</c:v>
                </c:pt>
                <c:pt idx="772">
                  <c:v>13.385192628724326</c:v>
                </c:pt>
                <c:pt idx="773">
                  <c:v>12.252029601075265</c:v>
                </c:pt>
                <c:pt idx="774">
                  <c:v>11.117740294545001</c:v>
                </c:pt>
                <c:pt idx="775">
                  <c:v>10.002329998573259</c:v>
                </c:pt>
                <c:pt idx="776">
                  <c:v>8.8958040057368635</c:v>
                </c:pt>
                <c:pt idx="777">
                  <c:v>7.7981676117833558</c:v>
                </c:pt>
                <c:pt idx="778">
                  <c:v>6.6424196624175238</c:v>
                </c:pt>
                <c:pt idx="779">
                  <c:v>5.5625443857661594</c:v>
                </c:pt>
                <c:pt idx="780">
                  <c:v>4.4915745939015324</c:v>
                </c:pt>
                <c:pt idx="781">
                  <c:v>3.4195155952038476</c:v>
                </c:pt>
                <c:pt idx="782">
                  <c:v>2.3663727011935407</c:v>
                </c:pt>
                <c:pt idx="783">
                  <c:v>1.2649747992018092</c:v>
                </c:pt>
                <c:pt idx="784">
                  <c:v>0.2196459802089521</c:v>
                </c:pt>
                <c:pt idx="785">
                  <c:v>-0.80675080081164197</c:v>
                </c:pt>
                <c:pt idx="786">
                  <c:v>-1.8242102196672931</c:v>
                </c:pt>
                <c:pt idx="787">
                  <c:v>-2.8327269489836908</c:v>
                </c:pt>
                <c:pt idx="788">
                  <c:v>-3.8996425665845891</c:v>
                </c:pt>
                <c:pt idx="789">
                  <c:v>-4.8902921052722377</c:v>
                </c:pt>
                <c:pt idx="790">
                  <c:v>-5.8719829736346583</c:v>
                </c:pt>
                <c:pt idx="791">
                  <c:v>-6.8547098316048505</c:v>
                </c:pt>
                <c:pt idx="792">
                  <c:v>-7.8184673359246517</c:v>
                </c:pt>
                <c:pt idx="793">
                  <c:v>-8.7732501401624177</c:v>
                </c:pt>
                <c:pt idx="794">
                  <c:v>-9.7866050775392068</c:v>
                </c:pt>
                <c:pt idx="795">
                  <c:v>-10.723456735157015</c:v>
                </c:pt>
                <c:pt idx="796">
                  <c:v>-11.651317654697777</c:v>
                </c:pt>
                <c:pt idx="797">
                  <c:v>-12.580182476976915</c:v>
                </c:pt>
                <c:pt idx="798">
                  <c:v>-13.490045839616869</c:v>
                </c:pt>
                <c:pt idx="799">
                  <c:v>-14.448626161258289</c:v>
                </c:pt>
                <c:pt idx="800">
                  <c:v>-15.340504912588585</c:v>
                </c:pt>
                <c:pt idx="801">
                  <c:v>-16.233366118472986</c:v>
                </c:pt>
                <c:pt idx="802">
                  <c:v>-17.107204403739161</c:v>
                </c:pt>
                <c:pt idx="803">
                  <c:v>-17.972014390017648</c:v>
                </c:pt>
                <c:pt idx="804">
                  <c:v>-18.837790695739386</c:v>
                </c:pt>
                <c:pt idx="805">
                  <c:v>-19.742458343871476</c:v>
                </c:pt>
                <c:pt idx="806">
                  <c:v>-20.406290450073357</c:v>
                </c:pt>
                <c:pt idx="807">
                  <c:v>-20.258848282881445</c:v>
                </c:pt>
                <c:pt idx="808">
                  <c:v>-20.149176016569982</c:v>
                </c:pt>
                <c:pt idx="809">
                  <c:v>-19.971226344559909</c:v>
                </c:pt>
                <c:pt idx="810">
                  <c:v>-19.782994741253788</c:v>
                </c:pt>
                <c:pt idx="811">
                  <c:v>-19.652623956060779</c:v>
                </c:pt>
                <c:pt idx="812">
                  <c:v>-19.443845817386318</c:v>
                </c:pt>
                <c:pt idx="813">
                  <c:v>-19.224766178514983</c:v>
                </c:pt>
                <c:pt idx="814">
                  <c:v>-19.063638448020356</c:v>
                </c:pt>
                <c:pt idx="815">
                  <c:v>-18.823973168935481</c:v>
                </c:pt>
                <c:pt idx="816">
                  <c:v>-18.573986783498185</c:v>
                </c:pt>
                <c:pt idx="817">
                  <c:v>-18.382043570079986</c:v>
                </c:pt>
                <c:pt idx="818">
                  <c:v>-18.111432365170913</c:v>
                </c:pt>
                <c:pt idx="819">
                  <c:v>-17.830480410440941</c:v>
                </c:pt>
                <c:pt idx="820">
                  <c:v>-17.607663065073211</c:v>
                </c:pt>
                <c:pt idx="821">
                  <c:v>-17.306047037040116</c:v>
                </c:pt>
                <c:pt idx="822">
                  <c:v>-16.994070578333776</c:v>
                </c:pt>
                <c:pt idx="823">
                  <c:v>-16.730320340358958</c:v>
                </c:pt>
                <c:pt idx="824">
                  <c:v>-16.407640479812471</c:v>
                </c:pt>
                <c:pt idx="825">
                  <c:v>-16.064580470287183</c:v>
                </c:pt>
                <c:pt idx="826">
                  <c:v>-15.769838467203954</c:v>
                </c:pt>
                <c:pt idx="827">
                  <c:v>-15.416035652446226</c:v>
                </c:pt>
                <c:pt idx="828">
                  <c:v>-15.041832932874968</c:v>
                </c:pt>
                <c:pt idx="829">
                  <c:v>-14.716040180142954</c:v>
                </c:pt>
                <c:pt idx="830">
                  <c:v>-14.33105517695185</c:v>
                </c:pt>
                <c:pt idx="831">
                  <c:v>-13.9256504755067</c:v>
                </c:pt>
                <c:pt idx="832">
                  <c:v>-13.568747876328416</c:v>
                </c:pt>
                <c:pt idx="833">
                  <c:v>-13.142521337749713</c:v>
                </c:pt>
                <c:pt idx="834">
                  <c:v>-12.715855269794702</c:v>
                </c:pt>
                <c:pt idx="835">
                  <c:v>-12.327783614902728</c:v>
                </c:pt>
                <c:pt idx="836">
                  <c:v>-11.870256081017942</c:v>
                </c:pt>
                <c:pt idx="837">
                  <c:v>-11.412269148913765</c:v>
                </c:pt>
                <c:pt idx="838">
                  <c:v>-10.992969116336099</c:v>
                </c:pt>
                <c:pt idx="839">
                  <c:v>-10.504081014067197</c:v>
                </c:pt>
                <c:pt idx="840">
                  <c:v>-10.014713606906298</c:v>
                </c:pt>
                <c:pt idx="841">
                  <c:v>-9.5641257617826341</c:v>
                </c:pt>
                <c:pt idx="842">
                  <c:v>-8.8066040407356923</c:v>
                </c:pt>
                <c:pt idx="843">
                  <c:v>-7.5735410840952682</c:v>
                </c:pt>
                <c:pt idx="844">
                  <c:v>-6.3190486277781019</c:v>
                </c:pt>
                <c:pt idx="845">
                  <c:v>-4.993697557334599</c:v>
                </c:pt>
                <c:pt idx="846">
                  <c:v>-3.7162840532673727</c:v>
                </c:pt>
                <c:pt idx="847">
                  <c:v>-2.4374183067739068</c:v>
                </c:pt>
                <c:pt idx="848">
                  <c:v>-1.0775529496131639</c:v>
                </c:pt>
                <c:pt idx="849">
                  <c:v>0.23427945360162994</c:v>
                </c:pt>
                <c:pt idx="850">
                  <c:v>1.5475868872508727</c:v>
                </c:pt>
                <c:pt idx="851">
                  <c:v>2.942035208672678</c:v>
                </c:pt>
                <c:pt idx="852">
                  <c:v>4.2883549987673177</c:v>
                </c:pt>
                <c:pt idx="853">
                  <c:v>5.6361726526520215</c:v>
                </c:pt>
                <c:pt idx="854">
                  <c:v>7.0652727525248338</c:v>
                </c:pt>
                <c:pt idx="855">
                  <c:v>8.4461485535102838</c:v>
                </c:pt>
                <c:pt idx="856">
                  <c:v>9.8285450970633974</c:v>
                </c:pt>
                <c:pt idx="857">
                  <c:v>11.232470010832913</c:v>
                </c:pt>
                <c:pt idx="858">
                  <c:v>12.707866498958538</c:v>
                </c:pt>
                <c:pt idx="859">
                  <c:v>14.134910738273902</c:v>
                </c:pt>
                <c:pt idx="860">
                  <c:v>15.563506287289783</c:v>
                </c:pt>
                <c:pt idx="861">
                  <c:v>17.07371562688968</c:v>
                </c:pt>
                <c:pt idx="862">
                  <c:v>18.535476504972394</c:v>
                </c:pt>
                <c:pt idx="863">
                  <c:v>19.998811677887716</c:v>
                </c:pt>
                <c:pt idx="864">
                  <c:v>21.54390314059674</c:v>
                </c:pt>
                <c:pt idx="865">
                  <c:v>23.040449737622112</c:v>
                </c:pt>
                <c:pt idx="866">
                  <c:v>24.538593660345214</c:v>
                </c:pt>
                <c:pt idx="867">
                  <c:v>26.118636655633964</c:v>
                </c:pt>
                <c:pt idx="868">
                  <c:v>27.650038189249244</c:v>
                </c:pt>
                <c:pt idx="869">
                  <c:v>29.193060125255215</c:v>
                </c:pt>
                <c:pt idx="870">
                  <c:v>30.79812420070084</c:v>
                </c:pt>
                <c:pt idx="871">
                  <c:v>32.364450026274426</c:v>
                </c:pt>
                <c:pt idx="872">
                  <c:v>33.942419376846374</c:v>
                </c:pt>
                <c:pt idx="873">
                  <c:v>35.58257421842427</c:v>
                </c:pt>
                <c:pt idx="874">
                  <c:v>37.183893829327644</c:v>
                </c:pt>
                <c:pt idx="875">
                  <c:v>38.796880133870218</c:v>
                </c:pt>
                <c:pt idx="876">
                  <c:v>40.472195566204391</c:v>
                </c:pt>
                <c:pt idx="877">
                  <c:v>41.25886300327511</c:v>
                </c:pt>
                <c:pt idx="878">
                  <c:v>42.056122266320017</c:v>
                </c:pt>
                <c:pt idx="879">
                  <c:v>42.853980030475213</c:v>
                </c:pt>
                <c:pt idx="880">
                  <c:v>43.672442975086597</c:v>
                </c:pt>
                <c:pt idx="881">
                  <c:v>44.501517783701274</c:v>
                </c:pt>
                <c:pt idx="882">
                  <c:v>45.341211144086628</c:v>
                </c:pt>
                <c:pt idx="883">
                  <c:v>46.12060695303262</c:v>
                </c:pt>
                <c:pt idx="884">
                  <c:v>46.981519102606399</c:v>
                </c:pt>
                <c:pt idx="885">
                  <c:v>47.853069868335297</c:v>
                </c:pt>
                <c:pt idx="886">
                  <c:v>48.725265954857605</c:v>
                </c:pt>
                <c:pt idx="887">
                  <c:v>49.618114071006858</c:v>
                </c:pt>
                <c:pt idx="888">
                  <c:v>50.521620929865094</c:v>
                </c:pt>
                <c:pt idx="889">
                  <c:v>51.425793248747141</c:v>
                </c:pt>
                <c:pt idx="890">
                  <c:v>52.289445822983907</c:v>
                </c:pt>
                <c:pt idx="891">
                  <c:v>53.224930666645378</c:v>
                </c:pt>
                <c:pt idx="892">
                  <c:v>54.171101123340122</c:v>
                </c:pt>
                <c:pt idx="893">
                  <c:v>55.117963927328674</c:v>
                </c:pt>
                <c:pt idx="894">
                  <c:v>56.085525817088637</c:v>
                </c:pt>
                <c:pt idx="895">
                  <c:v>57.063793535355217</c:v>
                </c:pt>
                <c:pt idx="896">
                  <c:v>58.042773829100042</c:v>
                </c:pt>
                <c:pt idx="897">
                  <c:v>58.981011203459275</c:v>
                </c:pt>
                <c:pt idx="898">
                  <c:v>59.991398171659966</c:v>
                </c:pt>
                <c:pt idx="899">
                  <c:v>61.002517957402233</c:v>
                </c:pt>
                <c:pt idx="900">
                  <c:v>62.034377324680463</c:v>
                </c:pt>
                <c:pt idx="901">
                  <c:v>63.076983041741187</c:v>
                </c:pt>
                <c:pt idx="902">
                  <c:v>64.12034188110556</c:v>
                </c:pt>
                <c:pt idx="903">
                  <c:v>65.184460619559104</c:v>
                </c:pt>
                <c:pt idx="904">
                  <c:v>66.19761227797062</c:v>
                </c:pt>
                <c:pt idx="905">
                  <c:v>67.221459731179493</c:v>
                </c:pt>
                <c:pt idx="906">
                  <c:v>67.133430070489339</c:v>
                </c:pt>
                <c:pt idx="907">
                  <c:v>67.064757951668071</c:v>
                </c:pt>
                <c:pt idx="908">
                  <c:v>67.005448867364976</c:v>
                </c:pt>
                <c:pt idx="909">
                  <c:v>66.883590765470217</c:v>
                </c:pt>
                <c:pt idx="910">
                  <c:v>66.842987896963677</c:v>
                </c:pt>
                <c:pt idx="911">
                  <c:v>66.811764538924763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C-4336-B5FC-80B6FCB5B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4208"/>
        <c:axId val="205873152"/>
      </c:scatterChart>
      <c:valAx>
        <c:axId val="20585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0.4692877272404834"/>
              <c:y val="0.940594890985161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73152"/>
        <c:crosses val="autoZero"/>
        <c:crossBetween val="midCat"/>
      </c:valAx>
      <c:valAx>
        <c:axId val="205873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Error (ftss)</a:t>
                </a:r>
              </a:p>
            </c:rich>
          </c:tx>
          <c:layout>
            <c:manualLayout>
              <c:xMode val="edge"/>
              <c:yMode val="edge"/>
              <c:x val="1.1056511056511061E-2"/>
              <c:y val="0.473267742522283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54208"/>
        <c:crosses val="autoZero"/>
        <c:crossBetween val="midCat"/>
        <c:maj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67617644160737"/>
          <c:y val="0.18041259817548719"/>
          <c:w val="0.73521897042884099"/>
          <c:h val="0.755155589505966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'NUNR-012'!$E$15:$E$926</c:f>
              <c:numCache>
                <c:formatCode>0</c:formatCode>
                <c:ptCount val="912"/>
                <c:pt idx="0">
                  <c:v>0</c:v>
                </c:pt>
                <c:pt idx="1">
                  <c:v>3317.1759747102215</c:v>
                </c:pt>
                <c:pt idx="2">
                  <c:v>3318.5035389282098</c:v>
                </c:pt>
                <c:pt idx="3">
                  <c:v>3316.481294236602</c:v>
                </c:pt>
                <c:pt idx="4">
                  <c:v>3316.4812942366048</c:v>
                </c:pt>
                <c:pt idx="5">
                  <c:v>6044.1988950276154</c:v>
                </c:pt>
                <c:pt idx="6">
                  <c:v>6612.9032258064617</c:v>
                </c:pt>
                <c:pt idx="7">
                  <c:v>6630.3030303030246</c:v>
                </c:pt>
                <c:pt idx="8">
                  <c:v>6612.9032258064472</c:v>
                </c:pt>
                <c:pt idx="9">
                  <c:v>6616.9354838709651</c:v>
                </c:pt>
                <c:pt idx="10">
                  <c:v>6612.9032258064617</c:v>
                </c:pt>
                <c:pt idx="11">
                  <c:v>6626.2626262626245</c:v>
                </c:pt>
                <c:pt idx="12">
                  <c:v>6616.935483870956</c:v>
                </c:pt>
                <c:pt idx="13">
                  <c:v>6612.9032258064617</c:v>
                </c:pt>
                <c:pt idx="14">
                  <c:v>6616.9354838709742</c:v>
                </c:pt>
                <c:pt idx="15">
                  <c:v>6612.9032258064435</c:v>
                </c:pt>
                <c:pt idx="16">
                  <c:v>6626.2626262626245</c:v>
                </c:pt>
                <c:pt idx="17">
                  <c:v>6616.9354838709633</c:v>
                </c:pt>
                <c:pt idx="18">
                  <c:v>6612.9032258064553</c:v>
                </c:pt>
                <c:pt idx="19">
                  <c:v>6616.9354838709633</c:v>
                </c:pt>
                <c:pt idx="20">
                  <c:v>6626.2626262626363</c:v>
                </c:pt>
                <c:pt idx="21">
                  <c:v>6612.9032258064508</c:v>
                </c:pt>
                <c:pt idx="22">
                  <c:v>6616.9354838709678</c:v>
                </c:pt>
                <c:pt idx="23">
                  <c:v>6612.9032258064317</c:v>
                </c:pt>
                <c:pt idx="24">
                  <c:v>6630.3030303030564</c:v>
                </c:pt>
                <c:pt idx="25">
                  <c:v>6612.9032258064317</c:v>
                </c:pt>
                <c:pt idx="26">
                  <c:v>6612.9032258064699</c:v>
                </c:pt>
                <c:pt idx="27">
                  <c:v>6616.9354838709678</c:v>
                </c:pt>
                <c:pt idx="28">
                  <c:v>6626.2626262625945</c:v>
                </c:pt>
                <c:pt idx="29">
                  <c:v>6616.935483871006</c:v>
                </c:pt>
                <c:pt idx="30">
                  <c:v>6612.9032258064317</c:v>
                </c:pt>
                <c:pt idx="31">
                  <c:v>6612.9032258064553</c:v>
                </c:pt>
                <c:pt idx="32">
                  <c:v>6616.9354838709824</c:v>
                </c:pt>
                <c:pt idx="33">
                  <c:v>6626.2626262625945</c:v>
                </c:pt>
                <c:pt idx="34">
                  <c:v>6616.9354838709905</c:v>
                </c:pt>
                <c:pt idx="35">
                  <c:v>6612.9032258064699</c:v>
                </c:pt>
                <c:pt idx="36">
                  <c:v>6616.9354838709442</c:v>
                </c:pt>
                <c:pt idx="37">
                  <c:v>6626.2626262626327</c:v>
                </c:pt>
                <c:pt idx="38">
                  <c:v>6612.9032258064781</c:v>
                </c:pt>
                <c:pt idx="39">
                  <c:v>6616.9354838709442</c:v>
                </c:pt>
                <c:pt idx="40">
                  <c:v>6612.9032258064317</c:v>
                </c:pt>
                <c:pt idx="41">
                  <c:v>6630.3030303030328</c:v>
                </c:pt>
                <c:pt idx="42">
                  <c:v>6612.9032258064317</c:v>
                </c:pt>
                <c:pt idx="43">
                  <c:v>6612.9032258065163</c:v>
                </c:pt>
                <c:pt idx="44">
                  <c:v>6616.9354838709442</c:v>
                </c:pt>
                <c:pt idx="45">
                  <c:v>6612.9032258064317</c:v>
                </c:pt>
                <c:pt idx="46">
                  <c:v>6630.3030303030328</c:v>
                </c:pt>
                <c:pt idx="47">
                  <c:v>6612.9032258064781</c:v>
                </c:pt>
                <c:pt idx="48">
                  <c:v>6616.9354838709824</c:v>
                </c:pt>
                <c:pt idx="49">
                  <c:v>6612.9032258063935</c:v>
                </c:pt>
                <c:pt idx="50">
                  <c:v>6626.2626262626327</c:v>
                </c:pt>
                <c:pt idx="51">
                  <c:v>6616.9354838710287</c:v>
                </c:pt>
                <c:pt idx="52">
                  <c:v>6612.9032258063935</c:v>
                </c:pt>
                <c:pt idx="53">
                  <c:v>6616.9354838709824</c:v>
                </c:pt>
                <c:pt idx="54">
                  <c:v>6626.2626262626327</c:v>
                </c:pt>
                <c:pt idx="55">
                  <c:v>6612.9032258063935</c:v>
                </c:pt>
                <c:pt idx="56">
                  <c:v>6616.9354838710287</c:v>
                </c:pt>
                <c:pt idx="57">
                  <c:v>6612.9032258064699</c:v>
                </c:pt>
                <c:pt idx="58">
                  <c:v>6616.935483870906</c:v>
                </c:pt>
                <c:pt idx="59">
                  <c:v>6626.2626262626327</c:v>
                </c:pt>
                <c:pt idx="60">
                  <c:v>6612.9032258065163</c:v>
                </c:pt>
                <c:pt idx="61">
                  <c:v>6616.935483870906</c:v>
                </c:pt>
                <c:pt idx="62">
                  <c:v>6612.9032258064699</c:v>
                </c:pt>
                <c:pt idx="63">
                  <c:v>6630.3030303030328</c:v>
                </c:pt>
                <c:pt idx="64">
                  <c:v>6612.9032258065163</c:v>
                </c:pt>
                <c:pt idx="65">
                  <c:v>6612.903225806348</c:v>
                </c:pt>
                <c:pt idx="66">
                  <c:v>6616.9354838710287</c:v>
                </c:pt>
                <c:pt idx="67">
                  <c:v>6626.2626262626791</c:v>
                </c:pt>
                <c:pt idx="68">
                  <c:v>6616.9354838708605</c:v>
                </c:pt>
                <c:pt idx="69">
                  <c:v>6612.9032258065163</c:v>
                </c:pt>
                <c:pt idx="70">
                  <c:v>6612.9032258064244</c:v>
                </c:pt>
                <c:pt idx="71">
                  <c:v>6616.9354838709523</c:v>
                </c:pt>
                <c:pt idx="72">
                  <c:v>6626.2626262626791</c:v>
                </c:pt>
                <c:pt idx="73">
                  <c:v>6616.9354838709369</c:v>
                </c:pt>
                <c:pt idx="74">
                  <c:v>6612.9032258064399</c:v>
                </c:pt>
                <c:pt idx="75">
                  <c:v>6612.9032258065163</c:v>
                </c:pt>
                <c:pt idx="76">
                  <c:v>6630.3030303029873</c:v>
                </c:pt>
                <c:pt idx="77">
                  <c:v>6612.9032258064399</c:v>
                </c:pt>
                <c:pt idx="78">
                  <c:v>6616.9354838709369</c:v>
                </c:pt>
                <c:pt idx="79">
                  <c:v>6612.9032258065163</c:v>
                </c:pt>
                <c:pt idx="80">
                  <c:v>6626.2626262626018</c:v>
                </c:pt>
                <c:pt idx="81">
                  <c:v>6616.9354838709369</c:v>
                </c:pt>
                <c:pt idx="82">
                  <c:v>6612.9032258065163</c:v>
                </c:pt>
                <c:pt idx="83">
                  <c:v>6616.9354838709523</c:v>
                </c:pt>
                <c:pt idx="84">
                  <c:v>6626.2626262625872</c:v>
                </c:pt>
                <c:pt idx="85">
                  <c:v>6612.9032258065163</c:v>
                </c:pt>
                <c:pt idx="86">
                  <c:v>6616.9354838708605</c:v>
                </c:pt>
                <c:pt idx="87">
                  <c:v>6612.9032258065163</c:v>
                </c:pt>
                <c:pt idx="88">
                  <c:v>6616.9354838710287</c:v>
                </c:pt>
                <c:pt idx="89">
                  <c:v>6626.2626262625872</c:v>
                </c:pt>
                <c:pt idx="90">
                  <c:v>6616.9354838709523</c:v>
                </c:pt>
                <c:pt idx="91">
                  <c:v>6612.9032258064244</c:v>
                </c:pt>
                <c:pt idx="92">
                  <c:v>6612.9032258064399</c:v>
                </c:pt>
                <c:pt idx="93">
                  <c:v>6630.3030303030791</c:v>
                </c:pt>
                <c:pt idx="94">
                  <c:v>6612.9032258064244</c:v>
                </c:pt>
                <c:pt idx="95">
                  <c:v>6616.9354838710287</c:v>
                </c:pt>
                <c:pt idx="96">
                  <c:v>6612.9032258064399</c:v>
                </c:pt>
                <c:pt idx="97">
                  <c:v>6626.2626262625872</c:v>
                </c:pt>
                <c:pt idx="98">
                  <c:v>6616.9354838710287</c:v>
                </c:pt>
                <c:pt idx="99">
                  <c:v>6612.903225806348</c:v>
                </c:pt>
                <c:pt idx="100">
                  <c:v>6616.9354838709523</c:v>
                </c:pt>
                <c:pt idx="101">
                  <c:v>6626.2626262627546</c:v>
                </c:pt>
                <c:pt idx="102">
                  <c:v>6612.903225806348</c:v>
                </c:pt>
                <c:pt idx="103">
                  <c:v>6616.9354838709523</c:v>
                </c:pt>
                <c:pt idx="104">
                  <c:v>6612.9032258064999</c:v>
                </c:pt>
                <c:pt idx="105">
                  <c:v>6616.9354838709523</c:v>
                </c:pt>
                <c:pt idx="106">
                  <c:v>6626.2626262627546</c:v>
                </c:pt>
                <c:pt idx="107">
                  <c:v>6612.903225806348</c:v>
                </c:pt>
                <c:pt idx="108">
                  <c:v>6616.9354838709523</c:v>
                </c:pt>
                <c:pt idx="109">
                  <c:v>6612.9032258064399</c:v>
                </c:pt>
                <c:pt idx="110">
                  <c:v>6630.3030303030628</c:v>
                </c:pt>
                <c:pt idx="111">
                  <c:v>6612.9032258064399</c:v>
                </c:pt>
                <c:pt idx="112">
                  <c:v>6612.9032258064999</c:v>
                </c:pt>
                <c:pt idx="113">
                  <c:v>6616.9354838709523</c:v>
                </c:pt>
                <c:pt idx="114">
                  <c:v>6626.2626262626018</c:v>
                </c:pt>
                <c:pt idx="115">
                  <c:v>6616.9354838710124</c:v>
                </c:pt>
                <c:pt idx="116">
                  <c:v>6612.9032258064399</c:v>
                </c:pt>
                <c:pt idx="117">
                  <c:v>6612.903225806348</c:v>
                </c:pt>
                <c:pt idx="118">
                  <c:v>6616.9354838711033</c:v>
                </c:pt>
                <c:pt idx="119">
                  <c:v>6626.2626262626018</c:v>
                </c:pt>
                <c:pt idx="120">
                  <c:v>6616.9354838708605</c:v>
                </c:pt>
                <c:pt idx="121">
                  <c:v>6612.9032258065909</c:v>
                </c:pt>
                <c:pt idx="122">
                  <c:v>6612.9032258064399</c:v>
                </c:pt>
                <c:pt idx="123">
                  <c:v>6630.3030303029109</c:v>
                </c:pt>
                <c:pt idx="124">
                  <c:v>6612.9032258065909</c:v>
                </c:pt>
                <c:pt idx="125">
                  <c:v>6616.9354838708605</c:v>
                </c:pt>
                <c:pt idx="126">
                  <c:v>6612.9032258064399</c:v>
                </c:pt>
                <c:pt idx="127">
                  <c:v>6626.2626262627546</c:v>
                </c:pt>
                <c:pt idx="128">
                  <c:v>6616.9354838708605</c:v>
                </c:pt>
                <c:pt idx="129">
                  <c:v>6612.9032258064399</c:v>
                </c:pt>
                <c:pt idx="130">
                  <c:v>6616.9354838710124</c:v>
                </c:pt>
                <c:pt idx="131">
                  <c:v>6626.2626262626018</c:v>
                </c:pt>
                <c:pt idx="132">
                  <c:v>6616.9354838708605</c:v>
                </c:pt>
                <c:pt idx="133">
                  <c:v>6612.9032258065909</c:v>
                </c:pt>
                <c:pt idx="134">
                  <c:v>6612.9032258064399</c:v>
                </c:pt>
                <c:pt idx="135">
                  <c:v>6616.9354838708605</c:v>
                </c:pt>
                <c:pt idx="136">
                  <c:v>6626.2626262627546</c:v>
                </c:pt>
                <c:pt idx="137">
                  <c:v>6616.9354838708605</c:v>
                </c:pt>
                <c:pt idx="138">
                  <c:v>6612.9032258064399</c:v>
                </c:pt>
                <c:pt idx="139">
                  <c:v>6612.9032258065909</c:v>
                </c:pt>
                <c:pt idx="140">
                  <c:v>6630.3030303029109</c:v>
                </c:pt>
                <c:pt idx="141">
                  <c:v>6612.9032258064399</c:v>
                </c:pt>
                <c:pt idx="142">
                  <c:v>6616.9354838710124</c:v>
                </c:pt>
                <c:pt idx="143">
                  <c:v>6612.9032258064399</c:v>
                </c:pt>
                <c:pt idx="144">
                  <c:v>6626.2626262626018</c:v>
                </c:pt>
                <c:pt idx="145">
                  <c:v>6616.9354838710124</c:v>
                </c:pt>
                <c:pt idx="146">
                  <c:v>6612.9032258064399</c:v>
                </c:pt>
                <c:pt idx="147">
                  <c:v>6616.9354838708605</c:v>
                </c:pt>
                <c:pt idx="148">
                  <c:v>6626.2626262627546</c:v>
                </c:pt>
                <c:pt idx="149">
                  <c:v>6612.9032258064399</c:v>
                </c:pt>
                <c:pt idx="150">
                  <c:v>6616.9354838708605</c:v>
                </c:pt>
                <c:pt idx="151">
                  <c:v>6612.9032258065909</c:v>
                </c:pt>
                <c:pt idx="152">
                  <c:v>6612.9032258064399</c:v>
                </c:pt>
                <c:pt idx="153">
                  <c:v>6630.3030303029109</c:v>
                </c:pt>
                <c:pt idx="154">
                  <c:v>6612.9032258065909</c:v>
                </c:pt>
                <c:pt idx="155">
                  <c:v>6612.9032258064399</c:v>
                </c:pt>
                <c:pt idx="156">
                  <c:v>6616.9354838708605</c:v>
                </c:pt>
                <c:pt idx="157">
                  <c:v>6626.2626262627546</c:v>
                </c:pt>
                <c:pt idx="158">
                  <c:v>6616.9354838708605</c:v>
                </c:pt>
                <c:pt idx="159">
                  <c:v>6612.9032258064399</c:v>
                </c:pt>
                <c:pt idx="160">
                  <c:v>6612.9032258065909</c:v>
                </c:pt>
                <c:pt idx="161">
                  <c:v>6630.3030303029109</c:v>
                </c:pt>
                <c:pt idx="162">
                  <c:v>6612.9032258064399</c:v>
                </c:pt>
                <c:pt idx="163">
                  <c:v>6612.9032258065909</c:v>
                </c:pt>
                <c:pt idx="164">
                  <c:v>6616.9354838708605</c:v>
                </c:pt>
                <c:pt idx="165">
                  <c:v>6626.2626262627546</c:v>
                </c:pt>
                <c:pt idx="166">
                  <c:v>6612.9032258064399</c:v>
                </c:pt>
                <c:pt idx="167">
                  <c:v>6616.9354838708605</c:v>
                </c:pt>
                <c:pt idx="168">
                  <c:v>6612.9032258064399</c:v>
                </c:pt>
                <c:pt idx="169">
                  <c:v>6626.2626262627546</c:v>
                </c:pt>
                <c:pt idx="170">
                  <c:v>6616.9354838708605</c:v>
                </c:pt>
                <c:pt idx="171">
                  <c:v>6612.9032258065909</c:v>
                </c:pt>
                <c:pt idx="172">
                  <c:v>6626.2626262626018</c:v>
                </c:pt>
                <c:pt idx="173">
                  <c:v>6616.9354838708605</c:v>
                </c:pt>
                <c:pt idx="174">
                  <c:v>6612.9032258065909</c:v>
                </c:pt>
                <c:pt idx="175">
                  <c:v>6612.9032258064399</c:v>
                </c:pt>
                <c:pt idx="176">
                  <c:v>6630.3030303029109</c:v>
                </c:pt>
                <c:pt idx="177">
                  <c:v>6612.9032258065909</c:v>
                </c:pt>
                <c:pt idx="178">
                  <c:v>6612.9032258062562</c:v>
                </c:pt>
                <c:pt idx="179">
                  <c:v>6616.9354838710442</c:v>
                </c:pt>
                <c:pt idx="180">
                  <c:v>6626.2626262627546</c:v>
                </c:pt>
                <c:pt idx="181">
                  <c:v>6612.9032258062562</c:v>
                </c:pt>
                <c:pt idx="182">
                  <c:v>6616.9354838710442</c:v>
                </c:pt>
                <c:pt idx="183">
                  <c:v>6612.9032258065909</c:v>
                </c:pt>
                <c:pt idx="184">
                  <c:v>6626.2626262624181</c:v>
                </c:pt>
                <c:pt idx="185">
                  <c:v>6616.9354838710442</c:v>
                </c:pt>
                <c:pt idx="186">
                  <c:v>6612.903225806408</c:v>
                </c:pt>
                <c:pt idx="187">
                  <c:v>6612.9032258064399</c:v>
                </c:pt>
                <c:pt idx="188">
                  <c:v>6630.3030303030946</c:v>
                </c:pt>
                <c:pt idx="189">
                  <c:v>6612.903225806408</c:v>
                </c:pt>
                <c:pt idx="190">
                  <c:v>6616.9354838710442</c:v>
                </c:pt>
                <c:pt idx="191">
                  <c:v>6612.9032258062562</c:v>
                </c:pt>
                <c:pt idx="192">
                  <c:v>6626.2626262627546</c:v>
                </c:pt>
                <c:pt idx="193">
                  <c:v>6616.9354838710442</c:v>
                </c:pt>
                <c:pt idx="194">
                  <c:v>6612.9032258062562</c:v>
                </c:pt>
                <c:pt idx="195">
                  <c:v>6612.9032258065909</c:v>
                </c:pt>
                <c:pt idx="196">
                  <c:v>6616.9354838710442</c:v>
                </c:pt>
                <c:pt idx="197">
                  <c:v>6626.2626262624181</c:v>
                </c:pt>
                <c:pt idx="198">
                  <c:v>6612.9032258065909</c:v>
                </c:pt>
                <c:pt idx="199">
                  <c:v>6616.9354838708605</c:v>
                </c:pt>
                <c:pt idx="200">
                  <c:v>6626.2626262626018</c:v>
                </c:pt>
                <c:pt idx="201">
                  <c:v>6612.9032258065909</c:v>
                </c:pt>
                <c:pt idx="202">
                  <c:v>6616.9354838708605</c:v>
                </c:pt>
                <c:pt idx="203">
                  <c:v>6612.9032258064399</c:v>
                </c:pt>
                <c:pt idx="204">
                  <c:v>6626.2626262626018</c:v>
                </c:pt>
                <c:pt idx="205">
                  <c:v>6612.9032258067427</c:v>
                </c:pt>
                <c:pt idx="206">
                  <c:v>6616.9354838708605</c:v>
                </c:pt>
                <c:pt idx="207">
                  <c:v>6612.9032258064399</c:v>
                </c:pt>
                <c:pt idx="208">
                  <c:v>6626.2626262626018</c:v>
                </c:pt>
                <c:pt idx="209">
                  <c:v>6612.9032258062562</c:v>
                </c:pt>
                <c:pt idx="210">
                  <c:v>6616.9354838710442</c:v>
                </c:pt>
                <c:pt idx="211">
                  <c:v>6626.2626262629065</c:v>
                </c:pt>
                <c:pt idx="212">
                  <c:v>6612.9032258062562</c:v>
                </c:pt>
                <c:pt idx="213">
                  <c:v>6612.9032258064399</c:v>
                </c:pt>
                <c:pt idx="214">
                  <c:v>6616.9354838710442</c:v>
                </c:pt>
                <c:pt idx="215">
                  <c:v>6626.2626262624181</c:v>
                </c:pt>
                <c:pt idx="216">
                  <c:v>6612.9032258064399</c:v>
                </c:pt>
                <c:pt idx="217">
                  <c:v>6616.9354838711633</c:v>
                </c:pt>
                <c:pt idx="218">
                  <c:v>6612.9032258064399</c:v>
                </c:pt>
                <c:pt idx="219">
                  <c:v>6626.2626262626018</c:v>
                </c:pt>
                <c:pt idx="220">
                  <c:v>6876.3102725367526</c:v>
                </c:pt>
                <c:pt idx="221">
                  <c:v>7165.9388646288717</c:v>
                </c:pt>
                <c:pt idx="222">
                  <c:v>7161.5720524015451</c:v>
                </c:pt>
                <c:pt idx="223">
                  <c:v>7145.969498910843</c:v>
                </c:pt>
                <c:pt idx="224">
                  <c:v>7145.969498910843</c:v>
                </c:pt>
                <c:pt idx="225">
                  <c:v>7134.7826086953783</c:v>
                </c:pt>
                <c:pt idx="226">
                  <c:v>7145.969498910843</c:v>
                </c:pt>
                <c:pt idx="227">
                  <c:v>7130.4347826083267</c:v>
                </c:pt>
                <c:pt idx="228">
                  <c:v>7150.3267973858838</c:v>
                </c:pt>
                <c:pt idx="229">
                  <c:v>7130.434782608876</c:v>
                </c:pt>
                <c:pt idx="230">
                  <c:v>7145.9694989102909</c:v>
                </c:pt>
                <c:pt idx="231">
                  <c:v>7145.969498910843</c:v>
                </c:pt>
                <c:pt idx="232">
                  <c:v>7130.4347826085241</c:v>
                </c:pt>
                <c:pt idx="233">
                  <c:v>7150.3267973856855</c:v>
                </c:pt>
                <c:pt idx="234">
                  <c:v>7130.434782608876</c:v>
                </c:pt>
                <c:pt idx="235">
                  <c:v>7145.9694989104892</c:v>
                </c:pt>
                <c:pt idx="236">
                  <c:v>7130.434782608876</c:v>
                </c:pt>
                <c:pt idx="237">
                  <c:v>7145.969498910843</c:v>
                </c:pt>
                <c:pt idx="238">
                  <c:v>7145.9694989102909</c:v>
                </c:pt>
                <c:pt idx="239">
                  <c:v>7134.7826086959276</c:v>
                </c:pt>
                <c:pt idx="240">
                  <c:v>7145.9694989102909</c:v>
                </c:pt>
                <c:pt idx="241">
                  <c:v>7130.434782608876</c:v>
                </c:pt>
                <c:pt idx="242">
                  <c:v>7145.969498910843</c:v>
                </c:pt>
                <c:pt idx="243">
                  <c:v>7130.4347826085241</c:v>
                </c:pt>
                <c:pt idx="244">
                  <c:v>7213.1868131868214</c:v>
                </c:pt>
                <c:pt idx="245">
                  <c:v>7846.8899521530338</c:v>
                </c:pt>
                <c:pt idx="246">
                  <c:v>7846.8899521534604</c:v>
                </c:pt>
                <c:pt idx="247">
                  <c:v>7828.1622911693921</c:v>
                </c:pt>
                <c:pt idx="248">
                  <c:v>7851.6746411481354</c:v>
                </c:pt>
                <c:pt idx="249">
                  <c:v>7828.1622911693921</c:v>
                </c:pt>
                <c:pt idx="250">
                  <c:v>7846.889952153243</c:v>
                </c:pt>
                <c:pt idx="251">
                  <c:v>7832.9355608590167</c:v>
                </c:pt>
                <c:pt idx="252">
                  <c:v>7846.8899521532512</c:v>
                </c:pt>
                <c:pt idx="253">
                  <c:v>7846.889952153243</c:v>
                </c:pt>
                <c:pt idx="254">
                  <c:v>7828.1622911696095</c:v>
                </c:pt>
                <c:pt idx="255">
                  <c:v>7851.6746411481354</c:v>
                </c:pt>
                <c:pt idx="256">
                  <c:v>7828.1622911691748</c:v>
                </c:pt>
                <c:pt idx="257">
                  <c:v>7846.8899521536778</c:v>
                </c:pt>
                <c:pt idx="258">
                  <c:v>7828.1622911691748</c:v>
                </c:pt>
                <c:pt idx="259">
                  <c:v>7851.6746411481354</c:v>
                </c:pt>
                <c:pt idx="260">
                  <c:v>7846.8899521532512</c:v>
                </c:pt>
                <c:pt idx="261">
                  <c:v>7828.1622911695995</c:v>
                </c:pt>
                <c:pt idx="262">
                  <c:v>7846.8899521528165</c:v>
                </c:pt>
                <c:pt idx="263">
                  <c:v>7828.1622911696095</c:v>
                </c:pt>
                <c:pt idx="264">
                  <c:v>7846.8899521528165</c:v>
                </c:pt>
                <c:pt idx="265">
                  <c:v>7846.8899521536778</c:v>
                </c:pt>
                <c:pt idx="266">
                  <c:v>7832.9355608590167</c:v>
                </c:pt>
                <c:pt idx="267">
                  <c:v>7846.8899521528165</c:v>
                </c:pt>
                <c:pt idx="268">
                  <c:v>7846.8899521528165</c:v>
                </c:pt>
                <c:pt idx="269">
                  <c:v>7846.8899521536778</c:v>
                </c:pt>
                <c:pt idx="270">
                  <c:v>7865.7074340524459</c:v>
                </c:pt>
                <c:pt idx="271">
                  <c:v>7865.7074340528816</c:v>
                </c:pt>
                <c:pt idx="272">
                  <c:v>7846.889952153243</c:v>
                </c:pt>
                <c:pt idx="273">
                  <c:v>7856.1151079135843</c:v>
                </c:pt>
                <c:pt idx="274">
                  <c:v>7874.9999999998972</c:v>
                </c:pt>
                <c:pt idx="275">
                  <c:v>7856.1151079140118</c:v>
                </c:pt>
                <c:pt idx="276">
                  <c:v>7851.3189448439352</c:v>
                </c:pt>
                <c:pt idx="277">
                  <c:v>7874.9999999998972</c:v>
                </c:pt>
                <c:pt idx="278">
                  <c:v>7851.3189448443627</c:v>
                </c:pt>
                <c:pt idx="279">
                  <c:v>7860.5769230765054</c:v>
                </c:pt>
                <c:pt idx="280">
                  <c:v>7860.2409638554418</c:v>
                </c:pt>
                <c:pt idx="281">
                  <c:v>7865.0602409639732</c:v>
                </c:pt>
                <c:pt idx="282">
                  <c:v>7865.0602409639805</c:v>
                </c:pt>
                <c:pt idx="283">
                  <c:v>7841.3461538461825</c:v>
                </c:pt>
                <c:pt idx="284">
                  <c:v>7865.0602409639805</c:v>
                </c:pt>
                <c:pt idx="285">
                  <c:v>7864.7342995165945</c:v>
                </c:pt>
                <c:pt idx="286">
                  <c:v>7855.0724637684625</c:v>
                </c:pt>
                <c:pt idx="287">
                  <c:v>7869.2493946729155</c:v>
                </c:pt>
                <c:pt idx="288">
                  <c:v>7855.0724637680232</c:v>
                </c:pt>
                <c:pt idx="289">
                  <c:v>7850.2415458935302</c:v>
                </c:pt>
                <c:pt idx="290">
                  <c:v>7874.0920096855607</c:v>
                </c:pt>
                <c:pt idx="291">
                  <c:v>7854.7215496367189</c:v>
                </c:pt>
                <c:pt idx="292">
                  <c:v>7878.3454987834511</c:v>
                </c:pt>
                <c:pt idx="293">
                  <c:v>7955.773955773886</c:v>
                </c:pt>
                <c:pt idx="294">
                  <c:v>7960.6879606879957</c:v>
                </c:pt>
                <c:pt idx="295">
                  <c:v>7955.7739557738832</c:v>
                </c:pt>
                <c:pt idx="296">
                  <c:v>7955.7739557743298</c:v>
                </c:pt>
                <c:pt idx="297">
                  <c:v>7975.3086419747706</c:v>
                </c:pt>
                <c:pt idx="298">
                  <c:v>7955.4455445543826</c:v>
                </c:pt>
                <c:pt idx="299">
                  <c:v>7960.3960396044458</c:v>
                </c:pt>
                <c:pt idx="300">
                  <c:v>7955.4455445543826</c:v>
                </c:pt>
                <c:pt idx="301">
                  <c:v>7960.3960396039956</c:v>
                </c:pt>
                <c:pt idx="302">
                  <c:v>7955.4455445543826</c:v>
                </c:pt>
                <c:pt idx="303">
                  <c:v>7960.2977667494151</c:v>
                </c:pt>
                <c:pt idx="304">
                  <c:v>7970.0000000002547</c:v>
                </c:pt>
                <c:pt idx="305">
                  <c:v>7945.137157106491</c:v>
                </c:pt>
                <c:pt idx="306">
                  <c:v>7970.0000000002547</c:v>
                </c:pt>
                <c:pt idx="307">
                  <c:v>7965.0000000001455</c:v>
                </c:pt>
                <c:pt idx="308">
                  <c:v>7945.1371571069412</c:v>
                </c:pt>
                <c:pt idx="309">
                  <c:v>7960.0000000000364</c:v>
                </c:pt>
                <c:pt idx="310">
                  <c:v>7959.6977329979736</c:v>
                </c:pt>
                <c:pt idx="311">
                  <c:v>7979.7979797979979</c:v>
                </c:pt>
                <c:pt idx="312">
                  <c:v>7954.6599496220933</c:v>
                </c:pt>
                <c:pt idx="313">
                  <c:v>7959.697732997518</c:v>
                </c:pt>
                <c:pt idx="314">
                  <c:v>7959.6977329970596</c:v>
                </c:pt>
                <c:pt idx="315">
                  <c:v>7959.697732997518</c:v>
                </c:pt>
                <c:pt idx="316">
                  <c:v>7964.4670050762907</c:v>
                </c:pt>
                <c:pt idx="317">
                  <c:v>8030.6905370846043</c:v>
                </c:pt>
                <c:pt idx="318">
                  <c:v>8328.9124668434451</c:v>
                </c:pt>
                <c:pt idx="319">
                  <c:v>8351.0638297871574</c:v>
                </c:pt>
                <c:pt idx="320">
                  <c:v>8345.744680851356</c:v>
                </c:pt>
                <c:pt idx="321">
                  <c:v>8328.9124668434451</c:v>
                </c:pt>
                <c:pt idx="322">
                  <c:v>8335.1063829787818</c:v>
                </c:pt>
                <c:pt idx="323">
                  <c:v>8357.3333333333721</c:v>
                </c:pt>
                <c:pt idx="324">
                  <c:v>8329.7872340419926</c:v>
                </c:pt>
                <c:pt idx="325">
                  <c:v>8335.1063829787818</c:v>
                </c:pt>
                <c:pt idx="326">
                  <c:v>8357.3333333333721</c:v>
                </c:pt>
                <c:pt idx="327">
                  <c:v>8329.7872340424965</c:v>
                </c:pt>
                <c:pt idx="328">
                  <c:v>8342.2459893045016</c:v>
                </c:pt>
                <c:pt idx="329">
                  <c:v>8331.5508021394653</c:v>
                </c:pt>
                <c:pt idx="330">
                  <c:v>8353.8873994642363</c:v>
                </c:pt>
                <c:pt idx="331">
                  <c:v>8326.2032085559749</c:v>
                </c:pt>
                <c:pt idx="332">
                  <c:v>8353.887399463727</c:v>
                </c:pt>
                <c:pt idx="333">
                  <c:v>8331.5508021389778</c:v>
                </c:pt>
                <c:pt idx="334">
                  <c:v>8345.9459459461195</c:v>
                </c:pt>
                <c:pt idx="335">
                  <c:v>8341.4634146337066</c:v>
                </c:pt>
                <c:pt idx="336">
                  <c:v>8341.4634146341996</c:v>
                </c:pt>
                <c:pt idx="337">
                  <c:v>8341.4634146342214</c:v>
                </c:pt>
                <c:pt idx="338">
                  <c:v>8318.9189189189947</c:v>
                </c:pt>
                <c:pt idx="339">
                  <c:v>8341.4634146341996</c:v>
                </c:pt>
                <c:pt idx="340">
                  <c:v>8344.2622950815221</c:v>
                </c:pt>
                <c:pt idx="341">
                  <c:v>8351.6483516485441</c:v>
                </c:pt>
                <c:pt idx="342">
                  <c:v>8323.2876712329489</c:v>
                </c:pt>
                <c:pt idx="343">
                  <c:v>8351.6483516485441</c:v>
                </c:pt>
                <c:pt idx="344">
                  <c:v>8509.8039215685221</c:v>
                </c:pt>
                <c:pt idx="345">
                  <c:v>8888.8888888891834</c:v>
                </c:pt>
                <c:pt idx="346">
                  <c:v>8885.6304985332972</c:v>
                </c:pt>
                <c:pt idx="347">
                  <c:v>8868.0351906155593</c:v>
                </c:pt>
                <c:pt idx="348">
                  <c:v>8888.2352941183453</c:v>
                </c:pt>
                <c:pt idx="349">
                  <c:v>8862.1700879761356</c:v>
                </c:pt>
                <c:pt idx="350">
                  <c:v>8894.1176470591163</c:v>
                </c:pt>
                <c:pt idx="351">
                  <c:v>8862.1700879761356</c:v>
                </c:pt>
                <c:pt idx="352">
                  <c:v>8891.4956011732556</c:v>
                </c:pt>
                <c:pt idx="353">
                  <c:v>8894.7368421056872</c:v>
                </c:pt>
                <c:pt idx="354">
                  <c:v>8868.8046647228894</c:v>
                </c:pt>
                <c:pt idx="355">
                  <c:v>8868.8046647228894</c:v>
                </c:pt>
                <c:pt idx="356">
                  <c:v>8894.7368421051542</c:v>
                </c:pt>
                <c:pt idx="357">
                  <c:v>8868.8046647228894</c:v>
                </c:pt>
                <c:pt idx="358">
                  <c:v>8880.4664723033184</c:v>
                </c:pt>
                <c:pt idx="359">
                  <c:v>8889.5348837207675</c:v>
                </c:pt>
                <c:pt idx="360">
                  <c:v>8863.7681159424756</c:v>
                </c:pt>
                <c:pt idx="361">
                  <c:v>8889.5348837207675</c:v>
                </c:pt>
                <c:pt idx="362">
                  <c:v>8889.5348837207675</c:v>
                </c:pt>
                <c:pt idx="363">
                  <c:v>8863.7681159418917</c:v>
                </c:pt>
                <c:pt idx="364">
                  <c:v>8889.5348837207675</c:v>
                </c:pt>
                <c:pt idx="365">
                  <c:v>8883.7209302328556</c:v>
                </c:pt>
                <c:pt idx="366">
                  <c:v>8863.7681159418917</c:v>
                </c:pt>
                <c:pt idx="367">
                  <c:v>8889.5348837212969</c:v>
                </c:pt>
                <c:pt idx="368">
                  <c:v>8889.5348837207675</c:v>
                </c:pt>
                <c:pt idx="369">
                  <c:v>8863.7681159424756</c:v>
                </c:pt>
                <c:pt idx="370">
                  <c:v>8883.7209302322699</c:v>
                </c:pt>
                <c:pt idx="371">
                  <c:v>8886.2973760930017</c:v>
                </c:pt>
                <c:pt idx="372">
                  <c:v>8880.4664723033184</c:v>
                </c:pt>
                <c:pt idx="373">
                  <c:v>9153.1531531532219</c:v>
                </c:pt>
                <c:pt idx="374">
                  <c:v>10770.318021201536</c:v>
                </c:pt>
                <c:pt idx="375">
                  <c:v>10763.250883391973</c:v>
                </c:pt>
                <c:pt idx="376">
                  <c:v>10732.394366197339</c:v>
                </c:pt>
                <c:pt idx="377">
                  <c:v>10782.918149466142</c:v>
                </c:pt>
                <c:pt idx="378">
                  <c:v>10751.77304964553</c:v>
                </c:pt>
                <c:pt idx="379">
                  <c:v>10744.680851063593</c:v>
                </c:pt>
                <c:pt idx="380">
                  <c:v>10790.035587188719</c:v>
                </c:pt>
                <c:pt idx="381">
                  <c:v>10744.680851063815</c:v>
                </c:pt>
                <c:pt idx="382">
                  <c:v>10751.773049644664</c:v>
                </c:pt>
                <c:pt idx="383">
                  <c:v>10747.330960854561</c:v>
                </c:pt>
                <c:pt idx="384">
                  <c:v>10785.714285714721</c:v>
                </c:pt>
                <c:pt idx="385">
                  <c:v>10747.330960853913</c:v>
                </c:pt>
                <c:pt idx="386">
                  <c:v>10747.330960854561</c:v>
                </c:pt>
                <c:pt idx="387">
                  <c:v>10785.714285713197</c:v>
                </c:pt>
                <c:pt idx="388">
                  <c:v>10747.330960854561</c:v>
                </c:pt>
                <c:pt idx="389">
                  <c:v>10747.330960854561</c:v>
                </c:pt>
                <c:pt idx="390">
                  <c:v>10792.857142857085</c:v>
                </c:pt>
                <c:pt idx="391">
                  <c:v>10747.330960853691</c:v>
                </c:pt>
                <c:pt idx="392">
                  <c:v>10747.330960853913</c:v>
                </c:pt>
                <c:pt idx="393">
                  <c:v>10785.714285714721</c:v>
                </c:pt>
                <c:pt idx="394">
                  <c:v>10747.330960853913</c:v>
                </c:pt>
                <c:pt idx="395">
                  <c:v>10754.448398577137</c:v>
                </c:pt>
                <c:pt idx="396">
                  <c:v>10761.565836298194</c:v>
                </c:pt>
                <c:pt idx="397">
                  <c:v>10754.448398576489</c:v>
                </c:pt>
                <c:pt idx="398">
                  <c:v>10761.565836299063</c:v>
                </c:pt>
                <c:pt idx="399">
                  <c:v>10754.448398577137</c:v>
                </c:pt>
                <c:pt idx="400">
                  <c:v>10761.565836298194</c:v>
                </c:pt>
                <c:pt idx="401">
                  <c:v>10761.565836299063</c:v>
                </c:pt>
                <c:pt idx="402">
                  <c:v>10768.68327402164</c:v>
                </c:pt>
                <c:pt idx="403">
                  <c:v>10761.565836299063</c:v>
                </c:pt>
                <c:pt idx="404">
                  <c:v>10768.683274020768</c:v>
                </c:pt>
                <c:pt idx="405">
                  <c:v>10730.496453901029</c:v>
                </c:pt>
                <c:pt idx="406">
                  <c:v>10768.68327402164</c:v>
                </c:pt>
                <c:pt idx="407">
                  <c:v>10775.800711743568</c:v>
                </c:pt>
                <c:pt idx="408">
                  <c:v>10751.773049644664</c:v>
                </c:pt>
                <c:pt idx="409">
                  <c:v>10033.112582781878</c:v>
                </c:pt>
                <c:pt idx="410">
                  <c:v>9656.0509554143118</c:v>
                </c:pt>
                <c:pt idx="411">
                  <c:v>9619.047619047109</c:v>
                </c:pt>
                <c:pt idx="412">
                  <c:v>9656.0509554148921</c:v>
                </c:pt>
                <c:pt idx="413">
                  <c:v>9649.6815286618803</c:v>
                </c:pt>
                <c:pt idx="414">
                  <c:v>9612.6984126983425</c:v>
                </c:pt>
                <c:pt idx="415">
                  <c:v>9643.3121019108494</c:v>
                </c:pt>
                <c:pt idx="416">
                  <c:v>9643.3121019107293</c:v>
                </c:pt>
                <c:pt idx="417">
                  <c:v>9649.6815286625806</c:v>
                </c:pt>
                <c:pt idx="418">
                  <c:v>9643.3121019107293</c:v>
                </c:pt>
                <c:pt idx="419">
                  <c:v>9630.5732484079654</c:v>
                </c:pt>
                <c:pt idx="420">
                  <c:v>9648.562300319385</c:v>
                </c:pt>
                <c:pt idx="421">
                  <c:v>9617.8343949038044</c:v>
                </c:pt>
                <c:pt idx="422">
                  <c:v>9648.5623003200872</c:v>
                </c:pt>
                <c:pt idx="423">
                  <c:v>9648.562300318803</c:v>
                </c:pt>
                <c:pt idx="424">
                  <c:v>9648.5623003200872</c:v>
                </c:pt>
                <c:pt idx="425">
                  <c:v>9630.5732484072669</c:v>
                </c:pt>
                <c:pt idx="426">
                  <c:v>9656.0509554143118</c:v>
                </c:pt>
                <c:pt idx="427">
                  <c:v>9619.0476190476875</c:v>
                </c:pt>
                <c:pt idx="428">
                  <c:v>9656.0509554143118</c:v>
                </c:pt>
                <c:pt idx="429">
                  <c:v>9619.047619047109</c:v>
                </c:pt>
                <c:pt idx="430">
                  <c:v>9656.0509554136115</c:v>
                </c:pt>
                <c:pt idx="431">
                  <c:v>9631.7460317464956</c:v>
                </c:pt>
                <c:pt idx="432">
                  <c:v>9627.7602523658461</c:v>
                </c:pt>
                <c:pt idx="433">
                  <c:v>9664.5569620260376</c:v>
                </c:pt>
                <c:pt idx="434">
                  <c:v>9627.7602523652731</c:v>
                </c:pt>
                <c:pt idx="435">
                  <c:v>9627.7602523658461</c:v>
                </c:pt>
                <c:pt idx="436">
                  <c:v>9664.5569620260376</c:v>
                </c:pt>
                <c:pt idx="437">
                  <c:v>9627.7602523652731</c:v>
                </c:pt>
                <c:pt idx="438">
                  <c:v>9646.687697160638</c:v>
                </c:pt>
                <c:pt idx="439">
                  <c:v>9646.6876971619058</c:v>
                </c:pt>
                <c:pt idx="440">
                  <c:v>9646.687697160638</c:v>
                </c:pt>
                <c:pt idx="441">
                  <c:v>9155.6886227540708</c:v>
                </c:pt>
                <c:pt idx="442">
                  <c:v>9074.1839762613999</c:v>
                </c:pt>
                <c:pt idx="443">
                  <c:v>9068.2492581603801</c:v>
                </c:pt>
                <c:pt idx="444">
                  <c:v>9091.9881305633062</c:v>
                </c:pt>
                <c:pt idx="445">
                  <c:v>9059.1715976336891</c:v>
                </c:pt>
                <c:pt idx="446">
                  <c:v>9091.9881305633062</c:v>
                </c:pt>
                <c:pt idx="447">
                  <c:v>9086.0534124634396</c:v>
                </c:pt>
                <c:pt idx="448">
                  <c:v>9065.0887573959844</c:v>
                </c:pt>
                <c:pt idx="449">
                  <c:v>9086.0534124634396</c:v>
                </c:pt>
                <c:pt idx="450">
                  <c:v>9071.0059171594276</c:v>
                </c:pt>
                <c:pt idx="451">
                  <c:v>9097.922848664939</c:v>
                </c:pt>
                <c:pt idx="452">
                  <c:v>9065.0887573959844</c:v>
                </c:pt>
                <c:pt idx="453">
                  <c:v>9097.922848664939</c:v>
                </c:pt>
                <c:pt idx="454">
                  <c:v>9071.0059171594276</c:v>
                </c:pt>
                <c:pt idx="455">
                  <c:v>9071.0059171600369</c:v>
                </c:pt>
                <c:pt idx="456">
                  <c:v>9095.2380952381409</c:v>
                </c:pt>
                <c:pt idx="457">
                  <c:v>9068.2492581603801</c:v>
                </c:pt>
                <c:pt idx="458">
                  <c:v>9089.285714285088</c:v>
                </c:pt>
                <c:pt idx="459">
                  <c:v>9068.2492581609204</c:v>
                </c:pt>
                <c:pt idx="460">
                  <c:v>9095.2380952375988</c:v>
                </c:pt>
                <c:pt idx="461">
                  <c:v>9062.3145400593603</c:v>
                </c:pt>
                <c:pt idx="462">
                  <c:v>9077.3809523806085</c:v>
                </c:pt>
                <c:pt idx="463">
                  <c:v>9098.5074626872265</c:v>
                </c:pt>
                <c:pt idx="464">
                  <c:v>9065.4761904755869</c:v>
                </c:pt>
                <c:pt idx="465">
                  <c:v>9098.5074626866844</c:v>
                </c:pt>
                <c:pt idx="466">
                  <c:v>9071.4285714292528</c:v>
                </c:pt>
                <c:pt idx="467">
                  <c:v>9065.4761904755869</c:v>
                </c:pt>
                <c:pt idx="468">
                  <c:v>9098.5074626866844</c:v>
                </c:pt>
                <c:pt idx="469">
                  <c:v>9065.476190476129</c:v>
                </c:pt>
                <c:pt idx="470">
                  <c:v>9180.722891566309</c:v>
                </c:pt>
                <c:pt idx="471">
                  <c:v>9615.1419558356029</c:v>
                </c:pt>
                <c:pt idx="472">
                  <c:v>9639.2405063298575</c:v>
                </c:pt>
                <c:pt idx="473">
                  <c:v>9645.5696202527761</c:v>
                </c:pt>
                <c:pt idx="474">
                  <c:v>9645.5696202527761</c:v>
                </c:pt>
                <c:pt idx="475">
                  <c:v>9639.2405063298575</c:v>
                </c:pt>
                <c:pt idx="476">
                  <c:v>9645.5696202527761</c:v>
                </c:pt>
                <c:pt idx="477">
                  <c:v>9645.5696202534709</c:v>
                </c:pt>
                <c:pt idx="478">
                  <c:v>9639.2405063291626</c:v>
                </c:pt>
                <c:pt idx="479">
                  <c:v>9645.5696202534709</c:v>
                </c:pt>
                <c:pt idx="480">
                  <c:v>9639.2405063278948</c:v>
                </c:pt>
                <c:pt idx="481">
                  <c:v>9632.9113924056692</c:v>
                </c:pt>
                <c:pt idx="482">
                  <c:v>9639.2405063298575</c:v>
                </c:pt>
                <c:pt idx="483">
                  <c:v>9632.9113924037065</c:v>
                </c:pt>
                <c:pt idx="484">
                  <c:v>9632.9113924056692</c:v>
                </c:pt>
                <c:pt idx="485">
                  <c:v>9663.4920634919454</c:v>
                </c:pt>
                <c:pt idx="486">
                  <c:v>9639.2405063292827</c:v>
                </c:pt>
                <c:pt idx="487">
                  <c:v>9632.9113924056692</c:v>
                </c:pt>
                <c:pt idx="488">
                  <c:v>9632.9113924042813</c:v>
                </c:pt>
                <c:pt idx="489">
                  <c:v>9639.2405063292827</c:v>
                </c:pt>
                <c:pt idx="490">
                  <c:v>9632.9113924056692</c:v>
                </c:pt>
                <c:pt idx="491">
                  <c:v>9663.4920634919454</c:v>
                </c:pt>
                <c:pt idx="492">
                  <c:v>9632.9113924050926</c:v>
                </c:pt>
                <c:pt idx="493">
                  <c:v>9650.7936507938339</c:v>
                </c:pt>
                <c:pt idx="494">
                  <c:v>9613.9240506317165</c:v>
                </c:pt>
                <c:pt idx="495">
                  <c:v>9650.7936507946506</c:v>
                </c:pt>
                <c:pt idx="496">
                  <c:v>9644.4444444444889</c:v>
                </c:pt>
                <c:pt idx="497">
                  <c:v>9620.2531645559047</c:v>
                </c:pt>
                <c:pt idx="498">
                  <c:v>9644.4444444453038</c:v>
                </c:pt>
                <c:pt idx="499">
                  <c:v>9643.3121019100308</c:v>
                </c:pt>
                <c:pt idx="500">
                  <c:v>9643.3121019114278</c:v>
                </c:pt>
                <c:pt idx="501">
                  <c:v>9649.6815286625806</c:v>
                </c:pt>
                <c:pt idx="502">
                  <c:v>9552.0504731861074</c:v>
                </c:pt>
                <c:pt idx="503">
                  <c:v>9462.5000000001746</c:v>
                </c:pt>
                <c:pt idx="504">
                  <c:v>9462.4999999993979</c:v>
                </c:pt>
                <c:pt idx="505">
                  <c:v>9456.2500000006057</c:v>
                </c:pt>
                <c:pt idx="506">
                  <c:v>9456.2499999992615</c:v>
                </c:pt>
                <c:pt idx="507">
                  <c:v>9450.0000000004693</c:v>
                </c:pt>
                <c:pt idx="508">
                  <c:v>9456.2500000006057</c:v>
                </c:pt>
                <c:pt idx="509">
                  <c:v>9485.8934169278054</c:v>
                </c:pt>
                <c:pt idx="510">
                  <c:v>9456.249999998694</c:v>
                </c:pt>
                <c:pt idx="511">
                  <c:v>9437.500000000764</c:v>
                </c:pt>
                <c:pt idx="512">
                  <c:v>9467.0846394984983</c:v>
                </c:pt>
                <c:pt idx="513">
                  <c:v>9467.0846394979271</c:v>
                </c:pt>
                <c:pt idx="514">
                  <c:v>9467.0846394984983</c:v>
                </c:pt>
                <c:pt idx="515">
                  <c:v>9467.0846394979271</c:v>
                </c:pt>
                <c:pt idx="516">
                  <c:v>9437.500000000764</c:v>
                </c:pt>
                <c:pt idx="517">
                  <c:v>9477.9874213839539</c:v>
                </c:pt>
                <c:pt idx="518">
                  <c:v>9435.7366771165089</c:v>
                </c:pt>
                <c:pt idx="519">
                  <c:v>9471.6981132063593</c:v>
                </c:pt>
                <c:pt idx="520">
                  <c:v>9471.6981132077144</c:v>
                </c:pt>
                <c:pt idx="521">
                  <c:v>9442.0062695919951</c:v>
                </c:pt>
                <c:pt idx="522">
                  <c:v>9465.4088050326209</c:v>
                </c:pt>
                <c:pt idx="523">
                  <c:v>9459.1194968538857</c:v>
                </c:pt>
                <c:pt idx="524">
                  <c:v>9452.8301886801437</c:v>
                </c:pt>
                <c:pt idx="525">
                  <c:v>9482.6498422714885</c:v>
                </c:pt>
                <c:pt idx="526">
                  <c:v>9452.8301886789995</c:v>
                </c:pt>
                <c:pt idx="527">
                  <c:v>9452.8301886801437</c:v>
                </c:pt>
                <c:pt idx="528">
                  <c:v>9452.8301886787922</c:v>
                </c:pt>
                <c:pt idx="529">
                  <c:v>9476.3406940052191</c:v>
                </c:pt>
                <c:pt idx="530">
                  <c:v>9440.2515723276683</c:v>
                </c:pt>
                <c:pt idx="531">
                  <c:v>9476.3406940063669</c:v>
                </c:pt>
                <c:pt idx="532">
                  <c:v>9440.2515723276683</c:v>
                </c:pt>
                <c:pt idx="533">
                  <c:v>9506.329113923397</c:v>
                </c:pt>
                <c:pt idx="534">
                  <c:v>9652.7331189710476</c:v>
                </c:pt>
                <c:pt idx="535">
                  <c:v>9672.0257234728342</c:v>
                </c:pt>
                <c:pt idx="536">
                  <c:v>9641.0256410253733</c:v>
                </c:pt>
                <c:pt idx="537">
                  <c:v>9672.0257234728342</c:v>
                </c:pt>
                <c:pt idx="538">
                  <c:v>9647.4358974357692</c:v>
                </c:pt>
                <c:pt idx="539">
                  <c:v>9672.0257234728342</c:v>
                </c:pt>
                <c:pt idx="540">
                  <c:v>9641.0256410253733</c:v>
                </c:pt>
                <c:pt idx="541">
                  <c:v>9678.4565916401771</c:v>
                </c:pt>
                <c:pt idx="542">
                  <c:v>9641.0256410253733</c:v>
                </c:pt>
                <c:pt idx="543">
                  <c:v>9672.0257234728342</c:v>
                </c:pt>
                <c:pt idx="544">
                  <c:v>9647.4358974357692</c:v>
                </c:pt>
                <c:pt idx="545">
                  <c:v>9672.0257234728342</c:v>
                </c:pt>
                <c:pt idx="546">
                  <c:v>9641.0256410253733</c:v>
                </c:pt>
                <c:pt idx="547">
                  <c:v>9672.0257234728342</c:v>
                </c:pt>
                <c:pt idx="548">
                  <c:v>9652.7331189722172</c:v>
                </c:pt>
                <c:pt idx="549">
                  <c:v>9690.3225806431328</c:v>
                </c:pt>
                <c:pt idx="550">
                  <c:v>9652.7331189722172</c:v>
                </c:pt>
                <c:pt idx="551">
                  <c:v>9659.1639871381485</c:v>
                </c:pt>
                <c:pt idx="552">
                  <c:v>9652.7331189708057</c:v>
                </c:pt>
                <c:pt idx="553">
                  <c:v>9652.7331189708057</c:v>
                </c:pt>
                <c:pt idx="554">
                  <c:v>9670.9677419356267</c:v>
                </c:pt>
                <c:pt idx="555">
                  <c:v>7508.771929824753</c:v>
                </c:pt>
                <c:pt idx="556">
                  <c:v>7476.3092269321523</c:v>
                </c:pt>
                <c:pt idx="557">
                  <c:v>7471.3216957617278</c:v>
                </c:pt>
                <c:pt idx="558">
                  <c:v>7476.3092269321523</c:v>
                </c:pt>
                <c:pt idx="559">
                  <c:v>7471.3216957608211</c:v>
                </c:pt>
                <c:pt idx="560">
                  <c:v>7470.0000000002547</c:v>
                </c:pt>
                <c:pt idx="561">
                  <c:v>7469.9999999993452</c:v>
                </c:pt>
                <c:pt idx="562">
                  <c:v>7470.0000000002547</c:v>
                </c:pt>
                <c:pt idx="563">
                  <c:v>7475.0000000003638</c:v>
                </c:pt>
                <c:pt idx="564">
                  <c:v>7469.9999999993452</c:v>
                </c:pt>
                <c:pt idx="565">
                  <c:v>7470.0000000002547</c:v>
                </c:pt>
                <c:pt idx="566">
                  <c:v>7761.0389610384918</c:v>
                </c:pt>
                <c:pt idx="567">
                  <c:v>7781.2500000008913</c:v>
                </c:pt>
                <c:pt idx="568">
                  <c:v>7806.7885117489259</c:v>
                </c:pt>
                <c:pt idx="569">
                  <c:v>7781.2499999999709</c:v>
                </c:pt>
                <c:pt idx="570">
                  <c:v>7801.5665796348794</c:v>
                </c:pt>
                <c:pt idx="571">
                  <c:v>8512.8205128192367</c:v>
                </c:pt>
                <c:pt idx="572">
                  <c:v>10094.276094276627</c:v>
                </c:pt>
                <c:pt idx="573">
                  <c:v>10053.691275168652</c:v>
                </c:pt>
                <c:pt idx="574">
                  <c:v>10094.276094275083</c:v>
                </c:pt>
                <c:pt idx="575">
                  <c:v>10060.402684563551</c:v>
                </c:pt>
                <c:pt idx="576">
                  <c:v>10087.542087542473</c:v>
                </c:pt>
                <c:pt idx="577">
                  <c:v>10094.276094276627</c:v>
                </c:pt>
                <c:pt idx="578">
                  <c:v>10080.53691275191</c:v>
                </c:pt>
                <c:pt idx="579">
                  <c:v>10053.511705685261</c:v>
                </c:pt>
                <c:pt idx="580">
                  <c:v>10087.248322146808</c:v>
                </c:pt>
                <c:pt idx="581">
                  <c:v>10087.248322148029</c:v>
                </c:pt>
                <c:pt idx="582">
                  <c:v>10087.248322148029</c:v>
                </c:pt>
                <c:pt idx="583">
                  <c:v>10087.248322146808</c:v>
                </c:pt>
                <c:pt idx="584">
                  <c:v>10066.889632108489</c:v>
                </c:pt>
                <c:pt idx="585">
                  <c:v>10073.578595316589</c:v>
                </c:pt>
                <c:pt idx="586">
                  <c:v>10073.57859531812</c:v>
                </c:pt>
                <c:pt idx="587">
                  <c:v>10107.382550336388</c:v>
                </c:pt>
                <c:pt idx="588">
                  <c:v>10066.88963210574</c:v>
                </c:pt>
                <c:pt idx="589">
                  <c:v>10073.57859531812</c:v>
                </c:pt>
                <c:pt idx="590">
                  <c:v>10086.956521738284</c:v>
                </c:pt>
                <c:pt idx="591">
                  <c:v>10086.956521739818</c:v>
                </c:pt>
                <c:pt idx="592">
                  <c:v>10060.000000000096</c:v>
                </c:pt>
                <c:pt idx="593">
                  <c:v>10093.645484950666</c:v>
                </c:pt>
                <c:pt idx="594">
                  <c:v>10086.956521738284</c:v>
                </c:pt>
                <c:pt idx="595">
                  <c:v>10060.000000000096</c:v>
                </c:pt>
                <c:pt idx="596">
                  <c:v>10100.334448161515</c:v>
                </c:pt>
                <c:pt idx="597">
                  <c:v>10079.999999999322</c:v>
                </c:pt>
                <c:pt idx="598">
                  <c:v>10073.333333333721</c:v>
                </c:pt>
                <c:pt idx="599">
                  <c:v>10175.084175083695</c:v>
                </c:pt>
                <c:pt idx="600">
                  <c:v>10356.164383560688</c:v>
                </c:pt>
                <c:pt idx="601">
                  <c:v>10384.87972508683</c:v>
                </c:pt>
                <c:pt idx="602">
                  <c:v>10327.64505119457</c:v>
                </c:pt>
                <c:pt idx="603">
                  <c:v>10369.86301369922</c:v>
                </c:pt>
                <c:pt idx="604">
                  <c:v>10369.863013697974</c:v>
                </c:pt>
                <c:pt idx="605">
                  <c:v>10376.712328766616</c:v>
                </c:pt>
                <c:pt idx="606">
                  <c:v>10334.470989762514</c:v>
                </c:pt>
                <c:pt idx="607">
                  <c:v>10369.863013697974</c:v>
                </c:pt>
                <c:pt idx="608">
                  <c:v>10374.149659863753</c:v>
                </c:pt>
                <c:pt idx="609">
                  <c:v>10342.28187919447</c:v>
                </c:pt>
                <c:pt idx="610">
                  <c:v>10377.104377104977</c:v>
                </c:pt>
                <c:pt idx="611">
                  <c:v>10342.28187919447</c:v>
                </c:pt>
                <c:pt idx="612">
                  <c:v>10377.104377103389</c:v>
                </c:pt>
                <c:pt idx="613">
                  <c:v>10342.28187919447</c:v>
                </c:pt>
                <c:pt idx="614">
                  <c:v>10377.104377104977</c:v>
                </c:pt>
                <c:pt idx="615">
                  <c:v>10342.281879195691</c:v>
                </c:pt>
                <c:pt idx="616">
                  <c:v>10377.104377103389</c:v>
                </c:pt>
                <c:pt idx="617">
                  <c:v>10342.28187919447</c:v>
                </c:pt>
                <c:pt idx="618">
                  <c:v>10377.104377104977</c:v>
                </c:pt>
                <c:pt idx="619">
                  <c:v>10342.28187919447</c:v>
                </c:pt>
                <c:pt idx="620">
                  <c:v>10378.378378378644</c:v>
                </c:pt>
                <c:pt idx="621">
                  <c:v>10354.948805460137</c:v>
                </c:pt>
                <c:pt idx="622">
                  <c:v>10354.948805459773</c:v>
                </c:pt>
                <c:pt idx="623">
                  <c:v>10354.948805461379</c:v>
                </c:pt>
                <c:pt idx="624">
                  <c:v>10354.948805461379</c:v>
                </c:pt>
                <c:pt idx="625">
                  <c:v>10354.948805459773</c:v>
                </c:pt>
                <c:pt idx="626">
                  <c:v>10354.948805461379</c:v>
                </c:pt>
                <c:pt idx="627">
                  <c:v>10382.252559728187</c:v>
                </c:pt>
                <c:pt idx="628">
                  <c:v>10346.938775509418</c:v>
                </c:pt>
                <c:pt idx="629">
                  <c:v>10346.938775510656</c:v>
                </c:pt>
                <c:pt idx="630">
                  <c:v>10382.252559725335</c:v>
                </c:pt>
                <c:pt idx="631">
                  <c:v>10346.938775512257</c:v>
                </c:pt>
                <c:pt idx="632">
                  <c:v>10382.252559725335</c:v>
                </c:pt>
                <c:pt idx="633">
                  <c:v>10386.440677966544</c:v>
                </c:pt>
                <c:pt idx="634">
                  <c:v>10414.965986395255</c:v>
                </c:pt>
                <c:pt idx="635">
                  <c:v>10450.511945392727</c:v>
                </c:pt>
                <c:pt idx="636">
                  <c:v>10457.337883957807</c:v>
                </c:pt>
                <c:pt idx="637">
                  <c:v>10414.965986394018</c:v>
                </c:pt>
                <c:pt idx="638">
                  <c:v>10457.33788395943</c:v>
                </c:pt>
                <c:pt idx="639">
                  <c:v>10427.118644069129</c:v>
                </c:pt>
                <c:pt idx="640">
                  <c:v>10433.898305083387</c:v>
                </c:pt>
                <c:pt idx="641">
                  <c:v>10469.387755102687</c:v>
                </c:pt>
                <c:pt idx="642">
                  <c:v>10433.898305084995</c:v>
                </c:pt>
                <c:pt idx="643">
                  <c:v>10433.898305084995</c:v>
                </c:pt>
                <c:pt idx="644">
                  <c:v>10433.89830508462</c:v>
                </c:pt>
                <c:pt idx="645">
                  <c:v>10447.457627119189</c:v>
                </c:pt>
                <c:pt idx="646">
                  <c:v>10454.237288134676</c:v>
                </c:pt>
                <c:pt idx="647">
                  <c:v>10412.162162161936</c:v>
                </c:pt>
                <c:pt idx="648">
                  <c:v>10454.237288136286</c:v>
                </c:pt>
                <c:pt idx="649">
                  <c:v>10447.457627119189</c:v>
                </c:pt>
                <c:pt idx="650">
                  <c:v>10418.91891891884</c:v>
                </c:pt>
                <c:pt idx="651">
                  <c:v>10452.702702702132</c:v>
                </c:pt>
                <c:pt idx="652">
                  <c:v>10424.242424241236</c:v>
                </c:pt>
                <c:pt idx="653">
                  <c:v>10466.21621621594</c:v>
                </c:pt>
                <c:pt idx="654">
                  <c:v>10430.976430976987</c:v>
                </c:pt>
                <c:pt idx="655">
                  <c:v>10424.242424244057</c:v>
                </c:pt>
                <c:pt idx="656">
                  <c:v>10466.21621621594</c:v>
                </c:pt>
                <c:pt idx="657">
                  <c:v>10422.818791945463</c:v>
                </c:pt>
                <c:pt idx="658">
                  <c:v>10442.953020135043</c:v>
                </c:pt>
                <c:pt idx="659">
                  <c:v>10436.241610737703</c:v>
                </c:pt>
                <c:pt idx="660">
                  <c:v>10442.953020133822</c:v>
                </c:pt>
                <c:pt idx="661">
                  <c:v>10442.953020135043</c:v>
                </c:pt>
                <c:pt idx="662">
                  <c:v>10436.241610737703</c:v>
                </c:pt>
                <c:pt idx="663">
                  <c:v>10441.471571905919</c:v>
                </c:pt>
                <c:pt idx="664">
                  <c:v>10426.666666666279</c:v>
                </c:pt>
                <c:pt idx="665">
                  <c:v>10468.227424749684</c:v>
                </c:pt>
                <c:pt idx="666">
                  <c:v>10426.666666667492</c:v>
                </c:pt>
                <c:pt idx="667">
                  <c:v>10433.33333333309</c:v>
                </c:pt>
                <c:pt idx="668">
                  <c:v>10392.026578071949</c:v>
                </c:pt>
                <c:pt idx="669">
                  <c:v>10392.026578073519</c:v>
                </c:pt>
                <c:pt idx="670">
                  <c:v>10398.671096345728</c:v>
                </c:pt>
                <c:pt idx="671">
                  <c:v>10392.026578073519</c:v>
                </c:pt>
                <c:pt idx="672">
                  <c:v>10398.671096344518</c:v>
                </c:pt>
                <c:pt idx="673">
                  <c:v>10392.026578074727</c:v>
                </c:pt>
                <c:pt idx="674">
                  <c:v>10433.33333333309</c:v>
                </c:pt>
                <c:pt idx="675">
                  <c:v>10384.105960265155</c:v>
                </c:pt>
                <c:pt idx="676">
                  <c:v>10402.64026402466</c:v>
                </c:pt>
                <c:pt idx="677">
                  <c:v>10402.640264027421</c:v>
                </c:pt>
                <c:pt idx="678">
                  <c:v>10402.64026402586</c:v>
                </c:pt>
                <c:pt idx="679">
                  <c:v>10402.64026402586</c:v>
                </c:pt>
                <c:pt idx="680">
                  <c:v>10396.03960396127</c:v>
                </c:pt>
                <c:pt idx="681">
                  <c:v>10381.578947368977</c:v>
                </c:pt>
                <c:pt idx="682">
                  <c:v>10421.052631579167</c:v>
                </c:pt>
                <c:pt idx="683">
                  <c:v>10386.885245901116</c:v>
                </c:pt>
                <c:pt idx="684">
                  <c:v>10421.05263157797</c:v>
                </c:pt>
                <c:pt idx="685">
                  <c:v>10380.327868852984</c:v>
                </c:pt>
                <c:pt idx="686">
                  <c:v>10386.885245901472</c:v>
                </c:pt>
                <c:pt idx="687">
                  <c:v>10421.052631579167</c:v>
                </c:pt>
                <c:pt idx="688">
                  <c:v>10386.885245901116</c:v>
                </c:pt>
                <c:pt idx="689">
                  <c:v>10414.473684210603</c:v>
                </c:pt>
                <c:pt idx="690">
                  <c:v>10386.885245902664</c:v>
                </c:pt>
                <c:pt idx="691">
                  <c:v>10421.05263157761</c:v>
                </c:pt>
                <c:pt idx="692">
                  <c:v>10386.885245902664</c:v>
                </c:pt>
                <c:pt idx="693">
                  <c:v>10386.885245901116</c:v>
                </c:pt>
                <c:pt idx="694">
                  <c:v>10413.114754098768</c:v>
                </c:pt>
                <c:pt idx="695">
                  <c:v>10413.114754098408</c:v>
                </c:pt>
                <c:pt idx="696">
                  <c:v>10379.084967319923</c:v>
                </c:pt>
                <c:pt idx="697">
                  <c:v>10413.114754098408</c:v>
                </c:pt>
                <c:pt idx="698">
                  <c:v>10379.084967319923</c:v>
                </c:pt>
                <c:pt idx="699">
                  <c:v>10419.672131149286</c:v>
                </c:pt>
                <c:pt idx="700">
                  <c:v>10766.101694913716</c:v>
                </c:pt>
                <c:pt idx="701">
                  <c:v>10951.724137930139</c:v>
                </c:pt>
                <c:pt idx="702">
                  <c:v>10914.089347080284</c:v>
                </c:pt>
                <c:pt idx="703">
                  <c:v>10951.724137930139</c:v>
                </c:pt>
                <c:pt idx="704">
                  <c:v>10958.620689655681</c:v>
                </c:pt>
                <c:pt idx="705">
                  <c:v>10914.089347079032</c:v>
                </c:pt>
                <c:pt idx="706">
                  <c:v>10948.45360824817</c:v>
                </c:pt>
                <c:pt idx="707">
                  <c:v>10955.326460481998</c:v>
                </c:pt>
                <c:pt idx="708">
                  <c:v>10924.657534245556</c:v>
                </c:pt>
                <c:pt idx="709">
                  <c:v>10955.326460480286</c:v>
                </c:pt>
                <c:pt idx="710">
                  <c:v>10917.808219179858</c:v>
                </c:pt>
                <c:pt idx="711">
                  <c:v>10955.326460479037</c:v>
                </c:pt>
                <c:pt idx="712">
                  <c:v>10917.80821917816</c:v>
                </c:pt>
                <c:pt idx="713">
                  <c:v>10962.199312715824</c:v>
                </c:pt>
                <c:pt idx="714">
                  <c:v>10917.808219176914</c:v>
                </c:pt>
                <c:pt idx="715">
                  <c:v>10955.326460481998</c:v>
                </c:pt>
                <c:pt idx="716">
                  <c:v>10955.326460481998</c:v>
                </c:pt>
                <c:pt idx="717">
                  <c:v>10924.657534245556</c:v>
                </c:pt>
                <c:pt idx="718">
                  <c:v>10945.205479452728</c:v>
                </c:pt>
                <c:pt idx="719">
                  <c:v>10928.327645051953</c:v>
                </c:pt>
                <c:pt idx="720">
                  <c:v>10965.753424656164</c:v>
                </c:pt>
                <c:pt idx="721">
                  <c:v>10921.501706483557</c:v>
                </c:pt>
                <c:pt idx="722">
                  <c:v>10928.327645051953</c:v>
                </c:pt>
                <c:pt idx="723">
                  <c:v>10965.753424657411</c:v>
                </c:pt>
                <c:pt idx="724">
                  <c:v>10928.327645051953</c:v>
                </c:pt>
                <c:pt idx="725">
                  <c:v>10921.501706483557</c:v>
                </c:pt>
                <c:pt idx="726">
                  <c:v>10965.753424659117</c:v>
                </c:pt>
                <c:pt idx="727">
                  <c:v>10928.327645050258</c:v>
                </c:pt>
                <c:pt idx="728">
                  <c:v>10928.327645051953</c:v>
                </c:pt>
                <c:pt idx="729">
                  <c:v>10958.904109588768</c:v>
                </c:pt>
                <c:pt idx="730">
                  <c:v>10935.153583617415</c:v>
                </c:pt>
                <c:pt idx="731">
                  <c:v>10935.153583616961</c:v>
                </c:pt>
                <c:pt idx="732">
                  <c:v>10941.979522185358</c:v>
                </c:pt>
                <c:pt idx="733">
                  <c:v>10935.153583618656</c:v>
                </c:pt>
                <c:pt idx="734">
                  <c:v>10935.153583615718</c:v>
                </c:pt>
                <c:pt idx="735">
                  <c:v>10935.153583618656</c:v>
                </c:pt>
                <c:pt idx="736">
                  <c:v>10904.761904762148</c:v>
                </c:pt>
                <c:pt idx="737">
                  <c:v>10935.153583618656</c:v>
                </c:pt>
                <c:pt idx="738">
                  <c:v>10897.959183672327</c:v>
                </c:pt>
                <c:pt idx="739">
                  <c:v>10941.979522183661</c:v>
                </c:pt>
                <c:pt idx="740">
                  <c:v>10897.959183673564</c:v>
                </c:pt>
                <c:pt idx="741">
                  <c:v>10935.153583617415</c:v>
                </c:pt>
                <c:pt idx="742">
                  <c:v>10904.761904762148</c:v>
                </c:pt>
                <c:pt idx="743">
                  <c:v>10935.153583618656</c:v>
                </c:pt>
                <c:pt idx="744">
                  <c:v>10897.959183673564</c:v>
                </c:pt>
                <c:pt idx="745">
                  <c:v>10941.979522184116</c:v>
                </c:pt>
                <c:pt idx="746">
                  <c:v>10897.959183673564</c:v>
                </c:pt>
                <c:pt idx="747">
                  <c:v>10935.153583616961</c:v>
                </c:pt>
                <c:pt idx="748">
                  <c:v>10941.979522184116</c:v>
                </c:pt>
                <c:pt idx="749">
                  <c:v>10897.959183673564</c:v>
                </c:pt>
                <c:pt idx="750">
                  <c:v>10935.153583618656</c:v>
                </c:pt>
                <c:pt idx="751">
                  <c:v>10897.959183673564</c:v>
                </c:pt>
                <c:pt idx="752">
                  <c:v>10941.979522184116</c:v>
                </c:pt>
                <c:pt idx="753">
                  <c:v>10897.959183673564</c:v>
                </c:pt>
                <c:pt idx="754">
                  <c:v>10935.153583616961</c:v>
                </c:pt>
                <c:pt idx="755">
                  <c:v>10904.761904762148</c:v>
                </c:pt>
                <c:pt idx="756">
                  <c:v>10935.153583617415</c:v>
                </c:pt>
                <c:pt idx="757">
                  <c:v>10897.959183673564</c:v>
                </c:pt>
                <c:pt idx="758">
                  <c:v>10941.979522185358</c:v>
                </c:pt>
                <c:pt idx="759">
                  <c:v>10897.959183672327</c:v>
                </c:pt>
                <c:pt idx="760">
                  <c:v>10935.153583618656</c:v>
                </c:pt>
                <c:pt idx="761">
                  <c:v>10941.979522183661</c:v>
                </c:pt>
                <c:pt idx="762">
                  <c:v>10897.959183673564</c:v>
                </c:pt>
                <c:pt idx="763">
                  <c:v>10935.153583617415</c:v>
                </c:pt>
                <c:pt idx="764">
                  <c:v>10897.959183673564</c:v>
                </c:pt>
                <c:pt idx="765">
                  <c:v>10941.979522185358</c:v>
                </c:pt>
                <c:pt idx="766">
                  <c:v>10897.959183673564</c:v>
                </c:pt>
                <c:pt idx="767">
                  <c:v>10935.153583617415</c:v>
                </c:pt>
                <c:pt idx="768">
                  <c:v>11368.794326240941</c:v>
                </c:pt>
                <c:pt idx="769">
                  <c:v>12229.00763358863</c:v>
                </c:pt>
                <c:pt idx="770">
                  <c:v>12229.007633585117</c:v>
                </c:pt>
                <c:pt idx="771">
                  <c:v>12236.641221375057</c:v>
                </c:pt>
                <c:pt idx="772">
                  <c:v>12275.862068965253</c:v>
                </c:pt>
                <c:pt idx="773">
                  <c:v>12229.00763358863</c:v>
                </c:pt>
                <c:pt idx="774">
                  <c:v>12236.641221373668</c:v>
                </c:pt>
                <c:pt idx="775">
                  <c:v>12229.00763358863</c:v>
                </c:pt>
                <c:pt idx="776">
                  <c:v>12229.007633586507</c:v>
                </c:pt>
                <c:pt idx="777">
                  <c:v>12229.00763358863</c:v>
                </c:pt>
                <c:pt idx="778">
                  <c:v>12283.524904215208</c:v>
                </c:pt>
                <c:pt idx="779">
                  <c:v>12229.007633586507</c:v>
                </c:pt>
                <c:pt idx="780">
                  <c:v>12229.00763358863</c:v>
                </c:pt>
                <c:pt idx="781">
                  <c:v>12236.641221373668</c:v>
                </c:pt>
                <c:pt idx="782">
                  <c:v>12229.00763358863</c:v>
                </c:pt>
                <c:pt idx="783">
                  <c:v>12275.862068965253</c:v>
                </c:pt>
                <c:pt idx="784">
                  <c:v>12236.641221373668</c:v>
                </c:pt>
                <c:pt idx="785">
                  <c:v>12229.007633586507</c:v>
                </c:pt>
                <c:pt idx="786">
                  <c:v>12229.00763358863</c:v>
                </c:pt>
                <c:pt idx="787">
                  <c:v>12229.00763358863</c:v>
                </c:pt>
                <c:pt idx="788">
                  <c:v>12283.524904213067</c:v>
                </c:pt>
                <c:pt idx="789">
                  <c:v>12229.00763358863</c:v>
                </c:pt>
                <c:pt idx="790">
                  <c:v>12229.00763358863</c:v>
                </c:pt>
                <c:pt idx="791">
                  <c:v>12236.641221372931</c:v>
                </c:pt>
                <c:pt idx="792">
                  <c:v>12229.007633587242</c:v>
                </c:pt>
                <c:pt idx="793">
                  <c:v>12229.00763358863</c:v>
                </c:pt>
                <c:pt idx="794">
                  <c:v>12283.524904214462</c:v>
                </c:pt>
                <c:pt idx="795">
                  <c:v>12229.007633587242</c:v>
                </c:pt>
                <c:pt idx="796">
                  <c:v>12229.00763358863</c:v>
                </c:pt>
                <c:pt idx="797">
                  <c:v>12236.641221375057</c:v>
                </c:pt>
                <c:pt idx="798">
                  <c:v>12229.007633586507</c:v>
                </c:pt>
                <c:pt idx="799">
                  <c:v>12275.862068965998</c:v>
                </c:pt>
                <c:pt idx="800">
                  <c:v>12229.007633586507</c:v>
                </c:pt>
                <c:pt idx="801">
                  <c:v>12236.641221375057</c:v>
                </c:pt>
                <c:pt idx="802">
                  <c:v>12229.00763358863</c:v>
                </c:pt>
                <c:pt idx="803">
                  <c:v>12229.007633587242</c:v>
                </c:pt>
                <c:pt idx="804">
                  <c:v>12236.641221372931</c:v>
                </c:pt>
                <c:pt idx="805">
                  <c:v>12275.862068967392</c:v>
                </c:pt>
                <c:pt idx="806">
                  <c:v>12090.56603773439</c:v>
                </c:pt>
                <c:pt idx="807">
                  <c:v>11491.039426523917</c:v>
                </c:pt>
                <c:pt idx="808">
                  <c:v>11525.179856114592</c:v>
                </c:pt>
                <c:pt idx="809">
                  <c:v>11483.870967742399</c:v>
                </c:pt>
                <c:pt idx="810">
                  <c:v>11483.870967741095</c:v>
                </c:pt>
                <c:pt idx="811">
                  <c:v>11532.374100719066</c:v>
                </c:pt>
                <c:pt idx="812">
                  <c:v>11483.870967742399</c:v>
                </c:pt>
                <c:pt idx="813">
                  <c:v>11483.870967742399</c:v>
                </c:pt>
                <c:pt idx="814">
                  <c:v>11532.374100719644</c:v>
                </c:pt>
                <c:pt idx="815">
                  <c:v>11483.870967742399</c:v>
                </c:pt>
                <c:pt idx="816">
                  <c:v>11483.870967742399</c:v>
                </c:pt>
                <c:pt idx="817">
                  <c:v>11532.374100717756</c:v>
                </c:pt>
                <c:pt idx="818">
                  <c:v>11483.870967742399</c:v>
                </c:pt>
                <c:pt idx="819">
                  <c:v>11483.870967742399</c:v>
                </c:pt>
                <c:pt idx="820">
                  <c:v>11532.374100719066</c:v>
                </c:pt>
                <c:pt idx="821">
                  <c:v>11483.870967741095</c:v>
                </c:pt>
                <c:pt idx="822">
                  <c:v>11483.870967742399</c:v>
                </c:pt>
                <c:pt idx="823">
                  <c:v>11525.179856116478</c:v>
                </c:pt>
                <c:pt idx="824">
                  <c:v>11491.039426522613</c:v>
                </c:pt>
                <c:pt idx="825">
                  <c:v>11483.870967740526</c:v>
                </c:pt>
                <c:pt idx="826">
                  <c:v>11525.179856116478</c:v>
                </c:pt>
                <c:pt idx="827">
                  <c:v>11491.039426523917</c:v>
                </c:pt>
                <c:pt idx="828">
                  <c:v>11483.870967741095</c:v>
                </c:pt>
                <c:pt idx="829">
                  <c:v>11525.179856114592</c:v>
                </c:pt>
                <c:pt idx="830">
                  <c:v>11491.039426523917</c:v>
                </c:pt>
                <c:pt idx="831">
                  <c:v>11483.870967742399</c:v>
                </c:pt>
                <c:pt idx="832">
                  <c:v>11525.179856113284</c:v>
                </c:pt>
                <c:pt idx="833">
                  <c:v>11483.870967742399</c:v>
                </c:pt>
                <c:pt idx="834">
                  <c:v>11491.039426523917</c:v>
                </c:pt>
                <c:pt idx="835">
                  <c:v>11525.17985611517</c:v>
                </c:pt>
                <c:pt idx="836">
                  <c:v>11483.870967742399</c:v>
                </c:pt>
                <c:pt idx="837">
                  <c:v>11491.039426523917</c:v>
                </c:pt>
                <c:pt idx="838">
                  <c:v>11525.179856114592</c:v>
                </c:pt>
                <c:pt idx="839">
                  <c:v>11483.870967741095</c:v>
                </c:pt>
                <c:pt idx="840">
                  <c:v>11491.039426523917</c:v>
                </c:pt>
                <c:pt idx="841">
                  <c:v>11525.179856114592</c:v>
                </c:pt>
                <c:pt idx="842">
                  <c:v>11321.55477031862</c:v>
                </c:pt>
                <c:pt idx="843">
                  <c:v>11017.182130583942</c:v>
                </c:pt>
                <c:pt idx="844">
                  <c:v>11010.309278349647</c:v>
                </c:pt>
                <c:pt idx="845">
                  <c:v>10972.602739727761</c:v>
                </c:pt>
                <c:pt idx="846">
                  <c:v>11010.309278348395</c:v>
                </c:pt>
                <c:pt idx="847">
                  <c:v>11017.182130585194</c:v>
                </c:pt>
                <c:pt idx="848">
                  <c:v>10972.602739726053</c:v>
                </c:pt>
                <c:pt idx="849">
                  <c:v>11010.309278351366</c:v>
                </c:pt>
                <c:pt idx="850">
                  <c:v>11017.182130583942</c:v>
                </c:pt>
                <c:pt idx="851">
                  <c:v>10972.602739726053</c:v>
                </c:pt>
                <c:pt idx="852">
                  <c:v>11010.309278349647</c:v>
                </c:pt>
                <c:pt idx="853">
                  <c:v>11017.182130583942</c:v>
                </c:pt>
                <c:pt idx="854">
                  <c:v>10972.602739726053</c:v>
                </c:pt>
                <c:pt idx="855">
                  <c:v>11010.309278351366</c:v>
                </c:pt>
                <c:pt idx="856">
                  <c:v>11017.182130585194</c:v>
                </c:pt>
                <c:pt idx="857">
                  <c:v>11010.309278348395</c:v>
                </c:pt>
                <c:pt idx="858">
                  <c:v>10972.602739726053</c:v>
                </c:pt>
                <c:pt idx="859">
                  <c:v>11010.309278351366</c:v>
                </c:pt>
                <c:pt idx="860">
                  <c:v>11017.182130583942</c:v>
                </c:pt>
                <c:pt idx="861">
                  <c:v>10972.602739726053</c:v>
                </c:pt>
                <c:pt idx="862">
                  <c:v>11010.309278351366</c:v>
                </c:pt>
                <c:pt idx="863">
                  <c:v>11017.182130583473</c:v>
                </c:pt>
                <c:pt idx="864">
                  <c:v>10972.602739724807</c:v>
                </c:pt>
                <c:pt idx="865">
                  <c:v>11010.309278351366</c:v>
                </c:pt>
                <c:pt idx="866">
                  <c:v>11017.182130585194</c:v>
                </c:pt>
                <c:pt idx="867">
                  <c:v>10972.602739726053</c:v>
                </c:pt>
                <c:pt idx="868">
                  <c:v>11010.309278350116</c:v>
                </c:pt>
                <c:pt idx="869">
                  <c:v>11010.309278349647</c:v>
                </c:pt>
                <c:pt idx="870">
                  <c:v>10979.452054794696</c:v>
                </c:pt>
                <c:pt idx="871">
                  <c:v>11010.309278350116</c:v>
                </c:pt>
                <c:pt idx="872">
                  <c:v>11010.309278351366</c:v>
                </c:pt>
                <c:pt idx="873">
                  <c:v>10979.452054794696</c:v>
                </c:pt>
                <c:pt idx="874">
                  <c:v>11010.309278351366</c:v>
                </c:pt>
                <c:pt idx="875">
                  <c:v>11010.309278348395</c:v>
                </c:pt>
                <c:pt idx="876">
                  <c:v>10979.452054796404</c:v>
                </c:pt>
                <c:pt idx="877">
                  <c:v>11566.787003608601</c:v>
                </c:pt>
                <c:pt idx="878">
                  <c:v>11566.7870036105</c:v>
                </c:pt>
                <c:pt idx="879">
                  <c:v>11574.007220215843</c:v>
                </c:pt>
                <c:pt idx="880">
                  <c:v>11566.7870036105</c:v>
                </c:pt>
                <c:pt idx="881">
                  <c:v>11566.7870036105</c:v>
                </c:pt>
                <c:pt idx="882">
                  <c:v>11566.787003609186</c:v>
                </c:pt>
                <c:pt idx="883">
                  <c:v>11615.942028986978</c:v>
                </c:pt>
                <c:pt idx="884">
                  <c:v>11566.7870036105</c:v>
                </c:pt>
                <c:pt idx="885">
                  <c:v>11566.7870036105</c:v>
                </c:pt>
                <c:pt idx="886">
                  <c:v>11574.007220215843</c:v>
                </c:pt>
                <c:pt idx="887">
                  <c:v>11566.7870036105</c:v>
                </c:pt>
                <c:pt idx="888">
                  <c:v>11566.7870036105</c:v>
                </c:pt>
                <c:pt idx="889">
                  <c:v>11574.007220215843</c:v>
                </c:pt>
                <c:pt idx="890">
                  <c:v>11608.69565217331</c:v>
                </c:pt>
                <c:pt idx="891">
                  <c:v>11566.7870036105</c:v>
                </c:pt>
                <c:pt idx="892">
                  <c:v>11566.7870036105</c:v>
                </c:pt>
                <c:pt idx="893">
                  <c:v>11574.007220215843</c:v>
                </c:pt>
                <c:pt idx="894">
                  <c:v>11566.7870036105</c:v>
                </c:pt>
                <c:pt idx="895">
                  <c:v>11566.7870036105</c:v>
                </c:pt>
                <c:pt idx="896">
                  <c:v>11574.007220217156</c:v>
                </c:pt>
                <c:pt idx="897">
                  <c:v>11608.695652171993</c:v>
                </c:pt>
                <c:pt idx="898">
                  <c:v>11566.7870036105</c:v>
                </c:pt>
                <c:pt idx="899">
                  <c:v>11574.007220217156</c:v>
                </c:pt>
                <c:pt idx="900">
                  <c:v>11566.787003609186</c:v>
                </c:pt>
                <c:pt idx="901">
                  <c:v>11566.7870036105</c:v>
                </c:pt>
                <c:pt idx="902">
                  <c:v>11574.007220217156</c:v>
                </c:pt>
                <c:pt idx="903">
                  <c:v>11566.7870036105</c:v>
                </c:pt>
                <c:pt idx="904">
                  <c:v>11608.695652171993</c:v>
                </c:pt>
                <c:pt idx="905">
                  <c:v>11608.695652175224</c:v>
                </c:pt>
                <c:pt idx="906">
                  <c:v>12426.356589148145</c:v>
                </c:pt>
                <c:pt idx="907">
                  <c:v>12418.604651163478</c:v>
                </c:pt>
                <c:pt idx="908">
                  <c:v>12418.604651159882</c:v>
                </c:pt>
                <c:pt idx="909">
                  <c:v>12474.708171208149</c:v>
                </c:pt>
                <c:pt idx="910">
                  <c:v>12418.604651163478</c:v>
                </c:pt>
                <c:pt idx="911">
                  <c:v>12418.604651162068</c:v>
                </c:pt>
              </c:numCache>
            </c:numRef>
          </c:xVal>
          <c:yVal>
            <c:numRef>
              <c:f>'NUNR-012'!$D$15:$D$926</c:f>
              <c:numCache>
                <c:formatCode>0.00</c:formatCode>
                <c:ptCount val="912"/>
                <c:pt idx="0">
                  <c:v>0</c:v>
                </c:pt>
                <c:pt idx="1">
                  <c:v>15.74</c:v>
                </c:pt>
                <c:pt idx="2">
                  <c:v>32.15</c:v>
                </c:pt>
                <c:pt idx="3">
                  <c:v>48.55</c:v>
                </c:pt>
                <c:pt idx="4">
                  <c:v>64.95</c:v>
                </c:pt>
                <c:pt idx="5">
                  <c:v>81.36</c:v>
                </c:pt>
                <c:pt idx="6">
                  <c:v>97.76</c:v>
                </c:pt>
                <c:pt idx="7">
                  <c:v>114.17</c:v>
                </c:pt>
                <c:pt idx="8">
                  <c:v>130.57</c:v>
                </c:pt>
                <c:pt idx="9">
                  <c:v>146.97999999999999</c:v>
                </c:pt>
                <c:pt idx="10">
                  <c:v>163.38</c:v>
                </c:pt>
                <c:pt idx="11">
                  <c:v>179.78</c:v>
                </c:pt>
                <c:pt idx="12">
                  <c:v>196.19</c:v>
                </c:pt>
                <c:pt idx="13">
                  <c:v>212.59</c:v>
                </c:pt>
                <c:pt idx="14">
                  <c:v>229</c:v>
                </c:pt>
                <c:pt idx="15">
                  <c:v>245.4</c:v>
                </c:pt>
                <c:pt idx="16">
                  <c:v>261.8</c:v>
                </c:pt>
                <c:pt idx="17">
                  <c:v>278.20999999999998</c:v>
                </c:pt>
                <c:pt idx="18">
                  <c:v>294.61</c:v>
                </c:pt>
                <c:pt idx="19">
                  <c:v>311.02</c:v>
                </c:pt>
                <c:pt idx="20">
                  <c:v>327.42</c:v>
                </c:pt>
                <c:pt idx="21">
                  <c:v>343.82</c:v>
                </c:pt>
                <c:pt idx="22">
                  <c:v>360.23</c:v>
                </c:pt>
                <c:pt idx="23">
                  <c:v>376.63</c:v>
                </c:pt>
                <c:pt idx="24">
                  <c:v>393.04</c:v>
                </c:pt>
                <c:pt idx="25">
                  <c:v>409.44</c:v>
                </c:pt>
                <c:pt idx="26">
                  <c:v>425.84</c:v>
                </c:pt>
                <c:pt idx="27">
                  <c:v>442.25</c:v>
                </c:pt>
                <c:pt idx="28">
                  <c:v>458.65</c:v>
                </c:pt>
                <c:pt idx="29">
                  <c:v>475.06</c:v>
                </c:pt>
                <c:pt idx="30">
                  <c:v>491.46</c:v>
                </c:pt>
                <c:pt idx="31">
                  <c:v>507.86</c:v>
                </c:pt>
                <c:pt idx="32">
                  <c:v>524.27</c:v>
                </c:pt>
                <c:pt idx="33">
                  <c:v>540.66999999999996</c:v>
                </c:pt>
                <c:pt idx="34">
                  <c:v>557.08000000000004</c:v>
                </c:pt>
                <c:pt idx="35">
                  <c:v>573.48</c:v>
                </c:pt>
                <c:pt idx="36">
                  <c:v>589.89</c:v>
                </c:pt>
                <c:pt idx="37">
                  <c:v>606.29</c:v>
                </c:pt>
                <c:pt idx="38">
                  <c:v>622.69000000000005</c:v>
                </c:pt>
                <c:pt idx="39">
                  <c:v>639.1</c:v>
                </c:pt>
                <c:pt idx="40">
                  <c:v>655.5</c:v>
                </c:pt>
                <c:pt idx="41">
                  <c:v>671.91</c:v>
                </c:pt>
                <c:pt idx="42">
                  <c:v>688.31</c:v>
                </c:pt>
                <c:pt idx="43">
                  <c:v>704.71</c:v>
                </c:pt>
                <c:pt idx="44">
                  <c:v>721.12</c:v>
                </c:pt>
                <c:pt idx="45">
                  <c:v>737.52</c:v>
                </c:pt>
                <c:pt idx="46">
                  <c:v>753.93</c:v>
                </c:pt>
                <c:pt idx="47">
                  <c:v>770.33</c:v>
                </c:pt>
                <c:pt idx="48">
                  <c:v>786.74</c:v>
                </c:pt>
                <c:pt idx="49">
                  <c:v>803.14</c:v>
                </c:pt>
                <c:pt idx="50">
                  <c:v>819.54</c:v>
                </c:pt>
                <c:pt idx="51">
                  <c:v>835.95</c:v>
                </c:pt>
                <c:pt idx="52">
                  <c:v>852.35</c:v>
                </c:pt>
                <c:pt idx="53">
                  <c:v>868.76</c:v>
                </c:pt>
                <c:pt idx="54">
                  <c:v>885.16</c:v>
                </c:pt>
                <c:pt idx="55">
                  <c:v>901.56</c:v>
                </c:pt>
                <c:pt idx="56">
                  <c:v>917.97</c:v>
                </c:pt>
                <c:pt idx="57">
                  <c:v>934.37</c:v>
                </c:pt>
                <c:pt idx="58">
                  <c:v>950.78</c:v>
                </c:pt>
                <c:pt idx="59">
                  <c:v>967.18</c:v>
                </c:pt>
                <c:pt idx="60">
                  <c:v>983.58</c:v>
                </c:pt>
                <c:pt idx="61">
                  <c:v>999.99</c:v>
                </c:pt>
                <c:pt idx="62">
                  <c:v>1016.39</c:v>
                </c:pt>
                <c:pt idx="63" formatCode="0.0">
                  <c:v>1032.8</c:v>
                </c:pt>
                <c:pt idx="64" formatCode="0.0">
                  <c:v>1049.2</c:v>
                </c:pt>
                <c:pt idx="65" formatCode="0.0">
                  <c:v>1065.5999999999999</c:v>
                </c:pt>
                <c:pt idx="66" formatCode="0.0">
                  <c:v>1082.01</c:v>
                </c:pt>
                <c:pt idx="67" formatCode="0.0">
                  <c:v>1098.4100000000001</c:v>
                </c:pt>
                <c:pt idx="68" formatCode="0.0">
                  <c:v>1114.82</c:v>
                </c:pt>
                <c:pt idx="69" formatCode="0.0">
                  <c:v>1131.22</c:v>
                </c:pt>
                <c:pt idx="70" formatCode="0.0">
                  <c:v>1147.6199999999999</c:v>
                </c:pt>
                <c:pt idx="71" formatCode="0.0">
                  <c:v>1164.03</c:v>
                </c:pt>
                <c:pt idx="72" formatCode="0.0">
                  <c:v>1180.43</c:v>
                </c:pt>
                <c:pt idx="73" formatCode="0.0">
                  <c:v>1196.8399999999999</c:v>
                </c:pt>
                <c:pt idx="74" formatCode="0.0">
                  <c:v>1213.24</c:v>
                </c:pt>
                <c:pt idx="75" formatCode="0.0">
                  <c:v>1229.6400000000001</c:v>
                </c:pt>
                <c:pt idx="76" formatCode="0.0">
                  <c:v>1246.05</c:v>
                </c:pt>
                <c:pt idx="77" formatCode="0.0">
                  <c:v>1262.45</c:v>
                </c:pt>
                <c:pt idx="78" formatCode="0.0">
                  <c:v>1278.8599999999999</c:v>
                </c:pt>
                <c:pt idx="79" formatCode="0.0">
                  <c:v>1295.26</c:v>
                </c:pt>
                <c:pt idx="80" formatCode="0.0">
                  <c:v>1311.66</c:v>
                </c:pt>
                <c:pt idx="81" formatCode="0.0">
                  <c:v>1328.07</c:v>
                </c:pt>
                <c:pt idx="82" formatCode="0.0">
                  <c:v>1344.47</c:v>
                </c:pt>
                <c:pt idx="83" formatCode="0.0">
                  <c:v>1360.88</c:v>
                </c:pt>
                <c:pt idx="84" formatCode="0.0">
                  <c:v>1377.28</c:v>
                </c:pt>
                <c:pt idx="85" formatCode="0.0">
                  <c:v>1393.68</c:v>
                </c:pt>
                <c:pt idx="86" formatCode="0.0">
                  <c:v>1410.09</c:v>
                </c:pt>
                <c:pt idx="87" formatCode="0.0">
                  <c:v>1426.49</c:v>
                </c:pt>
                <c:pt idx="88" formatCode="0.0">
                  <c:v>1442.9</c:v>
                </c:pt>
                <c:pt idx="89" formatCode="0.0">
                  <c:v>1459.3</c:v>
                </c:pt>
                <c:pt idx="90" formatCode="0.0">
                  <c:v>1475.71</c:v>
                </c:pt>
                <c:pt idx="91" formatCode="0.0">
                  <c:v>1492.11</c:v>
                </c:pt>
                <c:pt idx="92" formatCode="0.0">
                  <c:v>1508.51</c:v>
                </c:pt>
                <c:pt idx="93" formatCode="0.0">
                  <c:v>1524.92</c:v>
                </c:pt>
                <c:pt idx="94" formatCode="0.0">
                  <c:v>1541.32</c:v>
                </c:pt>
                <c:pt idx="95" formatCode="0.0">
                  <c:v>1557.73</c:v>
                </c:pt>
                <c:pt idx="96" formatCode="0.0">
                  <c:v>1574.13</c:v>
                </c:pt>
                <c:pt idx="97" formatCode="0.0">
                  <c:v>1590.53</c:v>
                </c:pt>
                <c:pt idx="98" formatCode="0.0">
                  <c:v>1606.94</c:v>
                </c:pt>
                <c:pt idx="99" formatCode="0.0">
                  <c:v>1623.34</c:v>
                </c:pt>
                <c:pt idx="100" formatCode="0.0">
                  <c:v>1639.75</c:v>
                </c:pt>
                <c:pt idx="101" formatCode="0.0">
                  <c:v>1656.15</c:v>
                </c:pt>
                <c:pt idx="102" formatCode="0.0">
                  <c:v>1672.55</c:v>
                </c:pt>
                <c:pt idx="103" formatCode="0.0">
                  <c:v>1688.96</c:v>
                </c:pt>
                <c:pt idx="104" formatCode="0.0">
                  <c:v>1705.36</c:v>
                </c:pt>
                <c:pt idx="105" formatCode="0.0">
                  <c:v>1721.77</c:v>
                </c:pt>
                <c:pt idx="106" formatCode="0.0">
                  <c:v>1738.17</c:v>
                </c:pt>
                <c:pt idx="107" formatCode="0.0">
                  <c:v>1754.57</c:v>
                </c:pt>
                <c:pt idx="108" formatCode="0.0">
                  <c:v>1770.98</c:v>
                </c:pt>
                <c:pt idx="109" formatCode="0.0">
                  <c:v>1787.38</c:v>
                </c:pt>
                <c:pt idx="110" formatCode="0.0">
                  <c:v>1803.79</c:v>
                </c:pt>
                <c:pt idx="111" formatCode="0.0">
                  <c:v>1820.19</c:v>
                </c:pt>
                <c:pt idx="112" formatCode="0.0">
                  <c:v>1836.59</c:v>
                </c:pt>
                <c:pt idx="113" formatCode="0.0">
                  <c:v>1853</c:v>
                </c:pt>
                <c:pt idx="114" formatCode="0.0">
                  <c:v>1869.4</c:v>
                </c:pt>
                <c:pt idx="115" formatCode="0.0">
                  <c:v>1885.81</c:v>
                </c:pt>
                <c:pt idx="116" formatCode="0.0">
                  <c:v>1902.21</c:v>
                </c:pt>
                <c:pt idx="117" formatCode="0.0">
                  <c:v>1918.61</c:v>
                </c:pt>
                <c:pt idx="118" formatCode="0.0">
                  <c:v>1935.02</c:v>
                </c:pt>
                <c:pt idx="119" formatCode="0.0">
                  <c:v>1951.42</c:v>
                </c:pt>
                <c:pt idx="120" formatCode="0.0">
                  <c:v>1967.83</c:v>
                </c:pt>
                <c:pt idx="121" formatCode="0.0">
                  <c:v>1984.23</c:v>
                </c:pt>
                <c:pt idx="122" formatCode="0.0">
                  <c:v>2000.63</c:v>
                </c:pt>
                <c:pt idx="123" formatCode="0.0">
                  <c:v>2017.04</c:v>
                </c:pt>
                <c:pt idx="124" formatCode="0.0">
                  <c:v>2033.44</c:v>
                </c:pt>
                <c:pt idx="125" formatCode="0.0">
                  <c:v>2049.85</c:v>
                </c:pt>
                <c:pt idx="126" formatCode="0.0">
                  <c:v>2066.25</c:v>
                </c:pt>
                <c:pt idx="127" formatCode="0.0">
                  <c:v>2082.65</c:v>
                </c:pt>
                <c:pt idx="128" formatCode="0.0">
                  <c:v>2099.06</c:v>
                </c:pt>
                <c:pt idx="129" formatCode="0.0">
                  <c:v>2115.46</c:v>
                </c:pt>
                <c:pt idx="130" formatCode="0.0">
                  <c:v>2131.87</c:v>
                </c:pt>
                <c:pt idx="131" formatCode="0.0">
                  <c:v>2148.27</c:v>
                </c:pt>
                <c:pt idx="132" formatCode="0.0">
                  <c:v>2164.6799999999998</c:v>
                </c:pt>
                <c:pt idx="133" formatCode="0.0">
                  <c:v>2181.08</c:v>
                </c:pt>
                <c:pt idx="134" formatCode="0.0">
                  <c:v>2197.48</c:v>
                </c:pt>
                <c:pt idx="135" formatCode="0.0">
                  <c:v>2213.89</c:v>
                </c:pt>
                <c:pt idx="136" formatCode="0.0">
                  <c:v>2230.29</c:v>
                </c:pt>
                <c:pt idx="137" formatCode="0.0">
                  <c:v>2246.6999999999998</c:v>
                </c:pt>
                <c:pt idx="138" formatCode="0.0">
                  <c:v>2263.1</c:v>
                </c:pt>
                <c:pt idx="139" formatCode="0.0">
                  <c:v>2279.5</c:v>
                </c:pt>
                <c:pt idx="140" formatCode="0.0">
                  <c:v>2295.91</c:v>
                </c:pt>
                <c:pt idx="141" formatCode="0.0">
                  <c:v>2312.31</c:v>
                </c:pt>
                <c:pt idx="142" formatCode="0.0">
                  <c:v>2328.7199999999998</c:v>
                </c:pt>
                <c:pt idx="143" formatCode="0.0">
                  <c:v>2345.12</c:v>
                </c:pt>
                <c:pt idx="144" formatCode="0.0">
                  <c:v>2361.52</c:v>
                </c:pt>
                <c:pt idx="145" formatCode="0.0">
                  <c:v>2377.9299999999998</c:v>
                </c:pt>
                <c:pt idx="146" formatCode="0.0">
                  <c:v>2394.33</c:v>
                </c:pt>
                <c:pt idx="147" formatCode="0.0">
                  <c:v>2410.7399999999998</c:v>
                </c:pt>
                <c:pt idx="148" formatCode="0.0">
                  <c:v>2427.14</c:v>
                </c:pt>
                <c:pt idx="149" formatCode="0.0">
                  <c:v>2443.54</c:v>
                </c:pt>
                <c:pt idx="150" formatCode="0.0">
                  <c:v>2459.9499999999998</c:v>
                </c:pt>
                <c:pt idx="151" formatCode="0.0">
                  <c:v>2476.35</c:v>
                </c:pt>
                <c:pt idx="152" formatCode="0.0">
                  <c:v>2492.75</c:v>
                </c:pt>
                <c:pt idx="153" formatCode="0.0">
                  <c:v>2509.16</c:v>
                </c:pt>
                <c:pt idx="154" formatCode="0.0">
                  <c:v>2525.56</c:v>
                </c:pt>
                <c:pt idx="155" formatCode="0.0">
                  <c:v>2541.96</c:v>
                </c:pt>
                <c:pt idx="156" formatCode="0.0">
                  <c:v>2558.37</c:v>
                </c:pt>
                <c:pt idx="157" formatCode="0.0">
                  <c:v>2574.77</c:v>
                </c:pt>
                <c:pt idx="158" formatCode="0.0">
                  <c:v>2591.1799999999998</c:v>
                </c:pt>
                <c:pt idx="159" formatCode="0.0">
                  <c:v>2607.58</c:v>
                </c:pt>
                <c:pt idx="160" formatCode="0.0">
                  <c:v>2623.98</c:v>
                </c:pt>
                <c:pt idx="161" formatCode="0.0">
                  <c:v>2640.39</c:v>
                </c:pt>
                <c:pt idx="162" formatCode="0.0">
                  <c:v>2656.79</c:v>
                </c:pt>
                <c:pt idx="163" formatCode="0.0">
                  <c:v>2673.19</c:v>
                </c:pt>
                <c:pt idx="164" formatCode="0.0">
                  <c:v>2689.6</c:v>
                </c:pt>
                <c:pt idx="165" formatCode="0.0">
                  <c:v>2706</c:v>
                </c:pt>
                <c:pt idx="166" formatCode="0.0">
                  <c:v>2722.4</c:v>
                </c:pt>
                <c:pt idx="167" formatCode="0.0">
                  <c:v>2738.81</c:v>
                </c:pt>
                <c:pt idx="168" formatCode="0.0">
                  <c:v>2755.21</c:v>
                </c:pt>
                <c:pt idx="169" formatCode="0.0">
                  <c:v>2771.61</c:v>
                </c:pt>
                <c:pt idx="170" formatCode="0.0">
                  <c:v>2788.02</c:v>
                </c:pt>
                <c:pt idx="171" formatCode="0.0">
                  <c:v>2804.42</c:v>
                </c:pt>
                <c:pt idx="172" formatCode="0.0">
                  <c:v>2820.82</c:v>
                </c:pt>
                <c:pt idx="173" formatCode="0.0">
                  <c:v>2837.23</c:v>
                </c:pt>
                <c:pt idx="174" formatCode="0.0">
                  <c:v>2853.63</c:v>
                </c:pt>
                <c:pt idx="175" formatCode="0.0">
                  <c:v>2870.03</c:v>
                </c:pt>
                <c:pt idx="176" formatCode="0.0">
                  <c:v>2886.44</c:v>
                </c:pt>
                <c:pt idx="177" formatCode="0.0">
                  <c:v>2902.84</c:v>
                </c:pt>
                <c:pt idx="178" formatCode="0.0">
                  <c:v>2919.24</c:v>
                </c:pt>
                <c:pt idx="179" formatCode="0.0">
                  <c:v>2935.65</c:v>
                </c:pt>
                <c:pt idx="180" formatCode="0.0">
                  <c:v>2952.05</c:v>
                </c:pt>
                <c:pt idx="181" formatCode="0.0">
                  <c:v>2968.45</c:v>
                </c:pt>
                <c:pt idx="182" formatCode="0.0">
                  <c:v>2984.86</c:v>
                </c:pt>
                <c:pt idx="183" formatCode="0.0">
                  <c:v>3001.26</c:v>
                </c:pt>
                <c:pt idx="184" formatCode="0.0">
                  <c:v>3017.66</c:v>
                </c:pt>
                <c:pt idx="185" formatCode="0.0">
                  <c:v>3034.07</c:v>
                </c:pt>
                <c:pt idx="186" formatCode="0.0">
                  <c:v>3050.47</c:v>
                </c:pt>
                <c:pt idx="187" formatCode="0.0">
                  <c:v>3066.87</c:v>
                </c:pt>
                <c:pt idx="188" formatCode="0.0">
                  <c:v>3083.28</c:v>
                </c:pt>
                <c:pt idx="189" formatCode="0.0">
                  <c:v>3099.68</c:v>
                </c:pt>
                <c:pt idx="190" formatCode="0.0">
                  <c:v>3116.09</c:v>
                </c:pt>
                <c:pt idx="191" formatCode="0.0">
                  <c:v>3132.49</c:v>
                </c:pt>
                <c:pt idx="192" formatCode="0.0">
                  <c:v>3148.89</c:v>
                </c:pt>
                <c:pt idx="193" formatCode="0.0">
                  <c:v>3165.3</c:v>
                </c:pt>
                <c:pt idx="194" formatCode="0.0">
                  <c:v>3181.7</c:v>
                </c:pt>
                <c:pt idx="195" formatCode="0.0">
                  <c:v>3198.1</c:v>
                </c:pt>
                <c:pt idx="196" formatCode="0.0">
                  <c:v>3214.51</c:v>
                </c:pt>
                <c:pt idx="197" formatCode="0.0">
                  <c:v>3230.91</c:v>
                </c:pt>
                <c:pt idx="198" formatCode="0.0">
                  <c:v>3247.31</c:v>
                </c:pt>
                <c:pt idx="199" formatCode="0.0">
                  <c:v>3263.72</c:v>
                </c:pt>
                <c:pt idx="200" formatCode="0.0">
                  <c:v>3280.12</c:v>
                </c:pt>
                <c:pt idx="201" formatCode="0.0">
                  <c:v>3296.52</c:v>
                </c:pt>
                <c:pt idx="202" formatCode="0.0">
                  <c:v>3312.93</c:v>
                </c:pt>
                <c:pt idx="203" formatCode="0.0">
                  <c:v>3329.33</c:v>
                </c:pt>
                <c:pt idx="204" formatCode="0.0">
                  <c:v>3345.73</c:v>
                </c:pt>
                <c:pt idx="205" formatCode="0.0">
                  <c:v>3362.13</c:v>
                </c:pt>
                <c:pt idx="206" formatCode="0.0">
                  <c:v>3378.54</c:v>
                </c:pt>
                <c:pt idx="207" formatCode="0.0">
                  <c:v>3394.94</c:v>
                </c:pt>
                <c:pt idx="208" formatCode="0.0">
                  <c:v>3411.34</c:v>
                </c:pt>
                <c:pt idx="209" formatCode="0.0">
                  <c:v>3427.74</c:v>
                </c:pt>
                <c:pt idx="210" formatCode="0.0">
                  <c:v>3444.15</c:v>
                </c:pt>
                <c:pt idx="211" formatCode="0.0">
                  <c:v>3460.55</c:v>
                </c:pt>
                <c:pt idx="212" formatCode="0.0">
                  <c:v>3476.95</c:v>
                </c:pt>
                <c:pt idx="213" formatCode="0.0">
                  <c:v>3493.35</c:v>
                </c:pt>
                <c:pt idx="214" formatCode="0.0">
                  <c:v>3509.76</c:v>
                </c:pt>
                <c:pt idx="215" formatCode="0.0">
                  <c:v>3526.16</c:v>
                </c:pt>
                <c:pt idx="216" formatCode="0.0">
                  <c:v>3542.56</c:v>
                </c:pt>
                <c:pt idx="217" formatCode="0.0">
                  <c:v>3558.97</c:v>
                </c:pt>
                <c:pt idx="218" formatCode="0.0">
                  <c:v>3575.37</c:v>
                </c:pt>
                <c:pt idx="219" formatCode="0.0">
                  <c:v>3591.77</c:v>
                </c:pt>
                <c:pt idx="220" formatCode="0.0">
                  <c:v>3608.17</c:v>
                </c:pt>
                <c:pt idx="221" formatCode="0.0">
                  <c:v>3624.58</c:v>
                </c:pt>
                <c:pt idx="222" formatCode="0.0">
                  <c:v>3640.98</c:v>
                </c:pt>
                <c:pt idx="223" formatCode="0.0">
                  <c:v>3657.38</c:v>
                </c:pt>
                <c:pt idx="224" formatCode="0.0">
                  <c:v>3673.78</c:v>
                </c:pt>
                <c:pt idx="225" formatCode="0.0">
                  <c:v>3690.19</c:v>
                </c:pt>
                <c:pt idx="226" formatCode="0.0">
                  <c:v>3706.59</c:v>
                </c:pt>
                <c:pt idx="227" formatCode="0.0">
                  <c:v>3722.99</c:v>
                </c:pt>
                <c:pt idx="228" formatCode="0.0">
                  <c:v>3739.4</c:v>
                </c:pt>
                <c:pt idx="229" formatCode="0.0">
                  <c:v>3755.8</c:v>
                </c:pt>
                <c:pt idx="230" formatCode="0.0">
                  <c:v>3772.2</c:v>
                </c:pt>
                <c:pt idx="231" formatCode="0.0">
                  <c:v>3788.6</c:v>
                </c:pt>
                <c:pt idx="232" formatCode="0.0">
                  <c:v>3805</c:v>
                </c:pt>
                <c:pt idx="233" formatCode="0.0">
                  <c:v>3821.41</c:v>
                </c:pt>
                <c:pt idx="234" formatCode="0.0">
                  <c:v>3837.81</c:v>
                </c:pt>
                <c:pt idx="235" formatCode="0.0">
                  <c:v>3854.21</c:v>
                </c:pt>
                <c:pt idx="236" formatCode="0.0">
                  <c:v>3870.61</c:v>
                </c:pt>
                <c:pt idx="237" formatCode="0.0">
                  <c:v>3887.01</c:v>
                </c:pt>
                <c:pt idx="238" formatCode="0.0">
                  <c:v>3903.41</c:v>
                </c:pt>
                <c:pt idx="239" formatCode="0.0">
                  <c:v>3919.82</c:v>
                </c:pt>
                <c:pt idx="240" formatCode="0.0">
                  <c:v>3936.22</c:v>
                </c:pt>
                <c:pt idx="241" formatCode="0.0">
                  <c:v>3952.62</c:v>
                </c:pt>
                <c:pt idx="242" formatCode="0.0">
                  <c:v>3969.02</c:v>
                </c:pt>
                <c:pt idx="243" formatCode="0.0">
                  <c:v>3985.42</c:v>
                </c:pt>
                <c:pt idx="244" formatCode="0.0">
                  <c:v>4001.83</c:v>
                </c:pt>
                <c:pt idx="245" formatCode="0.0">
                  <c:v>4018.23</c:v>
                </c:pt>
                <c:pt idx="246" formatCode="0.0">
                  <c:v>4034.63</c:v>
                </c:pt>
                <c:pt idx="247" formatCode="0.0">
                  <c:v>4051.03</c:v>
                </c:pt>
                <c:pt idx="248" formatCode="0.0">
                  <c:v>4067.44</c:v>
                </c:pt>
                <c:pt idx="249" formatCode="0.0">
                  <c:v>4083.84</c:v>
                </c:pt>
                <c:pt idx="250" formatCode="0.0">
                  <c:v>4100.24</c:v>
                </c:pt>
                <c:pt idx="251" formatCode="0.0">
                  <c:v>4116.6499999999996</c:v>
                </c:pt>
                <c:pt idx="252" formatCode="0.0">
                  <c:v>4133.05</c:v>
                </c:pt>
                <c:pt idx="253" formatCode="0.0">
                  <c:v>4149.45</c:v>
                </c:pt>
                <c:pt idx="254" formatCode="0.0">
                  <c:v>4165.8500000000004</c:v>
                </c:pt>
                <c:pt idx="255" formatCode="0.0">
                  <c:v>4182.26</c:v>
                </c:pt>
                <c:pt idx="256" formatCode="0.0">
                  <c:v>4198.66</c:v>
                </c:pt>
                <c:pt idx="257" formatCode="0.0">
                  <c:v>4215.0600000000004</c:v>
                </c:pt>
                <c:pt idx="258" formatCode="0.0">
                  <c:v>4231.46</c:v>
                </c:pt>
                <c:pt idx="259" formatCode="0.0">
                  <c:v>4247.87</c:v>
                </c:pt>
                <c:pt idx="260" formatCode="0.0">
                  <c:v>4264.2700000000004</c:v>
                </c:pt>
                <c:pt idx="261" formatCode="0.0">
                  <c:v>4280.67</c:v>
                </c:pt>
                <c:pt idx="262" formatCode="0.0">
                  <c:v>4297.07</c:v>
                </c:pt>
                <c:pt idx="263" formatCode="0.0">
                  <c:v>4313.47</c:v>
                </c:pt>
                <c:pt idx="264" formatCode="0.0">
                  <c:v>4329.87</c:v>
                </c:pt>
                <c:pt idx="265" formatCode="0.0">
                  <c:v>4346.2700000000004</c:v>
                </c:pt>
                <c:pt idx="266" formatCode="0.0">
                  <c:v>4362.68</c:v>
                </c:pt>
                <c:pt idx="267" formatCode="0.0">
                  <c:v>4379.08</c:v>
                </c:pt>
                <c:pt idx="268" formatCode="0.0">
                  <c:v>4395.4799999999996</c:v>
                </c:pt>
                <c:pt idx="269" formatCode="0.0">
                  <c:v>4411.88</c:v>
                </c:pt>
                <c:pt idx="270" formatCode="0.0">
                  <c:v>4428.28</c:v>
                </c:pt>
                <c:pt idx="271" formatCode="0.0">
                  <c:v>4444.68</c:v>
                </c:pt>
                <c:pt idx="272" formatCode="0.0">
                  <c:v>4461.08</c:v>
                </c:pt>
                <c:pt idx="273" formatCode="0.0">
                  <c:v>4477.46</c:v>
                </c:pt>
                <c:pt idx="274" formatCode="0.0">
                  <c:v>4493.84</c:v>
                </c:pt>
                <c:pt idx="275" formatCode="0.0">
                  <c:v>4510.22</c:v>
                </c:pt>
                <c:pt idx="276" formatCode="0.0">
                  <c:v>4526.59</c:v>
                </c:pt>
                <c:pt idx="277" formatCode="0.0">
                  <c:v>4542.97</c:v>
                </c:pt>
                <c:pt idx="278" formatCode="0.0">
                  <c:v>4559.34</c:v>
                </c:pt>
                <c:pt idx="279" formatCode="0.0">
                  <c:v>4575.6899999999996</c:v>
                </c:pt>
                <c:pt idx="280" formatCode="0.0">
                  <c:v>4592</c:v>
                </c:pt>
                <c:pt idx="281" formatCode="0.0">
                  <c:v>4608.32</c:v>
                </c:pt>
                <c:pt idx="282" formatCode="0.0">
                  <c:v>4624.6400000000003</c:v>
                </c:pt>
                <c:pt idx="283" formatCode="0.0">
                  <c:v>4640.95</c:v>
                </c:pt>
                <c:pt idx="284" formatCode="0.0">
                  <c:v>4657.2700000000004</c:v>
                </c:pt>
                <c:pt idx="285" formatCode="0.0">
                  <c:v>4673.55</c:v>
                </c:pt>
                <c:pt idx="286" formatCode="0.0">
                  <c:v>4689.8100000000004</c:v>
                </c:pt>
                <c:pt idx="287" formatCode="0.0">
                  <c:v>4706.0600000000004</c:v>
                </c:pt>
                <c:pt idx="288" formatCode="0.0">
                  <c:v>4722.32</c:v>
                </c:pt>
                <c:pt idx="289" formatCode="0.0">
                  <c:v>4738.57</c:v>
                </c:pt>
                <c:pt idx="290" formatCode="0.0">
                  <c:v>4754.83</c:v>
                </c:pt>
                <c:pt idx="291" formatCode="0.0">
                  <c:v>4771.05</c:v>
                </c:pt>
                <c:pt idx="292" formatCode="0.0">
                  <c:v>4787.24</c:v>
                </c:pt>
                <c:pt idx="293" formatCode="0.0">
                  <c:v>4803.43</c:v>
                </c:pt>
                <c:pt idx="294" formatCode="0.0">
                  <c:v>4819.63</c:v>
                </c:pt>
                <c:pt idx="295" formatCode="0.0">
                  <c:v>4835.82</c:v>
                </c:pt>
                <c:pt idx="296" formatCode="0.0">
                  <c:v>4852.01</c:v>
                </c:pt>
                <c:pt idx="297" formatCode="0.0">
                  <c:v>4868.16</c:v>
                </c:pt>
                <c:pt idx="298" formatCode="0.0">
                  <c:v>4884.2299999999996</c:v>
                </c:pt>
                <c:pt idx="299" formatCode="0.0">
                  <c:v>4900.3100000000004</c:v>
                </c:pt>
                <c:pt idx="300" formatCode="0.0">
                  <c:v>4916.38</c:v>
                </c:pt>
                <c:pt idx="301" formatCode="0.0">
                  <c:v>4932.46</c:v>
                </c:pt>
                <c:pt idx="302" formatCode="0.0">
                  <c:v>4948.53</c:v>
                </c:pt>
                <c:pt idx="303" formatCode="0.0">
                  <c:v>4964.57</c:v>
                </c:pt>
                <c:pt idx="304" formatCode="0.0">
                  <c:v>4980.51</c:v>
                </c:pt>
                <c:pt idx="305" formatCode="0.0">
                  <c:v>4996.4399999999996</c:v>
                </c:pt>
                <c:pt idx="306" formatCode="0.0">
                  <c:v>5012.38</c:v>
                </c:pt>
                <c:pt idx="307" formatCode="0.0">
                  <c:v>5028.3100000000004</c:v>
                </c:pt>
                <c:pt idx="308" formatCode="0.0">
                  <c:v>5044.24</c:v>
                </c:pt>
                <c:pt idx="309" formatCode="0.0">
                  <c:v>5060.16</c:v>
                </c:pt>
                <c:pt idx="310" formatCode="0.0">
                  <c:v>5075.96</c:v>
                </c:pt>
                <c:pt idx="311" formatCode="0.0">
                  <c:v>5091.76</c:v>
                </c:pt>
                <c:pt idx="312" formatCode="0.0">
                  <c:v>5107.55</c:v>
                </c:pt>
                <c:pt idx="313" formatCode="0.0">
                  <c:v>5123.3500000000004</c:v>
                </c:pt>
                <c:pt idx="314" formatCode="0.0">
                  <c:v>5139.1499999999996</c:v>
                </c:pt>
                <c:pt idx="315" formatCode="0.0">
                  <c:v>5154.95</c:v>
                </c:pt>
                <c:pt idx="316" formatCode="0.0">
                  <c:v>5170.6400000000003</c:v>
                </c:pt>
                <c:pt idx="317" formatCode="0.0">
                  <c:v>5186.34</c:v>
                </c:pt>
                <c:pt idx="318" formatCode="0.0">
                  <c:v>5202.04</c:v>
                </c:pt>
                <c:pt idx="319" formatCode="0.0">
                  <c:v>5217.74</c:v>
                </c:pt>
                <c:pt idx="320" formatCode="0.0">
                  <c:v>5233.43</c:v>
                </c:pt>
                <c:pt idx="321" formatCode="0.0">
                  <c:v>5249.13</c:v>
                </c:pt>
                <c:pt idx="322" formatCode="0.0">
                  <c:v>5264.8</c:v>
                </c:pt>
                <c:pt idx="323" formatCode="0.0">
                  <c:v>5280.47</c:v>
                </c:pt>
                <c:pt idx="324" formatCode="0.0">
                  <c:v>5296.13</c:v>
                </c:pt>
                <c:pt idx="325" formatCode="0.0">
                  <c:v>5311.8</c:v>
                </c:pt>
                <c:pt idx="326" formatCode="0.0">
                  <c:v>5327.47</c:v>
                </c:pt>
                <c:pt idx="327" formatCode="0.0">
                  <c:v>5343.13</c:v>
                </c:pt>
                <c:pt idx="328" formatCode="0.0">
                  <c:v>5358.73</c:v>
                </c:pt>
                <c:pt idx="329" formatCode="0.0">
                  <c:v>5374.31</c:v>
                </c:pt>
                <c:pt idx="330" formatCode="0.0">
                  <c:v>5389.89</c:v>
                </c:pt>
                <c:pt idx="331" formatCode="0.0">
                  <c:v>5405.46</c:v>
                </c:pt>
                <c:pt idx="332" formatCode="0.0">
                  <c:v>5421.04</c:v>
                </c:pt>
                <c:pt idx="333" formatCode="0.0">
                  <c:v>5436.62</c:v>
                </c:pt>
                <c:pt idx="334" formatCode="0.0">
                  <c:v>5452.06</c:v>
                </c:pt>
                <c:pt idx="335" formatCode="0.0">
                  <c:v>5467.45</c:v>
                </c:pt>
                <c:pt idx="336" formatCode="0.0">
                  <c:v>5482.84</c:v>
                </c:pt>
                <c:pt idx="337" formatCode="0.0">
                  <c:v>5498.23</c:v>
                </c:pt>
                <c:pt idx="338" formatCode="0.0">
                  <c:v>5513.62</c:v>
                </c:pt>
                <c:pt idx="339" formatCode="0.0">
                  <c:v>5529.01</c:v>
                </c:pt>
                <c:pt idx="340" formatCode="0.0">
                  <c:v>5544.28</c:v>
                </c:pt>
                <c:pt idx="341" formatCode="0.0">
                  <c:v>5559.48</c:v>
                </c:pt>
                <c:pt idx="342" formatCode="0.0">
                  <c:v>5574.67</c:v>
                </c:pt>
                <c:pt idx="343" formatCode="0.0">
                  <c:v>5589.87</c:v>
                </c:pt>
                <c:pt idx="344" formatCode="0.0">
                  <c:v>5605.06</c:v>
                </c:pt>
                <c:pt idx="345" formatCode="0.0">
                  <c:v>5620.26</c:v>
                </c:pt>
                <c:pt idx="346" formatCode="0.0">
                  <c:v>5635.41</c:v>
                </c:pt>
                <c:pt idx="347" formatCode="0.0">
                  <c:v>5650.53</c:v>
                </c:pt>
                <c:pt idx="348" formatCode="0.0">
                  <c:v>5665.64</c:v>
                </c:pt>
                <c:pt idx="349" formatCode="0.0">
                  <c:v>5680.75</c:v>
                </c:pt>
                <c:pt idx="350" formatCode="0.0">
                  <c:v>5695.87</c:v>
                </c:pt>
                <c:pt idx="351" formatCode="0.0">
                  <c:v>5710.98</c:v>
                </c:pt>
                <c:pt idx="352" formatCode="0.0">
                  <c:v>5726.14</c:v>
                </c:pt>
                <c:pt idx="353" formatCode="0.0">
                  <c:v>5741.35</c:v>
                </c:pt>
                <c:pt idx="354" formatCode="0.0">
                  <c:v>5756.56</c:v>
                </c:pt>
                <c:pt idx="355" formatCode="0.0">
                  <c:v>5771.77</c:v>
                </c:pt>
                <c:pt idx="356" formatCode="0.0">
                  <c:v>5786.98</c:v>
                </c:pt>
                <c:pt idx="357" formatCode="0.0">
                  <c:v>5802.19</c:v>
                </c:pt>
                <c:pt idx="358" formatCode="0.0">
                  <c:v>5817.42</c:v>
                </c:pt>
                <c:pt idx="359" formatCode="0.0">
                  <c:v>5832.71</c:v>
                </c:pt>
                <c:pt idx="360" formatCode="0.0">
                  <c:v>5848</c:v>
                </c:pt>
                <c:pt idx="361" formatCode="0.0">
                  <c:v>5863.29</c:v>
                </c:pt>
                <c:pt idx="362" formatCode="0.0">
                  <c:v>5878.58</c:v>
                </c:pt>
                <c:pt idx="363" formatCode="0.0">
                  <c:v>5893.87</c:v>
                </c:pt>
                <c:pt idx="364" formatCode="0.0">
                  <c:v>5909.16</c:v>
                </c:pt>
                <c:pt idx="365" formatCode="0.0">
                  <c:v>5924.44</c:v>
                </c:pt>
                <c:pt idx="366" formatCode="0.0">
                  <c:v>5939.73</c:v>
                </c:pt>
                <c:pt idx="367" formatCode="0.0">
                  <c:v>5955.02</c:v>
                </c:pt>
                <c:pt idx="368" formatCode="0.0">
                  <c:v>5970.31</c:v>
                </c:pt>
                <c:pt idx="369" formatCode="0.0">
                  <c:v>5985.6</c:v>
                </c:pt>
                <c:pt idx="370" formatCode="0.0">
                  <c:v>6000.88</c:v>
                </c:pt>
                <c:pt idx="371" formatCode="0.0">
                  <c:v>6016.12</c:v>
                </c:pt>
                <c:pt idx="372" formatCode="0.0">
                  <c:v>6031.35</c:v>
                </c:pt>
                <c:pt idx="373" formatCode="0.0">
                  <c:v>6046.59</c:v>
                </c:pt>
                <c:pt idx="374" formatCode="0.0">
                  <c:v>6061.83</c:v>
                </c:pt>
                <c:pt idx="375" formatCode="0.0">
                  <c:v>6077.06</c:v>
                </c:pt>
                <c:pt idx="376" formatCode="0.0">
                  <c:v>6092.3</c:v>
                </c:pt>
                <c:pt idx="377" formatCode="0.0">
                  <c:v>6107.45</c:v>
                </c:pt>
                <c:pt idx="378" formatCode="0.0">
                  <c:v>6122.61</c:v>
                </c:pt>
                <c:pt idx="379" formatCode="0.0">
                  <c:v>6137.76</c:v>
                </c:pt>
                <c:pt idx="380" formatCode="0.0">
                  <c:v>6152.92</c:v>
                </c:pt>
                <c:pt idx="381" formatCode="0.0">
                  <c:v>6168.07</c:v>
                </c:pt>
                <c:pt idx="382" formatCode="0.0">
                  <c:v>6183.23</c:v>
                </c:pt>
                <c:pt idx="383" formatCode="0.0">
                  <c:v>6198.33</c:v>
                </c:pt>
                <c:pt idx="384" formatCode="0.0">
                  <c:v>6213.43</c:v>
                </c:pt>
                <c:pt idx="385" formatCode="0.0">
                  <c:v>6228.53</c:v>
                </c:pt>
                <c:pt idx="386" formatCode="0.0">
                  <c:v>6243.63</c:v>
                </c:pt>
                <c:pt idx="387" formatCode="0.0">
                  <c:v>6258.73</c:v>
                </c:pt>
                <c:pt idx="388" formatCode="0.0">
                  <c:v>6273.83</c:v>
                </c:pt>
                <c:pt idx="389" formatCode="0.0">
                  <c:v>6288.93</c:v>
                </c:pt>
                <c:pt idx="390" formatCode="0.0">
                  <c:v>6304.04</c:v>
                </c:pt>
                <c:pt idx="391" formatCode="0.0">
                  <c:v>6319.14</c:v>
                </c:pt>
                <c:pt idx="392" formatCode="0.0">
                  <c:v>6334.24</c:v>
                </c:pt>
                <c:pt idx="393" formatCode="0.0">
                  <c:v>6349.34</c:v>
                </c:pt>
                <c:pt idx="394" formatCode="0.0">
                  <c:v>6364.44</c:v>
                </c:pt>
                <c:pt idx="395" formatCode="0.0">
                  <c:v>6379.55</c:v>
                </c:pt>
                <c:pt idx="396" formatCode="0.0">
                  <c:v>6394.67</c:v>
                </c:pt>
                <c:pt idx="397" formatCode="0.0">
                  <c:v>6409.78</c:v>
                </c:pt>
                <c:pt idx="398" formatCode="0.0">
                  <c:v>6424.9</c:v>
                </c:pt>
                <c:pt idx="399" formatCode="0.0">
                  <c:v>6440.01</c:v>
                </c:pt>
                <c:pt idx="400" formatCode="0.0">
                  <c:v>6455.13</c:v>
                </c:pt>
                <c:pt idx="401" formatCode="0.0">
                  <c:v>6470.25</c:v>
                </c:pt>
                <c:pt idx="402" formatCode="0.0">
                  <c:v>6485.38</c:v>
                </c:pt>
                <c:pt idx="403" formatCode="0.0">
                  <c:v>6500.5</c:v>
                </c:pt>
                <c:pt idx="404" formatCode="0.0">
                  <c:v>6515.63</c:v>
                </c:pt>
                <c:pt idx="405" formatCode="0.0">
                  <c:v>6530.76</c:v>
                </c:pt>
                <c:pt idx="406" formatCode="0.0">
                  <c:v>6545.89</c:v>
                </c:pt>
                <c:pt idx="407" formatCode="0.0">
                  <c:v>6561.03</c:v>
                </c:pt>
                <c:pt idx="408" formatCode="0.0">
                  <c:v>6576.19</c:v>
                </c:pt>
                <c:pt idx="409" formatCode="0.0">
                  <c:v>6591.34</c:v>
                </c:pt>
                <c:pt idx="410" formatCode="0.0">
                  <c:v>6606.5</c:v>
                </c:pt>
                <c:pt idx="411" formatCode="0.0">
                  <c:v>6621.65</c:v>
                </c:pt>
                <c:pt idx="412" formatCode="0.0">
                  <c:v>6636.81</c:v>
                </c:pt>
                <c:pt idx="413" formatCode="0.0">
                  <c:v>6651.96</c:v>
                </c:pt>
                <c:pt idx="414" formatCode="0.0">
                  <c:v>6667.1</c:v>
                </c:pt>
                <c:pt idx="415" formatCode="0.0">
                  <c:v>6682.24</c:v>
                </c:pt>
                <c:pt idx="416" formatCode="0.0">
                  <c:v>6697.38</c:v>
                </c:pt>
                <c:pt idx="417" formatCode="0.0">
                  <c:v>6712.53</c:v>
                </c:pt>
                <c:pt idx="418" formatCode="0.0">
                  <c:v>6727.67</c:v>
                </c:pt>
                <c:pt idx="419" formatCode="0.0">
                  <c:v>6742.79</c:v>
                </c:pt>
                <c:pt idx="420" formatCode="0.0">
                  <c:v>6757.89</c:v>
                </c:pt>
                <c:pt idx="421" formatCode="0.0">
                  <c:v>6772.99</c:v>
                </c:pt>
                <c:pt idx="422" formatCode="0.0">
                  <c:v>6788.09</c:v>
                </c:pt>
                <c:pt idx="423" formatCode="0.0">
                  <c:v>6803.19</c:v>
                </c:pt>
                <c:pt idx="424" formatCode="0.0">
                  <c:v>6818.29</c:v>
                </c:pt>
                <c:pt idx="425" formatCode="0.0">
                  <c:v>6833.41</c:v>
                </c:pt>
                <c:pt idx="426" formatCode="0.0">
                  <c:v>6848.57</c:v>
                </c:pt>
                <c:pt idx="427" formatCode="0.0">
                  <c:v>6863.72</c:v>
                </c:pt>
                <c:pt idx="428" formatCode="0.0">
                  <c:v>6878.88</c:v>
                </c:pt>
                <c:pt idx="429" formatCode="0.0">
                  <c:v>6894.03</c:v>
                </c:pt>
                <c:pt idx="430" formatCode="0.0">
                  <c:v>6909.19</c:v>
                </c:pt>
                <c:pt idx="431" formatCode="0.0">
                  <c:v>6924.36</c:v>
                </c:pt>
                <c:pt idx="432" formatCode="0.0">
                  <c:v>6939.62</c:v>
                </c:pt>
                <c:pt idx="433" formatCode="0.0">
                  <c:v>6954.89</c:v>
                </c:pt>
                <c:pt idx="434" formatCode="0.0">
                  <c:v>6970.15</c:v>
                </c:pt>
                <c:pt idx="435" formatCode="0.0">
                  <c:v>6985.41</c:v>
                </c:pt>
                <c:pt idx="436" formatCode="0.0">
                  <c:v>7000.68</c:v>
                </c:pt>
                <c:pt idx="437" formatCode="0.0">
                  <c:v>7015.94</c:v>
                </c:pt>
                <c:pt idx="438" formatCode="0.0">
                  <c:v>7031.23</c:v>
                </c:pt>
                <c:pt idx="439" formatCode="0.0">
                  <c:v>7046.52</c:v>
                </c:pt>
                <c:pt idx="440" formatCode="0.0">
                  <c:v>7061.81</c:v>
                </c:pt>
                <c:pt idx="441" formatCode="0.0">
                  <c:v>7077.1</c:v>
                </c:pt>
                <c:pt idx="442" formatCode="0.0">
                  <c:v>7092.39</c:v>
                </c:pt>
                <c:pt idx="443" formatCode="0.0">
                  <c:v>7107.67</c:v>
                </c:pt>
                <c:pt idx="444" formatCode="0.0">
                  <c:v>7122.99</c:v>
                </c:pt>
                <c:pt idx="445" formatCode="0.0">
                  <c:v>7138.3</c:v>
                </c:pt>
                <c:pt idx="446" formatCode="0.0">
                  <c:v>7153.62</c:v>
                </c:pt>
                <c:pt idx="447" formatCode="0.0">
                  <c:v>7168.93</c:v>
                </c:pt>
                <c:pt idx="448" formatCode="0.0">
                  <c:v>7184.25</c:v>
                </c:pt>
                <c:pt idx="449" formatCode="0.0">
                  <c:v>7199.56</c:v>
                </c:pt>
                <c:pt idx="450" formatCode="0.0">
                  <c:v>7214.89</c:v>
                </c:pt>
                <c:pt idx="451" formatCode="0.0">
                  <c:v>7230.22</c:v>
                </c:pt>
                <c:pt idx="452" formatCode="0.0">
                  <c:v>7245.54</c:v>
                </c:pt>
                <c:pt idx="453" formatCode="0.0">
                  <c:v>7260.87</c:v>
                </c:pt>
                <c:pt idx="454" formatCode="0.0">
                  <c:v>7276.2</c:v>
                </c:pt>
                <c:pt idx="455" formatCode="0.0">
                  <c:v>7291.53</c:v>
                </c:pt>
                <c:pt idx="456" formatCode="0.0">
                  <c:v>7306.81</c:v>
                </c:pt>
                <c:pt idx="457" formatCode="0.0">
                  <c:v>7322.09</c:v>
                </c:pt>
                <c:pt idx="458" formatCode="0.0">
                  <c:v>7337.36</c:v>
                </c:pt>
                <c:pt idx="459" formatCode="0.0">
                  <c:v>7352.64</c:v>
                </c:pt>
                <c:pt idx="460" formatCode="0.0">
                  <c:v>7367.92</c:v>
                </c:pt>
                <c:pt idx="461" formatCode="0.0">
                  <c:v>7383.19</c:v>
                </c:pt>
                <c:pt idx="462" formatCode="0.0">
                  <c:v>7398.44</c:v>
                </c:pt>
                <c:pt idx="463" formatCode="0.0">
                  <c:v>7413.68</c:v>
                </c:pt>
                <c:pt idx="464" formatCode="0.0">
                  <c:v>7428.91</c:v>
                </c:pt>
                <c:pt idx="465" formatCode="0.0">
                  <c:v>7444.15</c:v>
                </c:pt>
                <c:pt idx="466" formatCode="0.0">
                  <c:v>7459.39</c:v>
                </c:pt>
                <c:pt idx="467" formatCode="0.0">
                  <c:v>7474.62</c:v>
                </c:pt>
                <c:pt idx="468" formatCode="0.0">
                  <c:v>7489.86</c:v>
                </c:pt>
                <c:pt idx="469" formatCode="0.0">
                  <c:v>7505.09</c:v>
                </c:pt>
                <c:pt idx="470" formatCode="0.0">
                  <c:v>7520.33</c:v>
                </c:pt>
                <c:pt idx="471" formatCode="0.0">
                  <c:v>7535.57</c:v>
                </c:pt>
                <c:pt idx="472" formatCode="0.0">
                  <c:v>7550.8</c:v>
                </c:pt>
                <c:pt idx="473" formatCode="0.0">
                  <c:v>7566.04</c:v>
                </c:pt>
                <c:pt idx="474" formatCode="0.0">
                  <c:v>7581.28</c:v>
                </c:pt>
                <c:pt idx="475" formatCode="0.0">
                  <c:v>7596.51</c:v>
                </c:pt>
                <c:pt idx="476" formatCode="0.0">
                  <c:v>7611.75</c:v>
                </c:pt>
                <c:pt idx="477" formatCode="0.0">
                  <c:v>7626.99</c:v>
                </c:pt>
                <c:pt idx="478" formatCode="0.0">
                  <c:v>7642.22</c:v>
                </c:pt>
                <c:pt idx="479" formatCode="0.0">
                  <c:v>7657.46</c:v>
                </c:pt>
                <c:pt idx="480" formatCode="0.0">
                  <c:v>7672.69</c:v>
                </c:pt>
                <c:pt idx="481" formatCode="0.0">
                  <c:v>7687.91</c:v>
                </c:pt>
                <c:pt idx="482" formatCode="0.0">
                  <c:v>7703.14</c:v>
                </c:pt>
                <c:pt idx="483" formatCode="0.0">
                  <c:v>7718.36</c:v>
                </c:pt>
                <c:pt idx="484" formatCode="0.0">
                  <c:v>7733.58</c:v>
                </c:pt>
                <c:pt idx="485" formatCode="0.0">
                  <c:v>7748.8</c:v>
                </c:pt>
                <c:pt idx="486" formatCode="0.0">
                  <c:v>7764.03</c:v>
                </c:pt>
                <c:pt idx="487" formatCode="0.0">
                  <c:v>7779.25</c:v>
                </c:pt>
                <c:pt idx="488" formatCode="0.0">
                  <c:v>7794.47</c:v>
                </c:pt>
                <c:pt idx="489" formatCode="0.0">
                  <c:v>7809.7</c:v>
                </c:pt>
                <c:pt idx="490" formatCode="0.0">
                  <c:v>7824.92</c:v>
                </c:pt>
                <c:pt idx="491" formatCode="0.0">
                  <c:v>7840.14</c:v>
                </c:pt>
                <c:pt idx="492" formatCode="0.0">
                  <c:v>7855.36</c:v>
                </c:pt>
                <c:pt idx="493" formatCode="0.0">
                  <c:v>7870.56</c:v>
                </c:pt>
                <c:pt idx="494" formatCode="0.0">
                  <c:v>7885.75</c:v>
                </c:pt>
                <c:pt idx="495" formatCode="0.0">
                  <c:v>7900.95</c:v>
                </c:pt>
                <c:pt idx="496" formatCode="0.0">
                  <c:v>7916.14</c:v>
                </c:pt>
                <c:pt idx="497" formatCode="0.0">
                  <c:v>7931.34</c:v>
                </c:pt>
                <c:pt idx="498" formatCode="0.0">
                  <c:v>7946.53</c:v>
                </c:pt>
                <c:pt idx="499" formatCode="0.0">
                  <c:v>7961.67</c:v>
                </c:pt>
                <c:pt idx="500" formatCode="0.0">
                  <c:v>7976.81</c:v>
                </c:pt>
                <c:pt idx="501" formatCode="0.0">
                  <c:v>7991.96</c:v>
                </c:pt>
                <c:pt idx="502" formatCode="0.0">
                  <c:v>8007.1</c:v>
                </c:pt>
                <c:pt idx="503" formatCode="0.0">
                  <c:v>8022.24</c:v>
                </c:pt>
                <c:pt idx="504" formatCode="0.0">
                  <c:v>8037.38</c:v>
                </c:pt>
                <c:pt idx="505" formatCode="0.0">
                  <c:v>8052.51</c:v>
                </c:pt>
                <c:pt idx="506" formatCode="0.0">
                  <c:v>8067.64</c:v>
                </c:pt>
                <c:pt idx="507" formatCode="0.0">
                  <c:v>8082.76</c:v>
                </c:pt>
                <c:pt idx="508" formatCode="0.0">
                  <c:v>8097.89</c:v>
                </c:pt>
                <c:pt idx="509" formatCode="0.0">
                  <c:v>8113.02</c:v>
                </c:pt>
                <c:pt idx="510" formatCode="0.0">
                  <c:v>8128.15</c:v>
                </c:pt>
                <c:pt idx="511" formatCode="0.0">
                  <c:v>8143.25</c:v>
                </c:pt>
                <c:pt idx="512" formatCode="0.0">
                  <c:v>8158.35</c:v>
                </c:pt>
                <c:pt idx="513" formatCode="0.0">
                  <c:v>8173.45</c:v>
                </c:pt>
                <c:pt idx="514" formatCode="0.0">
                  <c:v>8188.55</c:v>
                </c:pt>
                <c:pt idx="515" formatCode="0.0">
                  <c:v>8203.65</c:v>
                </c:pt>
                <c:pt idx="516" formatCode="0.0">
                  <c:v>8218.75</c:v>
                </c:pt>
                <c:pt idx="517" formatCode="0.0">
                  <c:v>8233.82</c:v>
                </c:pt>
                <c:pt idx="518" formatCode="0.0">
                  <c:v>8248.8700000000008</c:v>
                </c:pt>
                <c:pt idx="519" formatCode="0.0">
                  <c:v>8263.93</c:v>
                </c:pt>
                <c:pt idx="520" formatCode="0.0">
                  <c:v>8278.99</c:v>
                </c:pt>
                <c:pt idx="521" formatCode="0.0">
                  <c:v>8294.0499999999993</c:v>
                </c:pt>
                <c:pt idx="522" formatCode="0.0">
                  <c:v>8309.1</c:v>
                </c:pt>
                <c:pt idx="523" formatCode="0.0">
                  <c:v>8324.14</c:v>
                </c:pt>
                <c:pt idx="524" formatCode="0.0">
                  <c:v>8339.17</c:v>
                </c:pt>
                <c:pt idx="525" formatCode="0.0">
                  <c:v>8354.2000000000007</c:v>
                </c:pt>
                <c:pt idx="526" formatCode="0.0">
                  <c:v>8369.23</c:v>
                </c:pt>
                <c:pt idx="527" formatCode="0.0">
                  <c:v>8384.26</c:v>
                </c:pt>
                <c:pt idx="528" formatCode="0.0">
                  <c:v>8399.2900000000009</c:v>
                </c:pt>
                <c:pt idx="529" formatCode="0.0">
                  <c:v>8414.31</c:v>
                </c:pt>
                <c:pt idx="530" formatCode="0.0">
                  <c:v>8429.32</c:v>
                </c:pt>
                <c:pt idx="531" formatCode="0.0">
                  <c:v>8444.34</c:v>
                </c:pt>
                <c:pt idx="532" formatCode="0.0">
                  <c:v>8459.35</c:v>
                </c:pt>
                <c:pt idx="533" formatCode="0.0">
                  <c:v>8474.3700000000008</c:v>
                </c:pt>
                <c:pt idx="534" formatCode="0.0">
                  <c:v>8489.3799999999992</c:v>
                </c:pt>
                <c:pt idx="535" formatCode="0.0">
                  <c:v>8504.42</c:v>
                </c:pt>
                <c:pt idx="536" formatCode="0.0">
                  <c:v>8519.4599999999991</c:v>
                </c:pt>
                <c:pt idx="537" formatCode="0.0">
                  <c:v>8534.5</c:v>
                </c:pt>
                <c:pt idx="538" formatCode="0.0">
                  <c:v>8549.5499999999993</c:v>
                </c:pt>
                <c:pt idx="539" formatCode="0.0">
                  <c:v>8564.59</c:v>
                </c:pt>
                <c:pt idx="540" formatCode="0.0">
                  <c:v>8579.6299999999992</c:v>
                </c:pt>
                <c:pt idx="541" formatCode="0.0">
                  <c:v>8594.68</c:v>
                </c:pt>
                <c:pt idx="542" formatCode="0.0">
                  <c:v>8609.7199999999993</c:v>
                </c:pt>
                <c:pt idx="543" formatCode="0.0">
                  <c:v>8624.76</c:v>
                </c:pt>
                <c:pt idx="544" formatCode="0.0">
                  <c:v>8639.81</c:v>
                </c:pt>
                <c:pt idx="545" formatCode="0.0">
                  <c:v>8654.85</c:v>
                </c:pt>
                <c:pt idx="546" formatCode="0.0">
                  <c:v>8669.89</c:v>
                </c:pt>
                <c:pt idx="547" formatCode="0.0">
                  <c:v>8684.93</c:v>
                </c:pt>
                <c:pt idx="548" formatCode="0.0">
                  <c:v>8699.94</c:v>
                </c:pt>
                <c:pt idx="549" formatCode="0.0">
                  <c:v>8714.9599999999991</c:v>
                </c:pt>
                <c:pt idx="550" formatCode="0.0">
                  <c:v>8729.9699999999993</c:v>
                </c:pt>
                <c:pt idx="551" formatCode="0.0">
                  <c:v>8744.99</c:v>
                </c:pt>
                <c:pt idx="552" formatCode="0.0">
                  <c:v>8760</c:v>
                </c:pt>
                <c:pt idx="553" formatCode="0.0">
                  <c:v>8775.01</c:v>
                </c:pt>
                <c:pt idx="554" formatCode="0.0">
                  <c:v>8790</c:v>
                </c:pt>
                <c:pt idx="555" formatCode="0.0">
                  <c:v>8804.98</c:v>
                </c:pt>
                <c:pt idx="556" formatCode="0.0">
                  <c:v>8819.9699999999993</c:v>
                </c:pt>
                <c:pt idx="557" formatCode="0.0">
                  <c:v>8834.9500000000007</c:v>
                </c:pt>
                <c:pt idx="558" formatCode="0.0">
                  <c:v>8849.94</c:v>
                </c:pt>
                <c:pt idx="559" formatCode="0.0">
                  <c:v>8864.92</c:v>
                </c:pt>
                <c:pt idx="560" formatCode="0.0">
                  <c:v>8879.86</c:v>
                </c:pt>
                <c:pt idx="561" formatCode="0.0">
                  <c:v>8894.7999999999993</c:v>
                </c:pt>
                <c:pt idx="562" formatCode="0.0">
                  <c:v>8909.74</c:v>
                </c:pt>
                <c:pt idx="563" formatCode="0.0">
                  <c:v>8924.69</c:v>
                </c:pt>
                <c:pt idx="564" formatCode="0.0">
                  <c:v>8939.6299999999992</c:v>
                </c:pt>
                <c:pt idx="565" formatCode="0.0">
                  <c:v>8954.57</c:v>
                </c:pt>
                <c:pt idx="566" formatCode="0.0">
                  <c:v>8969.51</c:v>
                </c:pt>
                <c:pt idx="567" formatCode="0.0">
                  <c:v>8984.4500000000007</c:v>
                </c:pt>
                <c:pt idx="568" formatCode="0.0">
                  <c:v>8999.4</c:v>
                </c:pt>
                <c:pt idx="569" formatCode="0.0">
                  <c:v>9014.34</c:v>
                </c:pt>
                <c:pt idx="570" formatCode="0.0">
                  <c:v>9029.2800000000007</c:v>
                </c:pt>
                <c:pt idx="571" formatCode="0.0">
                  <c:v>9044.2199999999993</c:v>
                </c:pt>
                <c:pt idx="572" formatCode="0.0">
                  <c:v>9059.2099999999991</c:v>
                </c:pt>
                <c:pt idx="573" formatCode="0.0">
                  <c:v>9074.19</c:v>
                </c:pt>
                <c:pt idx="574" formatCode="0.0">
                  <c:v>9089.18</c:v>
                </c:pt>
                <c:pt idx="575" formatCode="0.0">
                  <c:v>9104.17</c:v>
                </c:pt>
                <c:pt idx="576" formatCode="0.0">
                  <c:v>9119.15</c:v>
                </c:pt>
                <c:pt idx="577" formatCode="0.0">
                  <c:v>9134.14</c:v>
                </c:pt>
                <c:pt idx="578" formatCode="0.0">
                  <c:v>9149.16</c:v>
                </c:pt>
                <c:pt idx="579" formatCode="0.0">
                  <c:v>9164.19</c:v>
                </c:pt>
                <c:pt idx="580" formatCode="0.0">
                  <c:v>9179.2199999999993</c:v>
                </c:pt>
                <c:pt idx="581" formatCode="0.0">
                  <c:v>9194.25</c:v>
                </c:pt>
                <c:pt idx="582" formatCode="0.0">
                  <c:v>9209.2800000000007</c:v>
                </c:pt>
                <c:pt idx="583" formatCode="0.0">
                  <c:v>9224.31</c:v>
                </c:pt>
                <c:pt idx="584" formatCode="0.0">
                  <c:v>9239.36</c:v>
                </c:pt>
                <c:pt idx="585" formatCode="0.0">
                  <c:v>9254.42</c:v>
                </c:pt>
                <c:pt idx="586" formatCode="0.0">
                  <c:v>9269.48</c:v>
                </c:pt>
                <c:pt idx="587" formatCode="0.0">
                  <c:v>9284.5400000000009</c:v>
                </c:pt>
                <c:pt idx="588" formatCode="0.0">
                  <c:v>9299.59</c:v>
                </c:pt>
                <c:pt idx="589" formatCode="0.0">
                  <c:v>9314.65</c:v>
                </c:pt>
                <c:pt idx="590" formatCode="0.0">
                  <c:v>9329.73</c:v>
                </c:pt>
                <c:pt idx="591" formatCode="0.0">
                  <c:v>9344.81</c:v>
                </c:pt>
                <c:pt idx="592" formatCode="0.0">
                  <c:v>9359.9</c:v>
                </c:pt>
                <c:pt idx="593" formatCode="0.0">
                  <c:v>9374.99</c:v>
                </c:pt>
                <c:pt idx="594" formatCode="0.0">
                  <c:v>9390.07</c:v>
                </c:pt>
                <c:pt idx="595" formatCode="0.0">
                  <c:v>9405.16</c:v>
                </c:pt>
                <c:pt idx="596" formatCode="0.0">
                  <c:v>9420.26</c:v>
                </c:pt>
                <c:pt idx="597" formatCode="0.0">
                  <c:v>9435.3799999999992</c:v>
                </c:pt>
                <c:pt idx="598" formatCode="0.0">
                  <c:v>9450.49</c:v>
                </c:pt>
                <c:pt idx="599" formatCode="0.0">
                  <c:v>9465.6</c:v>
                </c:pt>
                <c:pt idx="600" formatCode="0.0">
                  <c:v>9480.7199999999993</c:v>
                </c:pt>
                <c:pt idx="601" formatCode="0.0">
                  <c:v>9495.83</c:v>
                </c:pt>
                <c:pt idx="602" formatCode="0.0">
                  <c:v>9510.9599999999991</c:v>
                </c:pt>
                <c:pt idx="603" formatCode="0.0">
                  <c:v>9526.1</c:v>
                </c:pt>
                <c:pt idx="604" formatCode="0.0">
                  <c:v>9541.24</c:v>
                </c:pt>
                <c:pt idx="605" formatCode="0.0">
                  <c:v>9556.39</c:v>
                </c:pt>
                <c:pt idx="606" formatCode="0.0">
                  <c:v>9571.5300000000007</c:v>
                </c:pt>
                <c:pt idx="607" formatCode="0.0">
                  <c:v>9586.67</c:v>
                </c:pt>
                <c:pt idx="608" formatCode="0.0">
                  <c:v>9601.92</c:v>
                </c:pt>
                <c:pt idx="609" formatCode="0.0">
                  <c:v>9617.33</c:v>
                </c:pt>
                <c:pt idx="610" formatCode="0.0">
                  <c:v>9632.74</c:v>
                </c:pt>
                <c:pt idx="611" formatCode="0.0">
                  <c:v>9648.15</c:v>
                </c:pt>
                <c:pt idx="612" formatCode="0.0">
                  <c:v>9663.56</c:v>
                </c:pt>
                <c:pt idx="613" formatCode="0.0">
                  <c:v>9678.9699999999993</c:v>
                </c:pt>
                <c:pt idx="614" formatCode="0.0">
                  <c:v>9694.3799999999992</c:v>
                </c:pt>
                <c:pt idx="615" formatCode="0.0">
                  <c:v>9709.7900000000009</c:v>
                </c:pt>
                <c:pt idx="616" formatCode="0.0">
                  <c:v>9725.2000000000007</c:v>
                </c:pt>
                <c:pt idx="617" formatCode="0.0">
                  <c:v>9740.61</c:v>
                </c:pt>
                <c:pt idx="618" formatCode="0.0">
                  <c:v>9756.02</c:v>
                </c:pt>
                <c:pt idx="619" formatCode="0.0">
                  <c:v>9771.43</c:v>
                </c:pt>
                <c:pt idx="620" formatCode="0.0">
                  <c:v>9786.7900000000009</c:v>
                </c:pt>
                <c:pt idx="621" formatCode="0.0">
                  <c:v>9801.9599999999991</c:v>
                </c:pt>
                <c:pt idx="622" formatCode="0.0">
                  <c:v>9817.1299999999992</c:v>
                </c:pt>
                <c:pt idx="623" formatCode="0.0">
                  <c:v>9832.2999999999993</c:v>
                </c:pt>
                <c:pt idx="624" formatCode="0.0">
                  <c:v>9847.4699999999993</c:v>
                </c:pt>
                <c:pt idx="625" formatCode="0.0">
                  <c:v>9862.64</c:v>
                </c:pt>
                <c:pt idx="626" formatCode="0.0">
                  <c:v>9877.81</c:v>
                </c:pt>
                <c:pt idx="627" formatCode="0.0">
                  <c:v>9893.02</c:v>
                </c:pt>
                <c:pt idx="628" formatCode="0.0">
                  <c:v>9908.23</c:v>
                </c:pt>
                <c:pt idx="629" formatCode="0.0">
                  <c:v>9923.44</c:v>
                </c:pt>
                <c:pt idx="630" formatCode="0.0">
                  <c:v>9938.65</c:v>
                </c:pt>
                <c:pt idx="631" formatCode="0.0">
                  <c:v>9953.86</c:v>
                </c:pt>
                <c:pt idx="632" formatCode="0.0">
                  <c:v>9969.07</c:v>
                </c:pt>
                <c:pt idx="633" formatCode="0.0">
                  <c:v>9984.39</c:v>
                </c:pt>
                <c:pt idx="634" formatCode="0.0">
                  <c:v>9999.7000000000007</c:v>
                </c:pt>
                <c:pt idx="635" formatCode="0.0">
                  <c:v>10015.01</c:v>
                </c:pt>
                <c:pt idx="636" formatCode="0.0">
                  <c:v>10030.33</c:v>
                </c:pt>
                <c:pt idx="637" formatCode="0.0">
                  <c:v>10045.64</c:v>
                </c:pt>
                <c:pt idx="638" formatCode="0.0">
                  <c:v>10060.959999999999</c:v>
                </c:pt>
                <c:pt idx="639" formatCode="0.0">
                  <c:v>10076.34</c:v>
                </c:pt>
                <c:pt idx="640" formatCode="0.0">
                  <c:v>10091.73</c:v>
                </c:pt>
                <c:pt idx="641" formatCode="0.0">
                  <c:v>10107.120000000001</c:v>
                </c:pt>
                <c:pt idx="642" formatCode="0.0">
                  <c:v>10122.51</c:v>
                </c:pt>
                <c:pt idx="643" formatCode="0.0">
                  <c:v>10137.9</c:v>
                </c:pt>
                <c:pt idx="644" formatCode="0.0">
                  <c:v>10153.290000000001</c:v>
                </c:pt>
                <c:pt idx="645" formatCode="0.0">
                  <c:v>10168.700000000001</c:v>
                </c:pt>
                <c:pt idx="646" formatCode="0.0">
                  <c:v>10184.120000000001</c:v>
                </c:pt>
                <c:pt idx="647" formatCode="0.0">
                  <c:v>10199.530000000001</c:v>
                </c:pt>
                <c:pt idx="648" formatCode="0.0">
                  <c:v>10214.950000000001</c:v>
                </c:pt>
                <c:pt idx="649" formatCode="0.0">
                  <c:v>10230.36</c:v>
                </c:pt>
                <c:pt idx="650" formatCode="0.0">
                  <c:v>10245.780000000001</c:v>
                </c:pt>
                <c:pt idx="651" formatCode="0.0">
                  <c:v>10261.25</c:v>
                </c:pt>
                <c:pt idx="652" formatCode="0.0">
                  <c:v>10276.73</c:v>
                </c:pt>
                <c:pt idx="653" formatCode="0.0">
                  <c:v>10292.219999999999</c:v>
                </c:pt>
                <c:pt idx="654" formatCode="0.0">
                  <c:v>10307.709999999999</c:v>
                </c:pt>
                <c:pt idx="655" formatCode="0.0">
                  <c:v>10323.19</c:v>
                </c:pt>
                <c:pt idx="656" formatCode="0.0">
                  <c:v>10338.68</c:v>
                </c:pt>
                <c:pt idx="657" formatCode="0.0">
                  <c:v>10354.209999999999</c:v>
                </c:pt>
                <c:pt idx="658" formatCode="0.0">
                  <c:v>10369.77</c:v>
                </c:pt>
                <c:pt idx="659" formatCode="0.0">
                  <c:v>10385.32</c:v>
                </c:pt>
                <c:pt idx="660" formatCode="0.0">
                  <c:v>10400.879999999999</c:v>
                </c:pt>
                <c:pt idx="661" formatCode="0.0">
                  <c:v>10416.44</c:v>
                </c:pt>
                <c:pt idx="662" formatCode="0.0">
                  <c:v>10431.99</c:v>
                </c:pt>
                <c:pt idx="663" formatCode="0.0">
                  <c:v>10447.6</c:v>
                </c:pt>
                <c:pt idx="664" formatCode="0.0">
                  <c:v>10463.24</c:v>
                </c:pt>
                <c:pt idx="665" formatCode="0.0">
                  <c:v>10478.89</c:v>
                </c:pt>
                <c:pt idx="666" formatCode="0.0">
                  <c:v>10494.53</c:v>
                </c:pt>
                <c:pt idx="667" formatCode="0.0">
                  <c:v>10510.18</c:v>
                </c:pt>
                <c:pt idx="668" formatCode="0.0">
                  <c:v>10525.82</c:v>
                </c:pt>
                <c:pt idx="669" formatCode="0.0">
                  <c:v>10541.46</c:v>
                </c:pt>
                <c:pt idx="670" formatCode="0.0">
                  <c:v>10557.11</c:v>
                </c:pt>
                <c:pt idx="671" formatCode="0.0">
                  <c:v>10572.75</c:v>
                </c:pt>
                <c:pt idx="672" formatCode="0.0">
                  <c:v>10588.4</c:v>
                </c:pt>
                <c:pt idx="673" formatCode="0.0">
                  <c:v>10604.04</c:v>
                </c:pt>
                <c:pt idx="674" formatCode="0.0">
                  <c:v>10619.69</c:v>
                </c:pt>
                <c:pt idx="675" formatCode="0.0">
                  <c:v>10635.37</c:v>
                </c:pt>
                <c:pt idx="676" formatCode="0.0">
                  <c:v>10651.13</c:v>
                </c:pt>
                <c:pt idx="677" formatCode="0.0">
                  <c:v>10666.89</c:v>
                </c:pt>
                <c:pt idx="678" formatCode="0.0">
                  <c:v>10682.65</c:v>
                </c:pt>
                <c:pt idx="679" formatCode="0.0">
                  <c:v>10698.41</c:v>
                </c:pt>
                <c:pt idx="680" formatCode="0.0">
                  <c:v>10714.16</c:v>
                </c:pt>
                <c:pt idx="681" formatCode="0.0">
                  <c:v>10729.94</c:v>
                </c:pt>
                <c:pt idx="682" formatCode="0.0">
                  <c:v>10745.78</c:v>
                </c:pt>
                <c:pt idx="683" formatCode="0.0">
                  <c:v>10761.62</c:v>
                </c:pt>
                <c:pt idx="684" formatCode="0.0">
                  <c:v>10777.46</c:v>
                </c:pt>
                <c:pt idx="685" formatCode="0.0">
                  <c:v>10793.29</c:v>
                </c:pt>
                <c:pt idx="686" formatCode="0.0">
                  <c:v>10809.13</c:v>
                </c:pt>
                <c:pt idx="687" formatCode="0.0">
                  <c:v>10824.97</c:v>
                </c:pt>
                <c:pt idx="688" formatCode="0.0">
                  <c:v>10840.81</c:v>
                </c:pt>
                <c:pt idx="689" formatCode="0.0">
                  <c:v>10856.64</c:v>
                </c:pt>
                <c:pt idx="690" formatCode="0.0">
                  <c:v>10872.48</c:v>
                </c:pt>
                <c:pt idx="691" formatCode="0.0">
                  <c:v>10888.32</c:v>
                </c:pt>
                <c:pt idx="692" formatCode="0.0">
                  <c:v>10904.16</c:v>
                </c:pt>
                <c:pt idx="693" formatCode="0.0">
                  <c:v>10920</c:v>
                </c:pt>
                <c:pt idx="694" formatCode="0.0">
                  <c:v>10935.88</c:v>
                </c:pt>
                <c:pt idx="695" formatCode="0.0">
                  <c:v>10951.76</c:v>
                </c:pt>
                <c:pt idx="696" formatCode="0.0">
                  <c:v>10967.64</c:v>
                </c:pt>
                <c:pt idx="697" formatCode="0.0">
                  <c:v>10983.52</c:v>
                </c:pt>
                <c:pt idx="698" formatCode="0.0">
                  <c:v>10999.4</c:v>
                </c:pt>
                <c:pt idx="699" formatCode="0.0">
                  <c:v>11015.29</c:v>
                </c:pt>
                <c:pt idx="700" formatCode="0.0">
                  <c:v>11031.17</c:v>
                </c:pt>
                <c:pt idx="701" formatCode="0.0">
                  <c:v>11047.05</c:v>
                </c:pt>
                <c:pt idx="702" formatCode="0.0">
                  <c:v>11062.93</c:v>
                </c:pt>
                <c:pt idx="703" formatCode="0.0">
                  <c:v>11078.81</c:v>
                </c:pt>
                <c:pt idx="704" formatCode="0.0">
                  <c:v>11094.7</c:v>
                </c:pt>
                <c:pt idx="705" formatCode="0.0">
                  <c:v>11110.58</c:v>
                </c:pt>
                <c:pt idx="706" formatCode="0.0">
                  <c:v>11126.51</c:v>
                </c:pt>
                <c:pt idx="707" formatCode="0.0">
                  <c:v>11142.45</c:v>
                </c:pt>
                <c:pt idx="708" formatCode="0.0">
                  <c:v>11158.4</c:v>
                </c:pt>
                <c:pt idx="709" formatCode="0.0">
                  <c:v>11174.34</c:v>
                </c:pt>
                <c:pt idx="710" formatCode="0.0">
                  <c:v>11190.28</c:v>
                </c:pt>
                <c:pt idx="711" formatCode="0.0">
                  <c:v>11206.22</c:v>
                </c:pt>
                <c:pt idx="712" formatCode="0.0">
                  <c:v>11222.16</c:v>
                </c:pt>
                <c:pt idx="713" formatCode="0.0">
                  <c:v>11238.11</c:v>
                </c:pt>
                <c:pt idx="714" formatCode="0.0">
                  <c:v>11254.05</c:v>
                </c:pt>
                <c:pt idx="715" formatCode="0.0">
                  <c:v>11269.99</c:v>
                </c:pt>
                <c:pt idx="716" formatCode="0.0">
                  <c:v>11285.93</c:v>
                </c:pt>
                <c:pt idx="717" formatCode="0.0">
                  <c:v>11301.88</c:v>
                </c:pt>
                <c:pt idx="718" formatCode="0.0">
                  <c:v>11317.86</c:v>
                </c:pt>
                <c:pt idx="719" formatCode="0.0">
                  <c:v>11333.87</c:v>
                </c:pt>
                <c:pt idx="720" formatCode="0.0">
                  <c:v>11349.88</c:v>
                </c:pt>
                <c:pt idx="721" formatCode="0.0">
                  <c:v>11365.88</c:v>
                </c:pt>
                <c:pt idx="722" formatCode="0.0">
                  <c:v>11381.89</c:v>
                </c:pt>
                <c:pt idx="723" formatCode="0.0">
                  <c:v>11397.9</c:v>
                </c:pt>
                <c:pt idx="724" formatCode="0.0">
                  <c:v>11413.91</c:v>
                </c:pt>
                <c:pt idx="725" formatCode="0.0">
                  <c:v>11429.91</c:v>
                </c:pt>
                <c:pt idx="726" formatCode="0.0">
                  <c:v>11445.92</c:v>
                </c:pt>
                <c:pt idx="727" formatCode="0.0">
                  <c:v>11461.93</c:v>
                </c:pt>
                <c:pt idx="728" formatCode="0.0">
                  <c:v>11477.94</c:v>
                </c:pt>
                <c:pt idx="729" formatCode="0.0">
                  <c:v>11493.94</c:v>
                </c:pt>
                <c:pt idx="730" formatCode="0.0">
                  <c:v>11509.96</c:v>
                </c:pt>
                <c:pt idx="731" formatCode="0.0">
                  <c:v>11525.98</c:v>
                </c:pt>
                <c:pt idx="732" formatCode="0.0">
                  <c:v>11542.01</c:v>
                </c:pt>
                <c:pt idx="733" formatCode="0.0">
                  <c:v>11558.03</c:v>
                </c:pt>
                <c:pt idx="734" formatCode="0.0">
                  <c:v>11574.05</c:v>
                </c:pt>
                <c:pt idx="735" formatCode="0.0">
                  <c:v>11590.07</c:v>
                </c:pt>
                <c:pt idx="736" formatCode="0.0">
                  <c:v>11606.1</c:v>
                </c:pt>
                <c:pt idx="737" formatCode="0.0">
                  <c:v>11622.12</c:v>
                </c:pt>
                <c:pt idx="738" formatCode="0.0">
                  <c:v>11638.14</c:v>
                </c:pt>
                <c:pt idx="739" formatCode="0.0">
                  <c:v>11654.17</c:v>
                </c:pt>
                <c:pt idx="740" formatCode="0.0">
                  <c:v>11670.19</c:v>
                </c:pt>
                <c:pt idx="741" formatCode="0.0">
                  <c:v>11686.21</c:v>
                </c:pt>
                <c:pt idx="742" formatCode="0.0">
                  <c:v>11702.24</c:v>
                </c:pt>
                <c:pt idx="743" formatCode="0.0">
                  <c:v>11718.26</c:v>
                </c:pt>
                <c:pt idx="744" formatCode="0.0">
                  <c:v>11734.28</c:v>
                </c:pt>
                <c:pt idx="745" formatCode="0.0">
                  <c:v>11750.31</c:v>
                </c:pt>
                <c:pt idx="746" formatCode="0.0">
                  <c:v>11766.33</c:v>
                </c:pt>
                <c:pt idx="747" formatCode="0.0">
                  <c:v>11782.35</c:v>
                </c:pt>
                <c:pt idx="748" formatCode="0.0">
                  <c:v>11798.38</c:v>
                </c:pt>
                <c:pt idx="749" formatCode="0.0">
                  <c:v>11814.4</c:v>
                </c:pt>
                <c:pt idx="750" formatCode="0.0">
                  <c:v>11830.42</c:v>
                </c:pt>
                <c:pt idx="751" formatCode="0.0">
                  <c:v>11846.44</c:v>
                </c:pt>
                <c:pt idx="752" formatCode="0.0">
                  <c:v>11862.47</c:v>
                </c:pt>
                <c:pt idx="753" formatCode="0.0">
                  <c:v>11878.49</c:v>
                </c:pt>
                <c:pt idx="754" formatCode="0.0">
                  <c:v>11894.51</c:v>
                </c:pt>
                <c:pt idx="755" formatCode="0.0">
                  <c:v>11910.54</c:v>
                </c:pt>
                <c:pt idx="756" formatCode="0.0">
                  <c:v>11926.56</c:v>
                </c:pt>
                <c:pt idx="757" formatCode="0.0">
                  <c:v>11942.58</c:v>
                </c:pt>
                <c:pt idx="758" formatCode="0.0">
                  <c:v>11958.61</c:v>
                </c:pt>
                <c:pt idx="759" formatCode="0.0">
                  <c:v>11974.63</c:v>
                </c:pt>
                <c:pt idx="760" formatCode="0.0">
                  <c:v>11990.65</c:v>
                </c:pt>
                <c:pt idx="761" formatCode="0.0">
                  <c:v>12006.68</c:v>
                </c:pt>
                <c:pt idx="762" formatCode="0.0">
                  <c:v>12022.7</c:v>
                </c:pt>
                <c:pt idx="763" formatCode="0.0">
                  <c:v>12038.72</c:v>
                </c:pt>
                <c:pt idx="764" formatCode="0.0">
                  <c:v>12054.74</c:v>
                </c:pt>
                <c:pt idx="765" formatCode="0.0">
                  <c:v>12070.77</c:v>
                </c:pt>
                <c:pt idx="766" formatCode="0.0">
                  <c:v>12086.79</c:v>
                </c:pt>
                <c:pt idx="767" formatCode="0.0">
                  <c:v>12102.81</c:v>
                </c:pt>
                <c:pt idx="768" formatCode="0.0">
                  <c:v>12118.84</c:v>
                </c:pt>
                <c:pt idx="769" formatCode="0.0">
                  <c:v>12134.86</c:v>
                </c:pt>
                <c:pt idx="770" formatCode="0.0">
                  <c:v>12150.88</c:v>
                </c:pt>
                <c:pt idx="771" formatCode="0.0">
                  <c:v>12166.91</c:v>
                </c:pt>
                <c:pt idx="772" formatCode="0.0">
                  <c:v>12182.93</c:v>
                </c:pt>
                <c:pt idx="773" formatCode="0.0">
                  <c:v>12198.95</c:v>
                </c:pt>
                <c:pt idx="774" formatCode="0.0">
                  <c:v>12214.98</c:v>
                </c:pt>
                <c:pt idx="775" formatCode="0.0">
                  <c:v>12231</c:v>
                </c:pt>
                <c:pt idx="776" formatCode="0.0">
                  <c:v>12247.02</c:v>
                </c:pt>
                <c:pt idx="777" formatCode="0.0">
                  <c:v>12263.04</c:v>
                </c:pt>
                <c:pt idx="778" formatCode="0.0">
                  <c:v>12279.07</c:v>
                </c:pt>
                <c:pt idx="779" formatCode="0.0">
                  <c:v>12295.09</c:v>
                </c:pt>
                <c:pt idx="780" formatCode="0.0">
                  <c:v>12311.11</c:v>
                </c:pt>
                <c:pt idx="781" formatCode="0.0">
                  <c:v>12327.14</c:v>
                </c:pt>
                <c:pt idx="782" formatCode="0.0">
                  <c:v>12343.16</c:v>
                </c:pt>
                <c:pt idx="783" formatCode="0.0">
                  <c:v>12359.18</c:v>
                </c:pt>
                <c:pt idx="784" formatCode="0.0">
                  <c:v>12375.21</c:v>
                </c:pt>
                <c:pt idx="785" formatCode="0.0">
                  <c:v>12391.23</c:v>
                </c:pt>
                <c:pt idx="786" formatCode="0.0">
                  <c:v>12407.25</c:v>
                </c:pt>
                <c:pt idx="787" formatCode="0.0">
                  <c:v>12423.27</c:v>
                </c:pt>
                <c:pt idx="788" formatCode="0.0">
                  <c:v>12439.3</c:v>
                </c:pt>
                <c:pt idx="789" formatCode="0.0">
                  <c:v>12455.32</c:v>
                </c:pt>
                <c:pt idx="790" formatCode="0.0">
                  <c:v>12471.34</c:v>
                </c:pt>
                <c:pt idx="791" formatCode="0.0">
                  <c:v>12487.37</c:v>
                </c:pt>
                <c:pt idx="792" formatCode="0.0">
                  <c:v>12503.39</c:v>
                </c:pt>
                <c:pt idx="793" formatCode="0.0">
                  <c:v>12519.41</c:v>
                </c:pt>
                <c:pt idx="794" formatCode="0.0">
                  <c:v>12535.44</c:v>
                </c:pt>
                <c:pt idx="795" formatCode="0.0">
                  <c:v>12551.46</c:v>
                </c:pt>
                <c:pt idx="796" formatCode="0.0">
                  <c:v>12567.48</c:v>
                </c:pt>
                <c:pt idx="797" formatCode="0.0">
                  <c:v>12583.51</c:v>
                </c:pt>
                <c:pt idx="798" formatCode="0.0">
                  <c:v>12599.53</c:v>
                </c:pt>
                <c:pt idx="799" formatCode="0.0">
                  <c:v>12615.55</c:v>
                </c:pt>
                <c:pt idx="800" formatCode="0.0">
                  <c:v>12631.57</c:v>
                </c:pt>
                <c:pt idx="801" formatCode="0.0">
                  <c:v>12647.6</c:v>
                </c:pt>
                <c:pt idx="802" formatCode="0.0">
                  <c:v>12663.62</c:v>
                </c:pt>
                <c:pt idx="803" formatCode="0.0">
                  <c:v>12679.64</c:v>
                </c:pt>
                <c:pt idx="804" formatCode="0.0">
                  <c:v>12695.67</c:v>
                </c:pt>
                <c:pt idx="805" formatCode="0.0">
                  <c:v>12711.69</c:v>
                </c:pt>
                <c:pt idx="806" formatCode="0.0">
                  <c:v>12727.71</c:v>
                </c:pt>
                <c:pt idx="807" formatCode="0.0">
                  <c:v>12743.74</c:v>
                </c:pt>
                <c:pt idx="808" formatCode="0.0">
                  <c:v>12759.76</c:v>
                </c:pt>
                <c:pt idx="809" formatCode="0.0">
                  <c:v>12775.78</c:v>
                </c:pt>
                <c:pt idx="810" formatCode="0.0">
                  <c:v>12791.8</c:v>
                </c:pt>
                <c:pt idx="811" formatCode="0.0">
                  <c:v>12807.83</c:v>
                </c:pt>
                <c:pt idx="812" formatCode="0.0">
                  <c:v>12823.85</c:v>
                </c:pt>
                <c:pt idx="813" formatCode="0.0">
                  <c:v>12839.87</c:v>
                </c:pt>
                <c:pt idx="814" formatCode="0.0">
                  <c:v>12855.9</c:v>
                </c:pt>
                <c:pt idx="815" formatCode="0.0">
                  <c:v>12871.92</c:v>
                </c:pt>
                <c:pt idx="816" formatCode="0.0">
                  <c:v>12887.94</c:v>
                </c:pt>
                <c:pt idx="817" formatCode="0.0">
                  <c:v>12903.97</c:v>
                </c:pt>
                <c:pt idx="818" formatCode="0.0">
                  <c:v>12919.99</c:v>
                </c:pt>
                <c:pt idx="819" formatCode="0.0">
                  <c:v>12936.01</c:v>
                </c:pt>
                <c:pt idx="820" formatCode="0.0">
                  <c:v>12952.04</c:v>
                </c:pt>
                <c:pt idx="821" formatCode="0.0">
                  <c:v>12968.06</c:v>
                </c:pt>
                <c:pt idx="822" formatCode="0.0">
                  <c:v>12984.08</c:v>
                </c:pt>
                <c:pt idx="823" formatCode="0.0">
                  <c:v>13000.1</c:v>
                </c:pt>
                <c:pt idx="824" formatCode="0.0">
                  <c:v>13016.13</c:v>
                </c:pt>
                <c:pt idx="825" formatCode="0.0">
                  <c:v>13032.15</c:v>
                </c:pt>
                <c:pt idx="826" formatCode="0.0">
                  <c:v>13048.17</c:v>
                </c:pt>
                <c:pt idx="827" formatCode="0.0">
                  <c:v>13064.2</c:v>
                </c:pt>
                <c:pt idx="828" formatCode="0.0">
                  <c:v>13080.22</c:v>
                </c:pt>
                <c:pt idx="829" formatCode="0.0">
                  <c:v>13096.24</c:v>
                </c:pt>
                <c:pt idx="830" formatCode="0.0">
                  <c:v>13112.27</c:v>
                </c:pt>
                <c:pt idx="831" formatCode="0.0">
                  <c:v>13128.29</c:v>
                </c:pt>
                <c:pt idx="832" formatCode="0.0">
                  <c:v>13144.31</c:v>
                </c:pt>
                <c:pt idx="833" formatCode="0.0">
                  <c:v>13160.33</c:v>
                </c:pt>
                <c:pt idx="834" formatCode="0.0">
                  <c:v>13176.36</c:v>
                </c:pt>
                <c:pt idx="835" formatCode="0.0">
                  <c:v>13192.38</c:v>
                </c:pt>
                <c:pt idx="836" formatCode="0.0">
                  <c:v>13208.4</c:v>
                </c:pt>
                <c:pt idx="837" formatCode="0.0">
                  <c:v>13224.43</c:v>
                </c:pt>
                <c:pt idx="838" formatCode="0.0">
                  <c:v>13240.45</c:v>
                </c:pt>
                <c:pt idx="839" formatCode="0.0">
                  <c:v>13256.47</c:v>
                </c:pt>
                <c:pt idx="840" formatCode="0.0">
                  <c:v>13272.5</c:v>
                </c:pt>
                <c:pt idx="841" formatCode="0.0">
                  <c:v>13288.52</c:v>
                </c:pt>
                <c:pt idx="842" formatCode="0.0">
                  <c:v>13304.54</c:v>
                </c:pt>
                <c:pt idx="843" formatCode="0.0">
                  <c:v>13320.57</c:v>
                </c:pt>
                <c:pt idx="844" formatCode="0.0">
                  <c:v>13336.59</c:v>
                </c:pt>
                <c:pt idx="845" formatCode="0.0">
                  <c:v>13352.61</c:v>
                </c:pt>
                <c:pt idx="846" formatCode="0.0">
                  <c:v>13368.63</c:v>
                </c:pt>
                <c:pt idx="847" formatCode="0.0">
                  <c:v>13384.66</c:v>
                </c:pt>
                <c:pt idx="848" formatCode="0.0">
                  <c:v>13400.68</c:v>
                </c:pt>
                <c:pt idx="849" formatCode="0.0">
                  <c:v>13416.7</c:v>
                </c:pt>
                <c:pt idx="850" formatCode="0.0">
                  <c:v>13432.73</c:v>
                </c:pt>
                <c:pt idx="851" formatCode="0.0">
                  <c:v>13448.75</c:v>
                </c:pt>
                <c:pt idx="852" formatCode="0.0">
                  <c:v>13464.77</c:v>
                </c:pt>
                <c:pt idx="853" formatCode="0.0">
                  <c:v>13480.8</c:v>
                </c:pt>
                <c:pt idx="854" formatCode="0.0">
                  <c:v>13496.82</c:v>
                </c:pt>
                <c:pt idx="855" formatCode="0.0">
                  <c:v>13512.84</c:v>
                </c:pt>
                <c:pt idx="856" formatCode="0.0">
                  <c:v>13528.87</c:v>
                </c:pt>
                <c:pt idx="857" formatCode="0.0">
                  <c:v>13544.89</c:v>
                </c:pt>
                <c:pt idx="858" formatCode="0.0">
                  <c:v>13560.91</c:v>
                </c:pt>
                <c:pt idx="859" formatCode="0.0">
                  <c:v>13576.93</c:v>
                </c:pt>
                <c:pt idx="860" formatCode="0.0">
                  <c:v>13592.96</c:v>
                </c:pt>
                <c:pt idx="861" formatCode="0.0">
                  <c:v>13608.98</c:v>
                </c:pt>
                <c:pt idx="862" formatCode="0.0">
                  <c:v>13625</c:v>
                </c:pt>
                <c:pt idx="863" formatCode="0.0">
                  <c:v>13641.03</c:v>
                </c:pt>
                <c:pt idx="864" formatCode="0.0">
                  <c:v>13657.05</c:v>
                </c:pt>
                <c:pt idx="865" formatCode="0.0">
                  <c:v>13673.07</c:v>
                </c:pt>
                <c:pt idx="866" formatCode="0.0">
                  <c:v>13689.1</c:v>
                </c:pt>
                <c:pt idx="867" formatCode="0.0">
                  <c:v>13705.12</c:v>
                </c:pt>
                <c:pt idx="868" formatCode="0.0">
                  <c:v>13721.14</c:v>
                </c:pt>
                <c:pt idx="869" formatCode="0.0">
                  <c:v>13737.16</c:v>
                </c:pt>
                <c:pt idx="870" formatCode="0.0">
                  <c:v>13753.19</c:v>
                </c:pt>
                <c:pt idx="871" formatCode="0.0">
                  <c:v>13769.21</c:v>
                </c:pt>
                <c:pt idx="872" formatCode="0.0">
                  <c:v>13785.23</c:v>
                </c:pt>
                <c:pt idx="873" formatCode="0.0">
                  <c:v>13801.26</c:v>
                </c:pt>
                <c:pt idx="874" formatCode="0.0">
                  <c:v>13817.28</c:v>
                </c:pt>
                <c:pt idx="875" formatCode="0.0">
                  <c:v>13833.3</c:v>
                </c:pt>
                <c:pt idx="876" formatCode="0.0">
                  <c:v>13849.33</c:v>
                </c:pt>
                <c:pt idx="877" formatCode="0.0">
                  <c:v>13865.35</c:v>
                </c:pt>
                <c:pt idx="878" formatCode="0.0">
                  <c:v>13881.37</c:v>
                </c:pt>
                <c:pt idx="879" formatCode="0.0">
                  <c:v>13897.4</c:v>
                </c:pt>
                <c:pt idx="880" formatCode="0.0">
                  <c:v>13913.42</c:v>
                </c:pt>
                <c:pt idx="881" formatCode="0.0">
                  <c:v>13929.44</c:v>
                </c:pt>
                <c:pt idx="882" formatCode="0.0">
                  <c:v>13945.46</c:v>
                </c:pt>
                <c:pt idx="883" formatCode="0.0">
                  <c:v>13961.49</c:v>
                </c:pt>
                <c:pt idx="884" formatCode="0.0">
                  <c:v>13977.51</c:v>
                </c:pt>
                <c:pt idx="885" formatCode="0.0">
                  <c:v>13993.53</c:v>
                </c:pt>
                <c:pt idx="886" formatCode="0.0">
                  <c:v>14009.56</c:v>
                </c:pt>
                <c:pt idx="887" formatCode="0.0">
                  <c:v>14025.58</c:v>
                </c:pt>
                <c:pt idx="888" formatCode="0.0">
                  <c:v>14041.6</c:v>
                </c:pt>
                <c:pt idx="889" formatCode="0.0">
                  <c:v>14057.63</c:v>
                </c:pt>
                <c:pt idx="890" formatCode="0.0">
                  <c:v>14073.65</c:v>
                </c:pt>
                <c:pt idx="891" formatCode="0.0">
                  <c:v>14089.67</c:v>
                </c:pt>
                <c:pt idx="892" formatCode="0.0">
                  <c:v>14105.69</c:v>
                </c:pt>
                <c:pt idx="893" formatCode="0.0">
                  <c:v>14121.72</c:v>
                </c:pt>
                <c:pt idx="894" formatCode="0.0">
                  <c:v>14137.74</c:v>
                </c:pt>
                <c:pt idx="895" formatCode="0.0">
                  <c:v>14153.76</c:v>
                </c:pt>
                <c:pt idx="896" formatCode="0.0">
                  <c:v>14169.79</c:v>
                </c:pt>
                <c:pt idx="897" formatCode="0.0">
                  <c:v>14185.81</c:v>
                </c:pt>
                <c:pt idx="898" formatCode="0.0">
                  <c:v>14201.83</c:v>
                </c:pt>
                <c:pt idx="899" formatCode="0.0">
                  <c:v>14217.86</c:v>
                </c:pt>
                <c:pt idx="900" formatCode="0.0">
                  <c:v>14233.88</c:v>
                </c:pt>
                <c:pt idx="901" formatCode="0.0">
                  <c:v>14249.9</c:v>
                </c:pt>
                <c:pt idx="902" formatCode="0.0">
                  <c:v>14265.93</c:v>
                </c:pt>
                <c:pt idx="903" formatCode="0.0">
                  <c:v>14281.95</c:v>
                </c:pt>
                <c:pt idx="904" formatCode="0.0">
                  <c:v>14297.97</c:v>
                </c:pt>
                <c:pt idx="905" formatCode="0.0">
                  <c:v>14313.99</c:v>
                </c:pt>
                <c:pt idx="906" formatCode="0.0">
                  <c:v>14330.02</c:v>
                </c:pt>
                <c:pt idx="907" formatCode="0.0">
                  <c:v>14346.04</c:v>
                </c:pt>
                <c:pt idx="908" formatCode="0.0">
                  <c:v>14362.06</c:v>
                </c:pt>
                <c:pt idx="909" formatCode="0.0">
                  <c:v>14378.09</c:v>
                </c:pt>
                <c:pt idx="910" formatCode="0.0">
                  <c:v>14394.11</c:v>
                </c:pt>
                <c:pt idx="911" formatCode="0.0">
                  <c:v>14410.13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A-4ECE-B399-4FF1B2BC4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88896"/>
        <c:axId val="219744128"/>
      </c:scatterChart>
      <c:valAx>
        <c:axId val="20588889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</a:t>
                </a:r>
              </a:p>
            </c:rich>
          </c:tx>
          <c:layout>
            <c:manualLayout>
              <c:xMode val="edge"/>
              <c:yMode val="edge"/>
              <c:x val="0.48971749353952881"/>
              <c:y val="4.123711340206185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44128"/>
        <c:crosses val="autoZero"/>
        <c:crossBetween val="midCat"/>
      </c:valAx>
      <c:valAx>
        <c:axId val="21974412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</a:t>
                </a:r>
              </a:p>
            </c:rich>
          </c:tx>
          <c:layout>
            <c:manualLayout>
              <c:xMode val="edge"/>
              <c:yMode val="edge"/>
              <c:x val="2.0565552699228787E-2"/>
              <c:y val="0.50515518034472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888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555526317567"/>
          <c:y val="0.53092837622101363"/>
          <c:w val="8.2262210796915106E-2"/>
          <c:h val="5.67010309278351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20721922155519"/>
          <c:y val="0.17290582683305972"/>
          <c:w val="0.83970457461405634"/>
          <c:h val="0.75935961062766488"/>
        </c:manualLayout>
      </c:layout>
      <c:scatterChart>
        <c:scatterStyle val="lineMarker"/>
        <c:varyColors val="0"/>
        <c:ser>
          <c:idx val="1"/>
          <c:order val="0"/>
          <c:tx>
            <c:v>Depth (alculated)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'BUGC-002'!$C$15:$C$164</c:f>
              <c:numCache>
                <c:formatCode>0.00</c:formatCode>
                <c:ptCount val="150"/>
                <c:pt idx="0">
                  <c:v>1189.6600000000001</c:v>
                </c:pt>
                <c:pt idx="1">
                  <c:v>1252.8399999999999</c:v>
                </c:pt>
                <c:pt idx="2">
                  <c:v>1265.26</c:v>
                </c:pt>
                <c:pt idx="3">
                  <c:v>1274.17</c:v>
                </c:pt>
                <c:pt idx="4">
                  <c:v>1325.94</c:v>
                </c:pt>
                <c:pt idx="5">
                  <c:v>1335.74</c:v>
                </c:pt>
                <c:pt idx="6">
                  <c:v>1357.57</c:v>
                </c:pt>
                <c:pt idx="7">
                  <c:v>1400.21</c:v>
                </c:pt>
                <c:pt idx="8">
                  <c:v>1460.91</c:v>
                </c:pt>
                <c:pt idx="9">
                  <c:v>1489.14</c:v>
                </c:pt>
                <c:pt idx="10">
                  <c:v>1524.63</c:v>
                </c:pt>
                <c:pt idx="11">
                  <c:v>1594.67</c:v>
                </c:pt>
                <c:pt idx="12">
                  <c:v>1601.68</c:v>
                </c:pt>
                <c:pt idx="13">
                  <c:v>1613.73</c:v>
                </c:pt>
                <c:pt idx="14">
                  <c:v>1644.09</c:v>
                </c:pt>
                <c:pt idx="15">
                  <c:v>1660.72</c:v>
                </c:pt>
                <c:pt idx="16">
                  <c:v>1682.72</c:v>
                </c:pt>
                <c:pt idx="17">
                  <c:v>1726.72</c:v>
                </c:pt>
                <c:pt idx="18">
                  <c:v>1760.71</c:v>
                </c:pt>
                <c:pt idx="19">
                  <c:v>1798.61</c:v>
                </c:pt>
                <c:pt idx="20">
                  <c:v>1835.39</c:v>
                </c:pt>
                <c:pt idx="21">
                  <c:v>1865.79</c:v>
                </c:pt>
                <c:pt idx="22">
                  <c:v>1879.25</c:v>
                </c:pt>
                <c:pt idx="23">
                  <c:v>1902.44</c:v>
                </c:pt>
                <c:pt idx="24">
                  <c:v>1925.28</c:v>
                </c:pt>
                <c:pt idx="25">
                  <c:v>1986.76</c:v>
                </c:pt>
                <c:pt idx="26">
                  <c:v>2030.82</c:v>
                </c:pt>
                <c:pt idx="27">
                  <c:v>2048.92</c:v>
                </c:pt>
                <c:pt idx="28">
                  <c:v>2066.92</c:v>
                </c:pt>
                <c:pt idx="29">
                  <c:v>2101.02</c:v>
                </c:pt>
                <c:pt idx="30">
                  <c:v>2135.12</c:v>
                </c:pt>
                <c:pt idx="31">
                  <c:v>2171.12</c:v>
                </c:pt>
                <c:pt idx="32">
                  <c:v>2207.12</c:v>
                </c:pt>
                <c:pt idx="33">
                  <c:v>2223.12</c:v>
                </c:pt>
                <c:pt idx="34">
                  <c:v>2243.3200000000002</c:v>
                </c:pt>
                <c:pt idx="35">
                  <c:v>2263.12</c:v>
                </c:pt>
                <c:pt idx="36">
                  <c:v>2287.12</c:v>
                </c:pt>
                <c:pt idx="37">
                  <c:v>2303.12</c:v>
                </c:pt>
                <c:pt idx="38">
                  <c:v>2321.12</c:v>
                </c:pt>
                <c:pt idx="39">
                  <c:v>2345.12</c:v>
                </c:pt>
                <c:pt idx="40">
                  <c:v>2367.12</c:v>
                </c:pt>
                <c:pt idx="41">
                  <c:v>2391.12</c:v>
                </c:pt>
                <c:pt idx="42">
                  <c:v>2405.12</c:v>
                </c:pt>
                <c:pt idx="43">
                  <c:v>2417.12</c:v>
                </c:pt>
                <c:pt idx="44">
                  <c:v>2439.12</c:v>
                </c:pt>
                <c:pt idx="45">
                  <c:v>2455.12</c:v>
                </c:pt>
                <c:pt idx="46">
                  <c:v>2490.2199999999998</c:v>
                </c:pt>
                <c:pt idx="47">
                  <c:v>2525.3200000000002</c:v>
                </c:pt>
              </c:numCache>
            </c:numRef>
          </c:xVal>
          <c:yVal>
            <c:numRef>
              <c:f>'BUGC-002'!$F$15:$F$165</c:f>
              <c:numCache>
                <c:formatCode>0.0</c:formatCode>
                <c:ptCount val="151"/>
                <c:pt idx="0">
                  <c:v>3973.4272133766035</c:v>
                </c:pt>
                <c:pt idx="1">
                  <c:v>4222.2371964102622</c:v>
                </c:pt>
                <c:pt idx="2">
                  <c:v>4271.6493853042612</c:v>
                </c:pt>
                <c:pt idx="3">
                  <c:v>4307.1994027616201</c:v>
                </c:pt>
                <c:pt idx="4">
                  <c:v>4515.4560734508359</c:v>
                </c:pt>
                <c:pt idx="5">
                  <c:v>4555.2073233121373</c:v>
                </c:pt>
                <c:pt idx="6">
                  <c:v>4644.1340154895715</c:v>
                </c:pt>
                <c:pt idx="7">
                  <c:v>4819.3503683164845</c:v>
                </c:pt>
                <c:pt idx="8">
                  <c:v>5072.2820532958749</c:v>
                </c:pt>
                <c:pt idx="9">
                  <c:v>5191.3327638570108</c:v>
                </c:pt>
                <c:pt idx="10">
                  <c:v>5342.2924730874274</c:v>
                </c:pt>
                <c:pt idx="11">
                  <c:v>5644.48863934581</c:v>
                </c:pt>
                <c:pt idx="12">
                  <c:v>5675.0497237701074</c:v>
                </c:pt>
                <c:pt idx="13">
                  <c:v>5727.7186705099321</c:v>
                </c:pt>
                <c:pt idx="14">
                  <c:v>5861.1799121643944</c:v>
                </c:pt>
                <c:pt idx="15">
                  <c:v>5934.749431315664</c:v>
                </c:pt>
                <c:pt idx="16">
                  <c:v>6032.5839106202684</c:v>
                </c:pt>
                <c:pt idx="17">
                  <c:v>6230.00373390596</c:v>
                </c:pt>
                <c:pt idx="18">
                  <c:v>6384.123244054008</c:v>
                </c:pt>
                <c:pt idx="19">
                  <c:v>6557.6466408991982</c:v>
                </c:pt>
                <c:pt idx="20">
                  <c:v>6727.7472682900052</c:v>
                </c:pt>
                <c:pt idx="21">
                  <c:v>6869.6214134059628</c:v>
                </c:pt>
                <c:pt idx="22">
                  <c:v>6932.8107061086694</c:v>
                </c:pt>
                <c:pt idx="23">
                  <c:v>7042.2181724876318</c:v>
                </c:pt>
                <c:pt idx="24">
                  <c:v>7150.6456037462485</c:v>
                </c:pt>
                <c:pt idx="25">
                  <c:v>7445.8490981224631</c:v>
                </c:pt>
                <c:pt idx="26">
                  <c:v>7660.4409612955506</c:v>
                </c:pt>
                <c:pt idx="27">
                  <c:v>7749.33796744955</c:v>
                </c:pt>
                <c:pt idx="28">
                  <c:v>7838.1754298354172</c:v>
                </c:pt>
                <c:pt idx="29">
                  <c:v>8007.6605753985523</c:v>
                </c:pt>
                <c:pt idx="30">
                  <c:v>8178.7122972186198</c:v>
                </c:pt>
                <c:pt idx="31">
                  <c:v>8361.0107056844572</c:v>
                </c:pt>
                <c:pt idx="32">
                  <c:v>8545.0884682936012</c:v>
                </c:pt>
                <c:pt idx="33">
                  <c:v>8627.4764942438869</c:v>
                </c:pt>
                <c:pt idx="34">
                  <c:v>8732.0006400442235</c:v>
                </c:pt>
                <c:pt idx="35">
                  <c:v>8835.0093646638779</c:v>
                </c:pt>
                <c:pt idx="36">
                  <c:v>8960.6084647090647</c:v>
                </c:pt>
                <c:pt idx="37">
                  <c:v>9044.794184645425</c:v>
                </c:pt>
                <c:pt idx="38">
                  <c:v>9139.9385531714397</c:v>
                </c:pt>
                <c:pt idx="39">
                  <c:v>9267.5186475456285</c:v>
                </c:pt>
                <c:pt idx="40">
                  <c:v>9385.195043191934</c:v>
                </c:pt>
                <c:pt idx="41">
                  <c:v>9514.368463932351</c:v>
                </c:pt>
                <c:pt idx="42">
                  <c:v>9590.1068171667539</c:v>
                </c:pt>
                <c:pt idx="43">
                  <c:v>9655.2535033119384</c:v>
                </c:pt>
                <c:pt idx="44">
                  <c:v>9775.2383103938155</c:v>
                </c:pt>
                <c:pt idx="45">
                  <c:v>9862.9484219048245</c:v>
                </c:pt>
                <c:pt idx="46">
                  <c:v>10056.694094166973</c:v>
                </c:pt>
                <c:pt idx="47">
                  <c:v>10252.28335211704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E-42E2-AD1F-2ADBF0C6AE7F}"/>
            </c:ext>
          </c:extLst>
        </c:ser>
        <c:ser>
          <c:idx val="0"/>
          <c:order val="1"/>
          <c:tx>
            <c:v>Depth  (measured)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'BUGC-002'!$C$15:$C$164</c:f>
              <c:numCache>
                <c:formatCode>0.00</c:formatCode>
                <c:ptCount val="150"/>
                <c:pt idx="0">
                  <c:v>1189.6600000000001</c:v>
                </c:pt>
                <c:pt idx="1">
                  <c:v>1252.8399999999999</c:v>
                </c:pt>
                <c:pt idx="2">
                  <c:v>1265.26</c:v>
                </c:pt>
                <c:pt idx="3">
                  <c:v>1274.17</c:v>
                </c:pt>
                <c:pt idx="4">
                  <c:v>1325.94</c:v>
                </c:pt>
                <c:pt idx="5">
                  <c:v>1335.74</c:v>
                </c:pt>
                <c:pt idx="6">
                  <c:v>1357.57</c:v>
                </c:pt>
                <c:pt idx="7">
                  <c:v>1400.21</c:v>
                </c:pt>
                <c:pt idx="8">
                  <c:v>1460.91</c:v>
                </c:pt>
                <c:pt idx="9">
                  <c:v>1489.14</c:v>
                </c:pt>
                <c:pt idx="10">
                  <c:v>1524.63</c:v>
                </c:pt>
                <c:pt idx="11">
                  <c:v>1594.67</c:v>
                </c:pt>
                <c:pt idx="12">
                  <c:v>1601.68</c:v>
                </c:pt>
                <c:pt idx="13">
                  <c:v>1613.73</c:v>
                </c:pt>
                <c:pt idx="14">
                  <c:v>1644.09</c:v>
                </c:pt>
                <c:pt idx="15">
                  <c:v>1660.72</c:v>
                </c:pt>
                <c:pt idx="16">
                  <c:v>1682.72</c:v>
                </c:pt>
                <c:pt idx="17">
                  <c:v>1726.72</c:v>
                </c:pt>
                <c:pt idx="18">
                  <c:v>1760.71</c:v>
                </c:pt>
                <c:pt idx="19">
                  <c:v>1798.61</c:v>
                </c:pt>
                <c:pt idx="20">
                  <c:v>1835.39</c:v>
                </c:pt>
                <c:pt idx="21">
                  <c:v>1865.79</c:v>
                </c:pt>
                <c:pt idx="22">
                  <c:v>1879.25</c:v>
                </c:pt>
                <c:pt idx="23">
                  <c:v>1902.44</c:v>
                </c:pt>
                <c:pt idx="24">
                  <c:v>1925.28</c:v>
                </c:pt>
                <c:pt idx="25">
                  <c:v>1986.76</c:v>
                </c:pt>
                <c:pt idx="26">
                  <c:v>2030.82</c:v>
                </c:pt>
                <c:pt idx="27">
                  <c:v>2048.92</c:v>
                </c:pt>
                <c:pt idx="28">
                  <c:v>2066.92</c:v>
                </c:pt>
                <c:pt idx="29">
                  <c:v>2101.02</c:v>
                </c:pt>
                <c:pt idx="30">
                  <c:v>2135.12</c:v>
                </c:pt>
                <c:pt idx="31">
                  <c:v>2171.12</c:v>
                </c:pt>
                <c:pt idx="32">
                  <c:v>2207.12</c:v>
                </c:pt>
                <c:pt idx="33">
                  <c:v>2223.12</c:v>
                </c:pt>
                <c:pt idx="34">
                  <c:v>2243.3200000000002</c:v>
                </c:pt>
                <c:pt idx="35">
                  <c:v>2263.12</c:v>
                </c:pt>
                <c:pt idx="36">
                  <c:v>2287.12</c:v>
                </c:pt>
                <c:pt idx="37">
                  <c:v>2303.12</c:v>
                </c:pt>
                <c:pt idx="38">
                  <c:v>2321.12</c:v>
                </c:pt>
                <c:pt idx="39">
                  <c:v>2345.12</c:v>
                </c:pt>
                <c:pt idx="40">
                  <c:v>2367.12</c:v>
                </c:pt>
                <c:pt idx="41">
                  <c:v>2391.12</c:v>
                </c:pt>
                <c:pt idx="42">
                  <c:v>2405.12</c:v>
                </c:pt>
                <c:pt idx="43">
                  <c:v>2417.12</c:v>
                </c:pt>
                <c:pt idx="44">
                  <c:v>2439.12</c:v>
                </c:pt>
                <c:pt idx="45">
                  <c:v>2455.12</c:v>
                </c:pt>
                <c:pt idx="46">
                  <c:v>2490.2199999999998</c:v>
                </c:pt>
                <c:pt idx="47">
                  <c:v>2525.3200000000002</c:v>
                </c:pt>
              </c:numCache>
            </c:numRef>
          </c:xVal>
          <c:yVal>
            <c:numRef>
              <c:f>'BUGC-002'!$D$15:$D$164</c:f>
              <c:numCache>
                <c:formatCode>0.00</c:formatCode>
                <c:ptCount val="150"/>
                <c:pt idx="0">
                  <c:v>4057.97</c:v>
                </c:pt>
                <c:pt idx="1">
                  <c:v>4276.7</c:v>
                </c:pt>
                <c:pt idx="2">
                  <c:v>4320.47</c:v>
                </c:pt>
                <c:pt idx="3">
                  <c:v>4352.41</c:v>
                </c:pt>
                <c:pt idx="4">
                  <c:v>4545.13</c:v>
                </c:pt>
                <c:pt idx="5">
                  <c:v>4582.97</c:v>
                </c:pt>
                <c:pt idx="6">
                  <c:v>4669.03</c:v>
                </c:pt>
                <c:pt idx="7">
                  <c:v>4845.47</c:v>
                </c:pt>
                <c:pt idx="8">
                  <c:v>5107.97</c:v>
                </c:pt>
                <c:pt idx="9">
                  <c:v>5227.68</c:v>
                </c:pt>
                <c:pt idx="10">
                  <c:v>5370.47</c:v>
                </c:pt>
                <c:pt idx="11">
                  <c:v>5632.97</c:v>
                </c:pt>
                <c:pt idx="12">
                  <c:v>5659.41</c:v>
                </c:pt>
                <c:pt idx="13">
                  <c:v>5705.46</c:v>
                </c:pt>
                <c:pt idx="14">
                  <c:v>5826.34</c:v>
                </c:pt>
                <c:pt idx="15">
                  <c:v>5895.47</c:v>
                </c:pt>
                <c:pt idx="16">
                  <c:v>5995.47</c:v>
                </c:pt>
                <c:pt idx="17">
                  <c:v>6185.47</c:v>
                </c:pt>
                <c:pt idx="18">
                  <c:v>6343.47</c:v>
                </c:pt>
                <c:pt idx="19">
                  <c:v>6519.47</c:v>
                </c:pt>
                <c:pt idx="20">
                  <c:v>6695.47</c:v>
                </c:pt>
                <c:pt idx="21">
                  <c:v>6845.47</c:v>
                </c:pt>
                <c:pt idx="22">
                  <c:v>6911.47</c:v>
                </c:pt>
                <c:pt idx="23">
                  <c:v>7023.66</c:v>
                </c:pt>
                <c:pt idx="24">
                  <c:v>7130.47</c:v>
                </c:pt>
                <c:pt idx="25">
                  <c:v>7405.47</c:v>
                </c:pt>
                <c:pt idx="26">
                  <c:v>7615.47</c:v>
                </c:pt>
                <c:pt idx="27">
                  <c:v>7715.47</c:v>
                </c:pt>
                <c:pt idx="28">
                  <c:v>7805.47</c:v>
                </c:pt>
                <c:pt idx="29">
                  <c:v>7985.47</c:v>
                </c:pt>
                <c:pt idx="30">
                  <c:v>8165.47</c:v>
                </c:pt>
                <c:pt idx="31">
                  <c:v>8364.4699999999993</c:v>
                </c:pt>
                <c:pt idx="32">
                  <c:v>8545.4699999999993</c:v>
                </c:pt>
                <c:pt idx="33">
                  <c:v>8635.4699999999993</c:v>
                </c:pt>
                <c:pt idx="34">
                  <c:v>8740.4699999999993</c:v>
                </c:pt>
                <c:pt idx="35">
                  <c:v>8839.4699999999993</c:v>
                </c:pt>
                <c:pt idx="36">
                  <c:v>8965.4699999999993</c:v>
                </c:pt>
                <c:pt idx="37">
                  <c:v>9055.4699999999993</c:v>
                </c:pt>
                <c:pt idx="38">
                  <c:v>9149.4699999999993</c:v>
                </c:pt>
                <c:pt idx="39">
                  <c:v>9285.4699999999993</c:v>
                </c:pt>
                <c:pt idx="40">
                  <c:v>9411.4699999999993</c:v>
                </c:pt>
                <c:pt idx="41">
                  <c:v>9545.4699999999993</c:v>
                </c:pt>
                <c:pt idx="42">
                  <c:v>9620.4699999999993</c:v>
                </c:pt>
                <c:pt idx="43">
                  <c:v>9678.4699999999993</c:v>
                </c:pt>
                <c:pt idx="44">
                  <c:v>9793.4699999999993</c:v>
                </c:pt>
                <c:pt idx="45">
                  <c:v>9879.4699999999993</c:v>
                </c:pt>
                <c:pt idx="46">
                  <c:v>10062.469999999999</c:v>
                </c:pt>
                <c:pt idx="47">
                  <c:v>10245.469999999999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E-42E2-AD1F-2ADBF0C6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5728"/>
        <c:axId val="195147648"/>
      </c:scatterChart>
      <c:valAx>
        <c:axId val="1951457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2-Way Time (ms)</a:t>
                </a:r>
              </a:p>
            </c:rich>
          </c:tx>
          <c:layout>
            <c:manualLayout>
              <c:xMode val="edge"/>
              <c:yMode val="edge"/>
              <c:x val="0.36621480884556534"/>
              <c:y val="1.604278074866312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7648"/>
        <c:crosses val="autoZero"/>
        <c:crossBetween val="midCat"/>
      </c:valAx>
      <c:valAx>
        <c:axId val="1951476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6.1652281134402026E-3"/>
              <c:y val="0.46880645266935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5728"/>
        <c:crosses val="autoZero"/>
        <c:crossBetween val="midCat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939619600570858"/>
          <c:y val="0.34759414431484853"/>
          <c:w val="0.15659692353498977"/>
          <c:h val="7.664902849710630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Depth Prediction Error</a:t>
            </a:r>
          </a:p>
        </c:rich>
      </c:tx>
      <c:layout>
        <c:manualLayout>
          <c:xMode val="edge"/>
          <c:yMode val="edge"/>
          <c:x val="0.33046708841984479"/>
          <c:y val="3.96039603960396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9270636943488"/>
          <c:y val="0.17821799410000996"/>
          <c:w val="0.76658522642407023"/>
          <c:h val="0.72277297607226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'BUGC-002'!$D$2</c:f>
              <c:strCache>
                <c:ptCount val="1"/>
                <c:pt idx="0">
                  <c:v>OBEA-01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'BUGC-002'!$D$15:$D$166</c:f>
              <c:numCache>
                <c:formatCode>0.00</c:formatCode>
                <c:ptCount val="152"/>
                <c:pt idx="0">
                  <c:v>4057.97</c:v>
                </c:pt>
                <c:pt idx="1">
                  <c:v>4276.7</c:v>
                </c:pt>
                <c:pt idx="2">
                  <c:v>4320.47</c:v>
                </c:pt>
                <c:pt idx="3">
                  <c:v>4352.41</c:v>
                </c:pt>
                <c:pt idx="4">
                  <c:v>4545.13</c:v>
                </c:pt>
                <c:pt idx="5">
                  <c:v>4582.97</c:v>
                </c:pt>
                <c:pt idx="6">
                  <c:v>4669.03</c:v>
                </c:pt>
                <c:pt idx="7">
                  <c:v>4845.47</c:v>
                </c:pt>
                <c:pt idx="8">
                  <c:v>5107.97</c:v>
                </c:pt>
                <c:pt idx="9">
                  <c:v>5227.68</c:v>
                </c:pt>
                <c:pt idx="10">
                  <c:v>5370.47</c:v>
                </c:pt>
                <c:pt idx="11">
                  <c:v>5632.97</c:v>
                </c:pt>
                <c:pt idx="12">
                  <c:v>5659.41</c:v>
                </c:pt>
                <c:pt idx="13">
                  <c:v>5705.46</c:v>
                </c:pt>
                <c:pt idx="14">
                  <c:v>5826.34</c:v>
                </c:pt>
                <c:pt idx="15">
                  <c:v>5895.47</c:v>
                </c:pt>
                <c:pt idx="16">
                  <c:v>5995.47</c:v>
                </c:pt>
                <c:pt idx="17">
                  <c:v>6185.47</c:v>
                </c:pt>
                <c:pt idx="18">
                  <c:v>6343.47</c:v>
                </c:pt>
                <c:pt idx="19">
                  <c:v>6519.47</c:v>
                </c:pt>
                <c:pt idx="20">
                  <c:v>6695.47</c:v>
                </c:pt>
                <c:pt idx="21">
                  <c:v>6845.47</c:v>
                </c:pt>
                <c:pt idx="22">
                  <c:v>6911.47</c:v>
                </c:pt>
                <c:pt idx="23">
                  <c:v>7023.66</c:v>
                </c:pt>
                <c:pt idx="24">
                  <c:v>7130.47</c:v>
                </c:pt>
                <c:pt idx="25">
                  <c:v>7405.47</c:v>
                </c:pt>
                <c:pt idx="26">
                  <c:v>7615.47</c:v>
                </c:pt>
                <c:pt idx="27">
                  <c:v>7715.47</c:v>
                </c:pt>
                <c:pt idx="28">
                  <c:v>7805.47</c:v>
                </c:pt>
                <c:pt idx="29">
                  <c:v>7985.47</c:v>
                </c:pt>
                <c:pt idx="30">
                  <c:v>8165.47</c:v>
                </c:pt>
                <c:pt idx="31">
                  <c:v>8364.4699999999993</c:v>
                </c:pt>
                <c:pt idx="32">
                  <c:v>8545.4699999999993</c:v>
                </c:pt>
                <c:pt idx="33">
                  <c:v>8635.4699999999993</c:v>
                </c:pt>
                <c:pt idx="34">
                  <c:v>8740.4699999999993</c:v>
                </c:pt>
                <c:pt idx="35">
                  <c:v>8839.4699999999993</c:v>
                </c:pt>
                <c:pt idx="36">
                  <c:v>8965.4699999999993</c:v>
                </c:pt>
                <c:pt idx="37">
                  <c:v>9055.4699999999993</c:v>
                </c:pt>
                <c:pt idx="38">
                  <c:v>9149.4699999999993</c:v>
                </c:pt>
                <c:pt idx="39">
                  <c:v>9285.4699999999993</c:v>
                </c:pt>
                <c:pt idx="40">
                  <c:v>9411.4699999999993</c:v>
                </c:pt>
                <c:pt idx="41">
                  <c:v>9545.4699999999993</c:v>
                </c:pt>
                <c:pt idx="42">
                  <c:v>9620.4699999999993</c:v>
                </c:pt>
                <c:pt idx="43">
                  <c:v>9678.4699999999993</c:v>
                </c:pt>
                <c:pt idx="44">
                  <c:v>9793.4699999999993</c:v>
                </c:pt>
                <c:pt idx="45">
                  <c:v>9879.4699999999993</c:v>
                </c:pt>
                <c:pt idx="46">
                  <c:v>10062.469999999999</c:v>
                </c:pt>
                <c:pt idx="47">
                  <c:v>10245.469999999999</c:v>
                </c:pt>
              </c:numCache>
            </c:numRef>
          </c:xVal>
          <c:yVal>
            <c:numRef>
              <c:f>'BUGC-002'!$H$15:$H$166</c:f>
              <c:numCache>
                <c:formatCode>0</c:formatCode>
                <c:ptCount val="152"/>
                <c:pt idx="0">
                  <c:v>-84.542786623396296</c:v>
                </c:pt>
                <c:pt idx="1">
                  <c:v>-54.462803589737632</c:v>
                </c:pt>
                <c:pt idx="2">
                  <c:v>-48.820614695739096</c:v>
                </c:pt>
                <c:pt idx="3">
                  <c:v>-45.210597238379705</c:v>
                </c:pt>
                <c:pt idx="4">
                  <c:v>-29.673926549164207</c:v>
                </c:pt>
                <c:pt idx="5">
                  <c:v>-27.76267668786295</c:v>
                </c:pt>
                <c:pt idx="6">
                  <c:v>-24.895984510428207</c:v>
                </c:pt>
                <c:pt idx="7">
                  <c:v>-26.119631683515763</c:v>
                </c:pt>
                <c:pt idx="8">
                  <c:v>-35.687946704125352</c:v>
                </c:pt>
                <c:pt idx="9">
                  <c:v>-36.347236142989459</c:v>
                </c:pt>
                <c:pt idx="10">
                  <c:v>-28.17752691257283</c:v>
                </c:pt>
                <c:pt idx="11">
                  <c:v>11.518639345809788</c:v>
                </c:pt>
                <c:pt idx="12">
                  <c:v>15.639723770107594</c:v>
                </c:pt>
                <c:pt idx="13">
                  <c:v>22.258670509932017</c:v>
                </c:pt>
                <c:pt idx="14">
                  <c:v>34.839912164394264</c:v>
                </c:pt>
                <c:pt idx="15">
                  <c:v>39.279431315663714</c:v>
                </c:pt>
                <c:pt idx="16">
                  <c:v>37.113910620268143</c:v>
                </c:pt>
                <c:pt idx="17">
                  <c:v>44.533733905959707</c:v>
                </c:pt>
                <c:pt idx="18">
                  <c:v>40.6532440540077</c:v>
                </c:pt>
                <c:pt idx="19">
                  <c:v>38.176640899197992</c:v>
                </c:pt>
                <c:pt idx="20">
                  <c:v>32.27726829000494</c:v>
                </c:pt>
                <c:pt idx="21">
                  <c:v>24.151413405962558</c:v>
                </c:pt>
                <c:pt idx="22">
                  <c:v>21.34070610866911</c:v>
                </c:pt>
                <c:pt idx="23">
                  <c:v>18.558172487631964</c:v>
                </c:pt>
                <c:pt idx="24">
                  <c:v>20.175603746248271</c:v>
                </c:pt>
                <c:pt idx="25">
                  <c:v>40.379098122462892</c:v>
                </c:pt>
                <c:pt idx="26">
                  <c:v>44.970961295550296</c:v>
                </c:pt>
                <c:pt idx="27">
                  <c:v>33.867967449549724</c:v>
                </c:pt>
                <c:pt idx="28">
                  <c:v>32.705429835416908</c:v>
                </c:pt>
                <c:pt idx="29">
                  <c:v>22.190575398552028</c:v>
                </c:pt>
                <c:pt idx="30">
                  <c:v>13.242297218619569</c:v>
                </c:pt>
                <c:pt idx="31">
                  <c:v>-3.4592943155421381</c:v>
                </c:pt>
                <c:pt idx="32">
                  <c:v>-0.38153170639816381</c:v>
                </c:pt>
                <c:pt idx="33">
                  <c:v>-7.9935057561124268</c:v>
                </c:pt>
                <c:pt idx="34">
                  <c:v>-8.4693599557758716</c:v>
                </c:pt>
                <c:pt idx="35">
                  <c:v>-4.4606353361214133</c:v>
                </c:pt>
                <c:pt idx="36">
                  <c:v>-4.8615352909346257</c:v>
                </c:pt>
                <c:pt idx="37">
                  <c:v>-10.675815354574297</c:v>
                </c:pt>
                <c:pt idx="38">
                  <c:v>-9.5314468285596377</c:v>
                </c:pt>
                <c:pt idx="39">
                  <c:v>-17.951352454370863</c:v>
                </c:pt>
                <c:pt idx="40">
                  <c:v>-26.274956808065326</c:v>
                </c:pt>
                <c:pt idx="41">
                  <c:v>-31.10153606764834</c:v>
                </c:pt>
                <c:pt idx="42">
                  <c:v>-30.363182833245446</c:v>
                </c:pt>
                <c:pt idx="43">
                  <c:v>-23.216496688060943</c:v>
                </c:pt>
                <c:pt idx="44">
                  <c:v>-18.231689606183863</c:v>
                </c:pt>
                <c:pt idx="45">
                  <c:v>-16.521578095174846</c:v>
                </c:pt>
                <c:pt idx="46">
                  <c:v>-5.7759058330266271</c:v>
                </c:pt>
                <c:pt idx="47">
                  <c:v>6.8133521170402673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A-492A-A347-F68F68BDE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4208"/>
        <c:axId val="205873152"/>
      </c:scatterChart>
      <c:valAx>
        <c:axId val="20585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0.4692877272404834"/>
              <c:y val="0.940594890985161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73152"/>
        <c:crosses val="autoZero"/>
        <c:crossBetween val="midCat"/>
      </c:valAx>
      <c:valAx>
        <c:axId val="205873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Error (ftss)</a:t>
                </a:r>
              </a:p>
            </c:rich>
          </c:tx>
          <c:layout>
            <c:manualLayout>
              <c:xMode val="edge"/>
              <c:yMode val="edge"/>
              <c:x val="1.1056511056511061E-2"/>
              <c:y val="0.473267742522283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54208"/>
        <c:crosses val="autoZero"/>
        <c:crossBetween val="midCat"/>
        <c:maj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67617644160737"/>
          <c:y val="0.18041259817548719"/>
          <c:w val="0.73521897042884099"/>
          <c:h val="0.755155589505966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'[1]Raw-BUGC-002'!$E$16:$E$77</c:f>
              <c:strCache>
                <c:ptCount val="62"/>
              </c:strCache>
            </c:strRef>
          </c:xVal>
          <c:yVal>
            <c:numRef>
              <c:f>'BUGC-002'!$D$16:$D$77</c:f>
              <c:numCache>
                <c:formatCode>0.00</c:formatCode>
                <c:ptCount val="62"/>
                <c:pt idx="0">
                  <c:v>4276.7</c:v>
                </c:pt>
                <c:pt idx="1">
                  <c:v>4320.47</c:v>
                </c:pt>
                <c:pt idx="2">
                  <c:v>4352.41</c:v>
                </c:pt>
                <c:pt idx="3">
                  <c:v>4545.13</c:v>
                </c:pt>
                <c:pt idx="4">
                  <c:v>4582.97</c:v>
                </c:pt>
                <c:pt idx="5">
                  <c:v>4669.03</c:v>
                </c:pt>
                <c:pt idx="6">
                  <c:v>4845.47</c:v>
                </c:pt>
                <c:pt idx="7">
                  <c:v>5107.97</c:v>
                </c:pt>
                <c:pt idx="8">
                  <c:v>5227.68</c:v>
                </c:pt>
                <c:pt idx="9">
                  <c:v>5370.47</c:v>
                </c:pt>
                <c:pt idx="10">
                  <c:v>5632.97</c:v>
                </c:pt>
                <c:pt idx="11">
                  <c:v>5659.41</c:v>
                </c:pt>
                <c:pt idx="12">
                  <c:v>5705.46</c:v>
                </c:pt>
                <c:pt idx="13">
                  <c:v>5826.34</c:v>
                </c:pt>
                <c:pt idx="14">
                  <c:v>5895.47</c:v>
                </c:pt>
                <c:pt idx="15">
                  <c:v>5995.47</c:v>
                </c:pt>
                <c:pt idx="16">
                  <c:v>6185.47</c:v>
                </c:pt>
                <c:pt idx="17">
                  <c:v>6343.47</c:v>
                </c:pt>
                <c:pt idx="18">
                  <c:v>6519.47</c:v>
                </c:pt>
                <c:pt idx="19">
                  <c:v>6695.47</c:v>
                </c:pt>
                <c:pt idx="20">
                  <c:v>6845.47</c:v>
                </c:pt>
                <c:pt idx="21">
                  <c:v>6911.47</c:v>
                </c:pt>
                <c:pt idx="22">
                  <c:v>7023.66</c:v>
                </c:pt>
                <c:pt idx="23">
                  <c:v>7130.47</c:v>
                </c:pt>
                <c:pt idx="24">
                  <c:v>7405.47</c:v>
                </c:pt>
                <c:pt idx="25">
                  <c:v>7615.47</c:v>
                </c:pt>
                <c:pt idx="26">
                  <c:v>7715.47</c:v>
                </c:pt>
                <c:pt idx="27">
                  <c:v>7805.47</c:v>
                </c:pt>
                <c:pt idx="28">
                  <c:v>7985.47</c:v>
                </c:pt>
                <c:pt idx="29">
                  <c:v>8165.47</c:v>
                </c:pt>
                <c:pt idx="30">
                  <c:v>8364.4699999999993</c:v>
                </c:pt>
                <c:pt idx="31">
                  <c:v>8545.4699999999993</c:v>
                </c:pt>
                <c:pt idx="32">
                  <c:v>8635.4699999999993</c:v>
                </c:pt>
                <c:pt idx="33">
                  <c:v>8740.4699999999993</c:v>
                </c:pt>
                <c:pt idx="34">
                  <c:v>8839.4699999999993</c:v>
                </c:pt>
                <c:pt idx="35">
                  <c:v>8965.4699999999993</c:v>
                </c:pt>
                <c:pt idx="36">
                  <c:v>9055.4699999999993</c:v>
                </c:pt>
                <c:pt idx="37">
                  <c:v>9149.4699999999993</c:v>
                </c:pt>
                <c:pt idx="38">
                  <c:v>9285.4699999999993</c:v>
                </c:pt>
                <c:pt idx="39">
                  <c:v>9411.4699999999993</c:v>
                </c:pt>
                <c:pt idx="40">
                  <c:v>9545.4699999999993</c:v>
                </c:pt>
                <c:pt idx="41">
                  <c:v>9620.4699999999993</c:v>
                </c:pt>
                <c:pt idx="42">
                  <c:v>9678.4699999999993</c:v>
                </c:pt>
                <c:pt idx="43">
                  <c:v>9793.4699999999993</c:v>
                </c:pt>
                <c:pt idx="44">
                  <c:v>9879.4699999999993</c:v>
                </c:pt>
                <c:pt idx="45">
                  <c:v>10062.469999999999</c:v>
                </c:pt>
                <c:pt idx="46">
                  <c:v>10245.469999999999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F-4BFC-B47F-CDA67142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88896"/>
        <c:axId val="219744128"/>
      </c:scatterChart>
      <c:valAx>
        <c:axId val="20588889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</a:t>
                </a:r>
              </a:p>
            </c:rich>
          </c:tx>
          <c:layout>
            <c:manualLayout>
              <c:xMode val="edge"/>
              <c:yMode val="edge"/>
              <c:x val="0.48971749353952881"/>
              <c:y val="4.123711340206185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44128"/>
        <c:crosses val="autoZero"/>
        <c:crossBetween val="midCat"/>
      </c:valAx>
      <c:valAx>
        <c:axId val="21974412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</a:t>
                </a:r>
              </a:p>
            </c:rich>
          </c:tx>
          <c:layout>
            <c:manualLayout>
              <c:xMode val="edge"/>
              <c:yMode val="edge"/>
              <c:x val="2.0565552699228787E-2"/>
              <c:y val="0.50515518034472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888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555526317567"/>
          <c:y val="0.53092837622101363"/>
          <c:w val="8.2262210796915106E-2"/>
          <c:h val="5.67010309278351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20721922155519"/>
          <c:y val="0.17290582683305972"/>
          <c:w val="0.83970457461405634"/>
          <c:h val="0.75935961062766488"/>
        </c:manualLayout>
      </c:layout>
      <c:scatterChart>
        <c:scatterStyle val="lineMarker"/>
        <c:varyColors val="0"/>
        <c:ser>
          <c:idx val="1"/>
          <c:order val="0"/>
          <c:tx>
            <c:v>Depth (alculated)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OBEA_01!$C$15:$C$164</c:f>
              <c:numCache>
                <c:formatCode>0.00</c:formatCode>
                <c:ptCount val="150"/>
                <c:pt idx="0">
                  <c:v>1189.6600000000001</c:v>
                </c:pt>
                <c:pt idx="1">
                  <c:v>1252.8399999999999</c:v>
                </c:pt>
                <c:pt idx="2">
                  <c:v>1265.26</c:v>
                </c:pt>
                <c:pt idx="3">
                  <c:v>1274.17</c:v>
                </c:pt>
                <c:pt idx="4">
                  <c:v>1325.94</c:v>
                </c:pt>
                <c:pt idx="5">
                  <c:v>1335.74</c:v>
                </c:pt>
                <c:pt idx="6">
                  <c:v>1357.57</c:v>
                </c:pt>
                <c:pt idx="7">
                  <c:v>1400.21</c:v>
                </c:pt>
                <c:pt idx="8">
                  <c:v>1460.91</c:v>
                </c:pt>
                <c:pt idx="9">
                  <c:v>1489.14</c:v>
                </c:pt>
                <c:pt idx="10">
                  <c:v>1524.63</c:v>
                </c:pt>
                <c:pt idx="11">
                  <c:v>1594.67</c:v>
                </c:pt>
                <c:pt idx="12">
                  <c:v>1601.68</c:v>
                </c:pt>
                <c:pt idx="13">
                  <c:v>1613.73</c:v>
                </c:pt>
                <c:pt idx="14">
                  <c:v>1644.09</c:v>
                </c:pt>
                <c:pt idx="15">
                  <c:v>1660.72</c:v>
                </c:pt>
                <c:pt idx="16">
                  <c:v>1682.72</c:v>
                </c:pt>
                <c:pt idx="17">
                  <c:v>1726.72</c:v>
                </c:pt>
                <c:pt idx="18">
                  <c:v>1760.71</c:v>
                </c:pt>
                <c:pt idx="19">
                  <c:v>1798.61</c:v>
                </c:pt>
                <c:pt idx="20">
                  <c:v>1835.39</c:v>
                </c:pt>
                <c:pt idx="21">
                  <c:v>1865.79</c:v>
                </c:pt>
                <c:pt idx="22">
                  <c:v>1879.25</c:v>
                </c:pt>
                <c:pt idx="23">
                  <c:v>1902.44</c:v>
                </c:pt>
                <c:pt idx="24">
                  <c:v>1925.28</c:v>
                </c:pt>
                <c:pt idx="25">
                  <c:v>1986.76</c:v>
                </c:pt>
                <c:pt idx="26">
                  <c:v>2030.82</c:v>
                </c:pt>
                <c:pt idx="27">
                  <c:v>2048.92</c:v>
                </c:pt>
                <c:pt idx="28">
                  <c:v>2066.92</c:v>
                </c:pt>
                <c:pt idx="29">
                  <c:v>2101.02</c:v>
                </c:pt>
                <c:pt idx="30">
                  <c:v>2135.12</c:v>
                </c:pt>
                <c:pt idx="31">
                  <c:v>2171.12</c:v>
                </c:pt>
                <c:pt idx="32">
                  <c:v>2207.12</c:v>
                </c:pt>
                <c:pt idx="33">
                  <c:v>2223.12</c:v>
                </c:pt>
                <c:pt idx="34">
                  <c:v>2243.3200000000002</c:v>
                </c:pt>
                <c:pt idx="35">
                  <c:v>2263.12</c:v>
                </c:pt>
                <c:pt idx="36">
                  <c:v>2287.12</c:v>
                </c:pt>
                <c:pt idx="37">
                  <c:v>2303.12</c:v>
                </c:pt>
                <c:pt idx="38">
                  <c:v>2321.12</c:v>
                </c:pt>
                <c:pt idx="39">
                  <c:v>2345.12</c:v>
                </c:pt>
                <c:pt idx="40">
                  <c:v>2367.12</c:v>
                </c:pt>
                <c:pt idx="41">
                  <c:v>2391.12</c:v>
                </c:pt>
                <c:pt idx="42">
                  <c:v>2405.12</c:v>
                </c:pt>
                <c:pt idx="43">
                  <c:v>2417.12</c:v>
                </c:pt>
                <c:pt idx="44">
                  <c:v>2439.12</c:v>
                </c:pt>
                <c:pt idx="45">
                  <c:v>2455.12</c:v>
                </c:pt>
                <c:pt idx="46">
                  <c:v>2490.2199999999998</c:v>
                </c:pt>
                <c:pt idx="47">
                  <c:v>2525.3200000000002</c:v>
                </c:pt>
              </c:numCache>
            </c:numRef>
          </c:xVal>
          <c:yVal>
            <c:numRef>
              <c:f>OBEA_01!$F$15:$F$165</c:f>
              <c:numCache>
                <c:formatCode>0.0</c:formatCode>
                <c:ptCount val="151"/>
                <c:pt idx="0">
                  <c:v>3973.4272133766035</c:v>
                </c:pt>
                <c:pt idx="1">
                  <c:v>4222.2371964102622</c:v>
                </c:pt>
                <c:pt idx="2">
                  <c:v>4271.6493853042612</c:v>
                </c:pt>
                <c:pt idx="3">
                  <c:v>4307.1994027616201</c:v>
                </c:pt>
                <c:pt idx="4">
                  <c:v>4515.4560734508359</c:v>
                </c:pt>
                <c:pt idx="5">
                  <c:v>4555.2073233121373</c:v>
                </c:pt>
                <c:pt idx="6">
                  <c:v>4644.1340154895715</c:v>
                </c:pt>
                <c:pt idx="7">
                  <c:v>4819.3503683164845</c:v>
                </c:pt>
                <c:pt idx="8">
                  <c:v>5072.2820532958749</c:v>
                </c:pt>
                <c:pt idx="9">
                  <c:v>5191.3327638570108</c:v>
                </c:pt>
                <c:pt idx="10">
                  <c:v>5342.2924730874274</c:v>
                </c:pt>
                <c:pt idx="11">
                  <c:v>5644.48863934581</c:v>
                </c:pt>
                <c:pt idx="12">
                  <c:v>5675.0497237701074</c:v>
                </c:pt>
                <c:pt idx="13">
                  <c:v>5727.7186705099321</c:v>
                </c:pt>
                <c:pt idx="14">
                  <c:v>5861.1799121643944</c:v>
                </c:pt>
                <c:pt idx="15">
                  <c:v>5934.749431315664</c:v>
                </c:pt>
                <c:pt idx="16">
                  <c:v>6032.5839106202684</c:v>
                </c:pt>
                <c:pt idx="17">
                  <c:v>6230.00373390596</c:v>
                </c:pt>
                <c:pt idx="18">
                  <c:v>6384.123244054008</c:v>
                </c:pt>
                <c:pt idx="19">
                  <c:v>6557.6466408991982</c:v>
                </c:pt>
                <c:pt idx="20">
                  <c:v>6727.7472682900052</c:v>
                </c:pt>
                <c:pt idx="21">
                  <c:v>6869.6214134059628</c:v>
                </c:pt>
                <c:pt idx="22">
                  <c:v>6932.8107061086694</c:v>
                </c:pt>
                <c:pt idx="23">
                  <c:v>7042.2181724876318</c:v>
                </c:pt>
                <c:pt idx="24">
                  <c:v>7150.6456037462485</c:v>
                </c:pt>
                <c:pt idx="25">
                  <c:v>7445.8490981224631</c:v>
                </c:pt>
                <c:pt idx="26">
                  <c:v>7660.4409612955506</c:v>
                </c:pt>
                <c:pt idx="27">
                  <c:v>7749.33796744955</c:v>
                </c:pt>
                <c:pt idx="28">
                  <c:v>7838.1754298354172</c:v>
                </c:pt>
                <c:pt idx="29">
                  <c:v>8007.6605753985523</c:v>
                </c:pt>
                <c:pt idx="30">
                  <c:v>8178.7122972186198</c:v>
                </c:pt>
                <c:pt idx="31">
                  <c:v>8361.0107056844572</c:v>
                </c:pt>
                <c:pt idx="32">
                  <c:v>8545.0884682936012</c:v>
                </c:pt>
                <c:pt idx="33">
                  <c:v>8627.4764942438869</c:v>
                </c:pt>
                <c:pt idx="34">
                  <c:v>8732.0006400442235</c:v>
                </c:pt>
                <c:pt idx="35">
                  <c:v>8835.0093646638779</c:v>
                </c:pt>
                <c:pt idx="36">
                  <c:v>8960.6084647090647</c:v>
                </c:pt>
                <c:pt idx="37">
                  <c:v>9044.794184645425</c:v>
                </c:pt>
                <c:pt idx="38">
                  <c:v>9139.9385531714397</c:v>
                </c:pt>
                <c:pt idx="39">
                  <c:v>9267.5186475456285</c:v>
                </c:pt>
                <c:pt idx="40">
                  <c:v>9385.195043191934</c:v>
                </c:pt>
                <c:pt idx="41">
                  <c:v>9514.368463932351</c:v>
                </c:pt>
                <c:pt idx="42">
                  <c:v>9590.1068171667539</c:v>
                </c:pt>
                <c:pt idx="43">
                  <c:v>9655.2535033119384</c:v>
                </c:pt>
                <c:pt idx="44">
                  <c:v>9775.2383103938155</c:v>
                </c:pt>
                <c:pt idx="45">
                  <c:v>9862.9484219048245</c:v>
                </c:pt>
                <c:pt idx="46">
                  <c:v>10056.694094166973</c:v>
                </c:pt>
                <c:pt idx="47">
                  <c:v>10252.28335211704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3-4A11-944C-FB8844CDC2AF}"/>
            </c:ext>
          </c:extLst>
        </c:ser>
        <c:ser>
          <c:idx val="0"/>
          <c:order val="1"/>
          <c:tx>
            <c:v>Depth  (measured)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OBEA_01!$C$15:$C$164</c:f>
              <c:numCache>
                <c:formatCode>0.00</c:formatCode>
                <c:ptCount val="150"/>
                <c:pt idx="0">
                  <c:v>1189.6600000000001</c:v>
                </c:pt>
                <c:pt idx="1">
                  <c:v>1252.8399999999999</c:v>
                </c:pt>
                <c:pt idx="2">
                  <c:v>1265.26</c:v>
                </c:pt>
                <c:pt idx="3">
                  <c:v>1274.17</c:v>
                </c:pt>
                <c:pt idx="4">
                  <c:v>1325.94</c:v>
                </c:pt>
                <c:pt idx="5">
                  <c:v>1335.74</c:v>
                </c:pt>
                <c:pt idx="6">
                  <c:v>1357.57</c:v>
                </c:pt>
                <c:pt idx="7">
                  <c:v>1400.21</c:v>
                </c:pt>
                <c:pt idx="8">
                  <c:v>1460.91</c:v>
                </c:pt>
                <c:pt idx="9">
                  <c:v>1489.14</c:v>
                </c:pt>
                <c:pt idx="10">
                  <c:v>1524.63</c:v>
                </c:pt>
                <c:pt idx="11">
                  <c:v>1594.67</c:v>
                </c:pt>
                <c:pt idx="12">
                  <c:v>1601.68</c:v>
                </c:pt>
                <c:pt idx="13">
                  <c:v>1613.73</c:v>
                </c:pt>
                <c:pt idx="14">
                  <c:v>1644.09</c:v>
                </c:pt>
                <c:pt idx="15">
                  <c:v>1660.72</c:v>
                </c:pt>
                <c:pt idx="16">
                  <c:v>1682.72</c:v>
                </c:pt>
                <c:pt idx="17">
                  <c:v>1726.72</c:v>
                </c:pt>
                <c:pt idx="18">
                  <c:v>1760.71</c:v>
                </c:pt>
                <c:pt idx="19">
                  <c:v>1798.61</c:v>
                </c:pt>
                <c:pt idx="20">
                  <c:v>1835.39</c:v>
                </c:pt>
                <c:pt idx="21">
                  <c:v>1865.79</c:v>
                </c:pt>
                <c:pt idx="22">
                  <c:v>1879.25</c:v>
                </c:pt>
                <c:pt idx="23">
                  <c:v>1902.44</c:v>
                </c:pt>
                <c:pt idx="24">
                  <c:v>1925.28</c:v>
                </c:pt>
                <c:pt idx="25">
                  <c:v>1986.76</c:v>
                </c:pt>
                <c:pt idx="26">
                  <c:v>2030.82</c:v>
                </c:pt>
                <c:pt idx="27">
                  <c:v>2048.92</c:v>
                </c:pt>
                <c:pt idx="28">
                  <c:v>2066.92</c:v>
                </c:pt>
                <c:pt idx="29">
                  <c:v>2101.02</c:v>
                </c:pt>
                <c:pt idx="30">
                  <c:v>2135.12</c:v>
                </c:pt>
                <c:pt idx="31">
                  <c:v>2171.12</c:v>
                </c:pt>
                <c:pt idx="32">
                  <c:v>2207.12</c:v>
                </c:pt>
                <c:pt idx="33">
                  <c:v>2223.12</c:v>
                </c:pt>
                <c:pt idx="34">
                  <c:v>2243.3200000000002</c:v>
                </c:pt>
                <c:pt idx="35">
                  <c:v>2263.12</c:v>
                </c:pt>
                <c:pt idx="36">
                  <c:v>2287.12</c:v>
                </c:pt>
                <c:pt idx="37">
                  <c:v>2303.12</c:v>
                </c:pt>
                <c:pt idx="38">
                  <c:v>2321.12</c:v>
                </c:pt>
                <c:pt idx="39">
                  <c:v>2345.12</c:v>
                </c:pt>
                <c:pt idx="40">
                  <c:v>2367.12</c:v>
                </c:pt>
                <c:pt idx="41">
                  <c:v>2391.12</c:v>
                </c:pt>
                <c:pt idx="42">
                  <c:v>2405.12</c:v>
                </c:pt>
                <c:pt idx="43">
                  <c:v>2417.12</c:v>
                </c:pt>
                <c:pt idx="44">
                  <c:v>2439.12</c:v>
                </c:pt>
                <c:pt idx="45">
                  <c:v>2455.12</c:v>
                </c:pt>
                <c:pt idx="46">
                  <c:v>2490.2199999999998</c:v>
                </c:pt>
                <c:pt idx="47">
                  <c:v>2525.3200000000002</c:v>
                </c:pt>
              </c:numCache>
            </c:numRef>
          </c:xVal>
          <c:yVal>
            <c:numRef>
              <c:f>OBEA_01!$D$15:$D$164</c:f>
              <c:numCache>
                <c:formatCode>0.00</c:formatCode>
                <c:ptCount val="150"/>
                <c:pt idx="0">
                  <c:v>4057.97</c:v>
                </c:pt>
                <c:pt idx="1">
                  <c:v>4276.7</c:v>
                </c:pt>
                <c:pt idx="2">
                  <c:v>4320.47</c:v>
                </c:pt>
                <c:pt idx="3">
                  <c:v>4352.41</c:v>
                </c:pt>
                <c:pt idx="4">
                  <c:v>4545.13</c:v>
                </c:pt>
                <c:pt idx="5">
                  <c:v>4582.97</c:v>
                </c:pt>
                <c:pt idx="6">
                  <c:v>4669.03</c:v>
                </c:pt>
                <c:pt idx="7">
                  <c:v>4845.47</c:v>
                </c:pt>
                <c:pt idx="8">
                  <c:v>5107.97</c:v>
                </c:pt>
                <c:pt idx="9">
                  <c:v>5227.68</c:v>
                </c:pt>
                <c:pt idx="10">
                  <c:v>5370.47</c:v>
                </c:pt>
                <c:pt idx="11">
                  <c:v>5632.97</c:v>
                </c:pt>
                <c:pt idx="12">
                  <c:v>5659.41</c:v>
                </c:pt>
                <c:pt idx="13">
                  <c:v>5705.46</c:v>
                </c:pt>
                <c:pt idx="14">
                  <c:v>5826.34</c:v>
                </c:pt>
                <c:pt idx="15">
                  <c:v>5895.47</c:v>
                </c:pt>
                <c:pt idx="16">
                  <c:v>5995.47</c:v>
                </c:pt>
                <c:pt idx="17">
                  <c:v>6185.47</c:v>
                </c:pt>
                <c:pt idx="18">
                  <c:v>6343.47</c:v>
                </c:pt>
                <c:pt idx="19">
                  <c:v>6519.47</c:v>
                </c:pt>
                <c:pt idx="20">
                  <c:v>6695.47</c:v>
                </c:pt>
                <c:pt idx="21">
                  <c:v>6845.47</c:v>
                </c:pt>
                <c:pt idx="22">
                  <c:v>6911.47</c:v>
                </c:pt>
                <c:pt idx="23">
                  <c:v>7023.66</c:v>
                </c:pt>
                <c:pt idx="24">
                  <c:v>7130.47</c:v>
                </c:pt>
                <c:pt idx="25">
                  <c:v>7405.47</c:v>
                </c:pt>
                <c:pt idx="26">
                  <c:v>7615.47</c:v>
                </c:pt>
                <c:pt idx="27">
                  <c:v>7715.47</c:v>
                </c:pt>
                <c:pt idx="28">
                  <c:v>7805.47</c:v>
                </c:pt>
                <c:pt idx="29">
                  <c:v>7985.47</c:v>
                </c:pt>
                <c:pt idx="30">
                  <c:v>8165.47</c:v>
                </c:pt>
                <c:pt idx="31">
                  <c:v>8364.4699999999993</c:v>
                </c:pt>
                <c:pt idx="32">
                  <c:v>8545.4699999999993</c:v>
                </c:pt>
                <c:pt idx="33">
                  <c:v>8635.4699999999993</c:v>
                </c:pt>
                <c:pt idx="34">
                  <c:v>8740.4699999999993</c:v>
                </c:pt>
                <c:pt idx="35">
                  <c:v>8839.4699999999993</c:v>
                </c:pt>
                <c:pt idx="36">
                  <c:v>8965.4699999999993</c:v>
                </c:pt>
                <c:pt idx="37">
                  <c:v>9055.4699999999993</c:v>
                </c:pt>
                <c:pt idx="38">
                  <c:v>9149.4699999999993</c:v>
                </c:pt>
                <c:pt idx="39">
                  <c:v>9285.4699999999993</c:v>
                </c:pt>
                <c:pt idx="40">
                  <c:v>9411.4699999999993</c:v>
                </c:pt>
                <c:pt idx="41">
                  <c:v>9545.4699999999993</c:v>
                </c:pt>
                <c:pt idx="42">
                  <c:v>9620.4699999999993</c:v>
                </c:pt>
                <c:pt idx="43">
                  <c:v>9678.4699999999993</c:v>
                </c:pt>
                <c:pt idx="44">
                  <c:v>9793.4699999999993</c:v>
                </c:pt>
                <c:pt idx="45">
                  <c:v>9879.4699999999993</c:v>
                </c:pt>
                <c:pt idx="46">
                  <c:v>10062.469999999999</c:v>
                </c:pt>
                <c:pt idx="47">
                  <c:v>10245.469999999999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3-4A11-944C-FB8844CDC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5728"/>
        <c:axId val="195147648"/>
      </c:scatterChart>
      <c:valAx>
        <c:axId val="1951457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2-Way Time (ms)</a:t>
                </a:r>
              </a:p>
            </c:rich>
          </c:tx>
          <c:layout>
            <c:manualLayout>
              <c:xMode val="edge"/>
              <c:yMode val="edge"/>
              <c:x val="0.36621480884556534"/>
              <c:y val="1.604278074866312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7648"/>
        <c:crosses val="autoZero"/>
        <c:crossBetween val="midCat"/>
      </c:valAx>
      <c:valAx>
        <c:axId val="19514764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6.1652281134402026E-3"/>
              <c:y val="0.46880645266935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5728"/>
        <c:crosses val="autoZero"/>
        <c:crossBetween val="midCat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939619600570858"/>
          <c:y val="0.34759414431484853"/>
          <c:w val="0.15659692353498977"/>
          <c:h val="7.664902849710630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Depth Prediction Error</a:t>
            </a:r>
          </a:p>
        </c:rich>
      </c:tx>
      <c:layout>
        <c:manualLayout>
          <c:xMode val="edge"/>
          <c:yMode val="edge"/>
          <c:x val="0.33046708841984479"/>
          <c:y val="3.96039603960396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9270636943488"/>
          <c:y val="0.17821799410000996"/>
          <c:w val="0.76658522642407023"/>
          <c:h val="0.72277297607226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OBEA_01!$D$2</c:f>
              <c:strCache>
                <c:ptCount val="1"/>
                <c:pt idx="0">
                  <c:v>OBEA-01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OBEA_01!$D$15:$D$166</c:f>
              <c:numCache>
                <c:formatCode>0.00</c:formatCode>
                <c:ptCount val="152"/>
                <c:pt idx="0">
                  <c:v>4057.97</c:v>
                </c:pt>
                <c:pt idx="1">
                  <c:v>4276.7</c:v>
                </c:pt>
                <c:pt idx="2">
                  <c:v>4320.47</c:v>
                </c:pt>
                <c:pt idx="3">
                  <c:v>4352.41</c:v>
                </c:pt>
                <c:pt idx="4">
                  <c:v>4545.13</c:v>
                </c:pt>
                <c:pt idx="5">
                  <c:v>4582.97</c:v>
                </c:pt>
                <c:pt idx="6">
                  <c:v>4669.03</c:v>
                </c:pt>
                <c:pt idx="7">
                  <c:v>4845.47</c:v>
                </c:pt>
                <c:pt idx="8">
                  <c:v>5107.97</c:v>
                </c:pt>
                <c:pt idx="9">
                  <c:v>5227.68</c:v>
                </c:pt>
                <c:pt idx="10">
                  <c:v>5370.47</c:v>
                </c:pt>
                <c:pt idx="11">
                  <c:v>5632.97</c:v>
                </c:pt>
                <c:pt idx="12">
                  <c:v>5659.41</c:v>
                </c:pt>
                <c:pt idx="13">
                  <c:v>5705.46</c:v>
                </c:pt>
                <c:pt idx="14">
                  <c:v>5826.34</c:v>
                </c:pt>
                <c:pt idx="15">
                  <c:v>5895.47</c:v>
                </c:pt>
                <c:pt idx="16">
                  <c:v>5995.47</c:v>
                </c:pt>
                <c:pt idx="17">
                  <c:v>6185.47</c:v>
                </c:pt>
                <c:pt idx="18">
                  <c:v>6343.47</c:v>
                </c:pt>
                <c:pt idx="19">
                  <c:v>6519.47</c:v>
                </c:pt>
                <c:pt idx="20">
                  <c:v>6695.47</c:v>
                </c:pt>
                <c:pt idx="21">
                  <c:v>6845.47</c:v>
                </c:pt>
                <c:pt idx="22">
                  <c:v>6911.47</c:v>
                </c:pt>
                <c:pt idx="23">
                  <c:v>7023.66</c:v>
                </c:pt>
                <c:pt idx="24">
                  <c:v>7130.47</c:v>
                </c:pt>
                <c:pt idx="25">
                  <c:v>7405.47</c:v>
                </c:pt>
                <c:pt idx="26">
                  <c:v>7615.47</c:v>
                </c:pt>
                <c:pt idx="27">
                  <c:v>7715.47</c:v>
                </c:pt>
                <c:pt idx="28">
                  <c:v>7805.47</c:v>
                </c:pt>
                <c:pt idx="29">
                  <c:v>7985.47</c:v>
                </c:pt>
                <c:pt idx="30">
                  <c:v>8165.47</c:v>
                </c:pt>
                <c:pt idx="31">
                  <c:v>8364.4699999999993</c:v>
                </c:pt>
                <c:pt idx="32">
                  <c:v>8545.4699999999993</c:v>
                </c:pt>
                <c:pt idx="33">
                  <c:v>8635.4699999999993</c:v>
                </c:pt>
                <c:pt idx="34">
                  <c:v>8740.4699999999993</c:v>
                </c:pt>
                <c:pt idx="35">
                  <c:v>8839.4699999999993</c:v>
                </c:pt>
                <c:pt idx="36">
                  <c:v>8965.4699999999993</c:v>
                </c:pt>
                <c:pt idx="37">
                  <c:v>9055.4699999999993</c:v>
                </c:pt>
                <c:pt idx="38">
                  <c:v>9149.4699999999993</c:v>
                </c:pt>
                <c:pt idx="39">
                  <c:v>9285.4699999999993</c:v>
                </c:pt>
                <c:pt idx="40">
                  <c:v>9411.4699999999993</c:v>
                </c:pt>
                <c:pt idx="41">
                  <c:v>9545.4699999999993</c:v>
                </c:pt>
                <c:pt idx="42">
                  <c:v>9620.4699999999993</c:v>
                </c:pt>
                <c:pt idx="43">
                  <c:v>9678.4699999999993</c:v>
                </c:pt>
                <c:pt idx="44">
                  <c:v>9793.4699999999993</c:v>
                </c:pt>
                <c:pt idx="45">
                  <c:v>9879.4699999999993</c:v>
                </c:pt>
                <c:pt idx="46">
                  <c:v>10062.469999999999</c:v>
                </c:pt>
                <c:pt idx="47">
                  <c:v>10245.469999999999</c:v>
                </c:pt>
              </c:numCache>
            </c:numRef>
          </c:xVal>
          <c:yVal>
            <c:numRef>
              <c:f>OBEA_01!$H$15:$H$166</c:f>
              <c:numCache>
                <c:formatCode>0</c:formatCode>
                <c:ptCount val="152"/>
                <c:pt idx="0">
                  <c:v>-84.542786623396296</c:v>
                </c:pt>
                <c:pt idx="1">
                  <c:v>-54.462803589737632</c:v>
                </c:pt>
                <c:pt idx="2">
                  <c:v>-48.820614695739096</c:v>
                </c:pt>
                <c:pt idx="3">
                  <c:v>-45.210597238379705</c:v>
                </c:pt>
                <c:pt idx="4">
                  <c:v>-29.673926549164207</c:v>
                </c:pt>
                <c:pt idx="5">
                  <c:v>-27.76267668786295</c:v>
                </c:pt>
                <c:pt idx="6">
                  <c:v>-24.895984510428207</c:v>
                </c:pt>
                <c:pt idx="7">
                  <c:v>-26.119631683515763</c:v>
                </c:pt>
                <c:pt idx="8">
                  <c:v>-35.687946704125352</c:v>
                </c:pt>
                <c:pt idx="9">
                  <c:v>-36.347236142989459</c:v>
                </c:pt>
                <c:pt idx="10">
                  <c:v>-28.17752691257283</c:v>
                </c:pt>
                <c:pt idx="11">
                  <c:v>11.518639345809788</c:v>
                </c:pt>
                <c:pt idx="12">
                  <c:v>15.639723770107594</c:v>
                </c:pt>
                <c:pt idx="13">
                  <c:v>22.258670509932017</c:v>
                </c:pt>
                <c:pt idx="14">
                  <c:v>34.839912164394264</c:v>
                </c:pt>
                <c:pt idx="15">
                  <c:v>39.279431315663714</c:v>
                </c:pt>
                <c:pt idx="16">
                  <c:v>37.113910620268143</c:v>
                </c:pt>
                <c:pt idx="17">
                  <c:v>44.533733905959707</c:v>
                </c:pt>
                <c:pt idx="18">
                  <c:v>40.6532440540077</c:v>
                </c:pt>
                <c:pt idx="19">
                  <c:v>38.176640899197992</c:v>
                </c:pt>
                <c:pt idx="20">
                  <c:v>32.27726829000494</c:v>
                </c:pt>
                <c:pt idx="21">
                  <c:v>24.151413405962558</c:v>
                </c:pt>
                <c:pt idx="22">
                  <c:v>21.34070610866911</c:v>
                </c:pt>
                <c:pt idx="23">
                  <c:v>18.558172487631964</c:v>
                </c:pt>
                <c:pt idx="24">
                  <c:v>20.175603746248271</c:v>
                </c:pt>
                <c:pt idx="25">
                  <c:v>40.379098122462892</c:v>
                </c:pt>
                <c:pt idx="26">
                  <c:v>44.970961295550296</c:v>
                </c:pt>
                <c:pt idx="27">
                  <c:v>33.867967449549724</c:v>
                </c:pt>
                <c:pt idx="28">
                  <c:v>32.705429835416908</c:v>
                </c:pt>
                <c:pt idx="29">
                  <c:v>22.190575398552028</c:v>
                </c:pt>
                <c:pt idx="30">
                  <c:v>13.242297218619569</c:v>
                </c:pt>
                <c:pt idx="31">
                  <c:v>-3.4592943155421381</c:v>
                </c:pt>
                <c:pt idx="32">
                  <c:v>-0.38153170639816381</c:v>
                </c:pt>
                <c:pt idx="33">
                  <c:v>-7.9935057561124268</c:v>
                </c:pt>
                <c:pt idx="34">
                  <c:v>-8.4693599557758716</c:v>
                </c:pt>
                <c:pt idx="35">
                  <c:v>-4.4606353361214133</c:v>
                </c:pt>
                <c:pt idx="36">
                  <c:v>-4.8615352909346257</c:v>
                </c:pt>
                <c:pt idx="37">
                  <c:v>-10.675815354574297</c:v>
                </c:pt>
                <c:pt idx="38">
                  <c:v>-9.5314468285596377</c:v>
                </c:pt>
                <c:pt idx="39">
                  <c:v>-17.951352454370863</c:v>
                </c:pt>
                <c:pt idx="40">
                  <c:v>-26.274956808065326</c:v>
                </c:pt>
                <c:pt idx="41">
                  <c:v>-31.10153606764834</c:v>
                </c:pt>
                <c:pt idx="42">
                  <c:v>-30.363182833245446</c:v>
                </c:pt>
                <c:pt idx="43">
                  <c:v>-23.216496688060943</c:v>
                </c:pt>
                <c:pt idx="44">
                  <c:v>-18.231689606183863</c:v>
                </c:pt>
                <c:pt idx="45">
                  <c:v>-16.521578095174846</c:v>
                </c:pt>
                <c:pt idx="46">
                  <c:v>-5.7759058330266271</c:v>
                </c:pt>
                <c:pt idx="47">
                  <c:v>6.8133521170402673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7-4B0A-8610-D3C21221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4208"/>
        <c:axId val="205873152"/>
      </c:scatterChart>
      <c:valAx>
        <c:axId val="20585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0.4692877272404834"/>
              <c:y val="0.940594890985161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73152"/>
        <c:crosses val="autoZero"/>
        <c:crossBetween val="midCat"/>
      </c:valAx>
      <c:valAx>
        <c:axId val="205873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Error (ftss)</a:t>
                </a:r>
              </a:p>
            </c:rich>
          </c:tx>
          <c:layout>
            <c:manualLayout>
              <c:xMode val="edge"/>
              <c:yMode val="edge"/>
              <c:x val="1.1056511056511061E-2"/>
              <c:y val="0.473267742522283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54208"/>
        <c:crosses val="autoZero"/>
        <c:crossBetween val="midCat"/>
        <c:maj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67617644160737"/>
          <c:y val="0.18041259817548719"/>
          <c:w val="0.73521897042884099"/>
          <c:h val="0.755155589505966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'[1]Raw-BUGC-002'!$E$16:$E$77</c:f>
              <c:strCache>
                <c:ptCount val="62"/>
              </c:strCache>
            </c:strRef>
          </c:xVal>
          <c:yVal>
            <c:numRef>
              <c:f>OBEA_01!$D$16:$D$77</c:f>
              <c:numCache>
                <c:formatCode>0.00</c:formatCode>
                <c:ptCount val="62"/>
                <c:pt idx="0">
                  <c:v>4276.7</c:v>
                </c:pt>
                <c:pt idx="1">
                  <c:v>4320.47</c:v>
                </c:pt>
                <c:pt idx="2">
                  <c:v>4352.41</c:v>
                </c:pt>
                <c:pt idx="3">
                  <c:v>4545.13</c:v>
                </c:pt>
                <c:pt idx="4">
                  <c:v>4582.97</c:v>
                </c:pt>
                <c:pt idx="5">
                  <c:v>4669.03</c:v>
                </c:pt>
                <c:pt idx="6">
                  <c:v>4845.47</c:v>
                </c:pt>
                <c:pt idx="7">
                  <c:v>5107.97</c:v>
                </c:pt>
                <c:pt idx="8">
                  <c:v>5227.68</c:v>
                </c:pt>
                <c:pt idx="9">
                  <c:v>5370.47</c:v>
                </c:pt>
                <c:pt idx="10">
                  <c:v>5632.97</c:v>
                </c:pt>
                <c:pt idx="11">
                  <c:v>5659.41</c:v>
                </c:pt>
                <c:pt idx="12">
                  <c:v>5705.46</c:v>
                </c:pt>
                <c:pt idx="13">
                  <c:v>5826.34</c:v>
                </c:pt>
                <c:pt idx="14">
                  <c:v>5895.47</c:v>
                </c:pt>
                <c:pt idx="15">
                  <c:v>5995.47</c:v>
                </c:pt>
                <c:pt idx="16">
                  <c:v>6185.47</c:v>
                </c:pt>
                <c:pt idx="17">
                  <c:v>6343.47</c:v>
                </c:pt>
                <c:pt idx="18">
                  <c:v>6519.47</c:v>
                </c:pt>
                <c:pt idx="19">
                  <c:v>6695.47</c:v>
                </c:pt>
                <c:pt idx="20">
                  <c:v>6845.47</c:v>
                </c:pt>
                <c:pt idx="21">
                  <c:v>6911.47</c:v>
                </c:pt>
                <c:pt idx="22">
                  <c:v>7023.66</c:v>
                </c:pt>
                <c:pt idx="23">
                  <c:v>7130.47</c:v>
                </c:pt>
                <c:pt idx="24">
                  <c:v>7405.47</c:v>
                </c:pt>
                <c:pt idx="25">
                  <c:v>7615.47</c:v>
                </c:pt>
                <c:pt idx="26">
                  <c:v>7715.47</c:v>
                </c:pt>
                <c:pt idx="27">
                  <c:v>7805.47</c:v>
                </c:pt>
                <c:pt idx="28">
                  <c:v>7985.47</c:v>
                </c:pt>
                <c:pt idx="29">
                  <c:v>8165.47</c:v>
                </c:pt>
                <c:pt idx="30">
                  <c:v>8364.4699999999993</c:v>
                </c:pt>
                <c:pt idx="31">
                  <c:v>8545.4699999999993</c:v>
                </c:pt>
                <c:pt idx="32">
                  <c:v>8635.4699999999993</c:v>
                </c:pt>
                <c:pt idx="33">
                  <c:v>8740.4699999999993</c:v>
                </c:pt>
                <c:pt idx="34">
                  <c:v>8839.4699999999993</c:v>
                </c:pt>
                <c:pt idx="35">
                  <c:v>8965.4699999999993</c:v>
                </c:pt>
                <c:pt idx="36">
                  <c:v>9055.4699999999993</c:v>
                </c:pt>
                <c:pt idx="37">
                  <c:v>9149.4699999999993</c:v>
                </c:pt>
                <c:pt idx="38">
                  <c:v>9285.4699999999993</c:v>
                </c:pt>
                <c:pt idx="39">
                  <c:v>9411.4699999999993</c:v>
                </c:pt>
                <c:pt idx="40">
                  <c:v>9545.4699999999993</c:v>
                </c:pt>
                <c:pt idx="41">
                  <c:v>9620.4699999999993</c:v>
                </c:pt>
                <c:pt idx="42">
                  <c:v>9678.4699999999993</c:v>
                </c:pt>
                <c:pt idx="43">
                  <c:v>9793.4699999999993</c:v>
                </c:pt>
                <c:pt idx="44">
                  <c:v>9879.4699999999993</c:v>
                </c:pt>
                <c:pt idx="45">
                  <c:v>10062.469999999999</c:v>
                </c:pt>
                <c:pt idx="46">
                  <c:v>10245.469999999999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6-4913-9DFF-CB9FDA647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88896"/>
        <c:axId val="219744128"/>
      </c:scatterChart>
      <c:valAx>
        <c:axId val="20588889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</a:t>
                </a:r>
              </a:p>
            </c:rich>
          </c:tx>
          <c:layout>
            <c:manualLayout>
              <c:xMode val="edge"/>
              <c:yMode val="edge"/>
              <c:x val="0.48971749353952881"/>
              <c:y val="4.123711340206185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44128"/>
        <c:crosses val="autoZero"/>
        <c:crossBetween val="midCat"/>
      </c:valAx>
      <c:valAx>
        <c:axId val="21974412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</a:t>
                </a:r>
              </a:p>
            </c:rich>
          </c:tx>
          <c:layout>
            <c:manualLayout>
              <c:xMode val="edge"/>
              <c:yMode val="edge"/>
              <c:x val="2.0565552699228787E-2"/>
              <c:y val="0.50515518034472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888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555526317567"/>
          <c:y val="0.53092837622101363"/>
          <c:w val="8.2262210796915106E-2"/>
          <c:h val="5.67010309278351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20721922155519"/>
          <c:y val="0.17290582683305972"/>
          <c:w val="0.83970457461405634"/>
          <c:h val="0.75935961062766488"/>
        </c:manualLayout>
      </c:layout>
      <c:scatterChart>
        <c:scatterStyle val="lineMarker"/>
        <c:varyColors val="0"/>
        <c:ser>
          <c:idx val="1"/>
          <c:order val="0"/>
          <c:tx>
            <c:v>Depth (alculated)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HI02_3!$C$15:$C$351</c:f>
              <c:numCache>
                <c:formatCode>0.00</c:formatCode>
                <c:ptCount val="337"/>
                <c:pt idx="0">
                  <c:v>599</c:v>
                </c:pt>
                <c:pt idx="1">
                  <c:v>1075</c:v>
                </c:pt>
                <c:pt idx="2">
                  <c:v>1303</c:v>
                </c:pt>
                <c:pt idx="3">
                  <c:v>1514</c:v>
                </c:pt>
              </c:numCache>
            </c:numRef>
          </c:xVal>
          <c:yVal>
            <c:numRef>
              <c:f>HI02_3!$F$15:$F$351</c:f>
              <c:numCache>
                <c:formatCode>0.0</c:formatCode>
                <c:ptCount val="337"/>
                <c:pt idx="0">
                  <c:v>1875.3382516097176</c:v>
                </c:pt>
                <c:pt idx="1">
                  <c:v>3500.4271283884136</c:v>
                </c:pt>
                <c:pt idx="2">
                  <c:v>4324.183009673231</c:v>
                </c:pt>
                <c:pt idx="3">
                  <c:v>5114.006342656121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5-4022-9219-FF651C46485B}"/>
            </c:ext>
          </c:extLst>
        </c:ser>
        <c:ser>
          <c:idx val="0"/>
          <c:order val="1"/>
          <c:tx>
            <c:v>Depth  (measured)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HI02_3!$C$15:$C$351</c:f>
              <c:numCache>
                <c:formatCode>0.00</c:formatCode>
                <c:ptCount val="337"/>
                <c:pt idx="0">
                  <c:v>599</c:v>
                </c:pt>
                <c:pt idx="1">
                  <c:v>1075</c:v>
                </c:pt>
                <c:pt idx="2">
                  <c:v>1303</c:v>
                </c:pt>
                <c:pt idx="3">
                  <c:v>1514</c:v>
                </c:pt>
              </c:numCache>
            </c:numRef>
          </c:xVal>
          <c:yVal>
            <c:numRef>
              <c:f>HI02_3!$D$15:$D$351</c:f>
              <c:numCache>
                <c:formatCode>0.00</c:formatCode>
                <c:ptCount val="337"/>
                <c:pt idx="0">
                  <c:v>1915</c:v>
                </c:pt>
                <c:pt idx="1">
                  <c:v>3452</c:v>
                </c:pt>
                <c:pt idx="2">
                  <c:v>4332</c:v>
                </c:pt>
                <c:pt idx="3">
                  <c:v>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55-4022-9219-FF651C46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45728"/>
        <c:axId val="195147648"/>
      </c:scatterChart>
      <c:valAx>
        <c:axId val="195145728"/>
        <c:scaling>
          <c:orientation val="minMax"/>
          <c:max val="3000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2-Way Time (ms)</a:t>
                </a:r>
              </a:p>
            </c:rich>
          </c:tx>
          <c:layout>
            <c:manualLayout>
              <c:xMode val="edge"/>
              <c:yMode val="edge"/>
              <c:x val="0.36621480884556534"/>
              <c:y val="1.604278074866312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7648"/>
        <c:crosses val="autoZero"/>
        <c:crossBetween val="midCat"/>
      </c:valAx>
      <c:valAx>
        <c:axId val="195147648"/>
        <c:scaling>
          <c:orientation val="maxMin"/>
          <c:max val="1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6.1652281134402026E-3"/>
              <c:y val="0.46880645266935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45728"/>
        <c:crosses val="autoZero"/>
        <c:crossBetween val="midCat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939619600570858"/>
          <c:y val="0.34759414431484853"/>
          <c:w val="0.15659692353498977"/>
          <c:h val="7.664902849710630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Depth Prediction Error</a:t>
            </a:r>
          </a:p>
        </c:rich>
      </c:tx>
      <c:layout>
        <c:manualLayout>
          <c:xMode val="edge"/>
          <c:yMode val="edge"/>
          <c:x val="0.33046708841984479"/>
          <c:y val="3.96039603960396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9270636943488"/>
          <c:y val="0.17821799410000996"/>
          <c:w val="0.76658522642407023"/>
          <c:h val="0.72277297607226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HI02_3!$D$2</c:f>
              <c:strCache>
                <c:ptCount val="1"/>
                <c:pt idx="0">
                  <c:v>HB01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HI02_3!$D$15:$D$351</c:f>
              <c:numCache>
                <c:formatCode>0.00</c:formatCode>
                <c:ptCount val="337"/>
                <c:pt idx="0">
                  <c:v>1915</c:v>
                </c:pt>
                <c:pt idx="1">
                  <c:v>3452</c:v>
                </c:pt>
                <c:pt idx="2">
                  <c:v>4332</c:v>
                </c:pt>
                <c:pt idx="3">
                  <c:v>5126</c:v>
                </c:pt>
              </c:numCache>
            </c:numRef>
          </c:xVal>
          <c:yVal>
            <c:numRef>
              <c:f>HI02_3!$H$15:$H$351</c:f>
              <c:numCache>
                <c:formatCode>0</c:formatCode>
                <c:ptCount val="337"/>
                <c:pt idx="0">
                  <c:v>-39.661748390282355</c:v>
                </c:pt>
                <c:pt idx="1">
                  <c:v>48.427128388413621</c:v>
                </c:pt>
                <c:pt idx="2">
                  <c:v>-7.8169903267689733</c:v>
                </c:pt>
                <c:pt idx="3">
                  <c:v>-11.993657343879022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3-48E8-8B1A-D33BDA27F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4208"/>
        <c:axId val="205873152"/>
      </c:scatterChart>
      <c:valAx>
        <c:axId val="20585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(ftss)</a:t>
                </a:r>
              </a:p>
            </c:rich>
          </c:tx>
          <c:layout>
            <c:manualLayout>
              <c:xMode val="edge"/>
              <c:yMode val="edge"/>
              <c:x val="0.4692877272404834"/>
              <c:y val="0.940594890985161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73152"/>
        <c:crosses val="autoZero"/>
        <c:crossBetween val="midCat"/>
      </c:valAx>
      <c:valAx>
        <c:axId val="205873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Error (ftss)</a:t>
                </a:r>
              </a:p>
            </c:rich>
          </c:tx>
          <c:layout>
            <c:manualLayout>
              <c:xMode val="edge"/>
              <c:yMode val="edge"/>
              <c:x val="1.1056511056511061E-2"/>
              <c:y val="0.473267742522283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54208"/>
        <c:crosses val="autoZero"/>
        <c:crossBetween val="midCat"/>
        <c:maj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67617644160737"/>
          <c:y val="0.18041259817548719"/>
          <c:w val="0.73521897042884099"/>
          <c:h val="0.755155589505966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HI02_3!$C$15:$C$351</c:f>
              <c:numCache>
                <c:formatCode>0.00</c:formatCode>
                <c:ptCount val="337"/>
                <c:pt idx="0">
                  <c:v>599</c:v>
                </c:pt>
                <c:pt idx="1">
                  <c:v>1075</c:v>
                </c:pt>
                <c:pt idx="2">
                  <c:v>1303</c:v>
                </c:pt>
                <c:pt idx="3">
                  <c:v>1514</c:v>
                </c:pt>
              </c:numCache>
            </c:numRef>
          </c:xVal>
          <c:yVal>
            <c:numRef>
              <c:f>HI02_3!$D$16:$D$351</c:f>
              <c:numCache>
                <c:formatCode>0.00</c:formatCode>
                <c:ptCount val="336"/>
                <c:pt idx="0">
                  <c:v>3452</c:v>
                </c:pt>
                <c:pt idx="1">
                  <c:v>4332</c:v>
                </c:pt>
                <c:pt idx="2">
                  <c:v>5126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9-4BF4-BC89-514524EC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88896"/>
        <c:axId val="219744128"/>
      </c:scatterChart>
      <c:valAx>
        <c:axId val="205888896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</a:t>
                </a:r>
              </a:p>
            </c:rich>
          </c:tx>
          <c:layout>
            <c:manualLayout>
              <c:xMode val="edge"/>
              <c:yMode val="edge"/>
              <c:x val="0.48971749353952881"/>
              <c:y val="4.123711340206185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744128"/>
        <c:crosses val="autoZero"/>
        <c:crossBetween val="midCat"/>
      </c:valAx>
      <c:valAx>
        <c:axId val="219744128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</a:t>
                </a:r>
              </a:p>
            </c:rich>
          </c:tx>
          <c:layout>
            <c:manualLayout>
              <c:xMode val="edge"/>
              <c:yMode val="edge"/>
              <c:x val="2.0565552699228787E-2"/>
              <c:y val="0.50515518034472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8889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555526317567"/>
          <c:y val="0.53092837622101363"/>
          <c:w val="8.2262210796915106E-2"/>
          <c:h val="5.67010309278351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14</xdr:row>
      <xdr:rowOff>28575</xdr:rowOff>
    </xdr:from>
    <xdr:to>
      <xdr:col>24</xdr:col>
      <xdr:colOff>542925</xdr:colOff>
      <xdr:row>47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75FDE-FE8D-4B31-8807-315CD31C6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47</xdr:row>
      <xdr:rowOff>66675</xdr:rowOff>
    </xdr:from>
    <xdr:to>
      <xdr:col>24</xdr:col>
      <xdr:colOff>561975</xdr:colOff>
      <xdr:row>77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94EFFE-12B8-469A-BDE9-547A64154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171450</xdr:colOff>
      <xdr:row>19</xdr:row>
      <xdr:rowOff>123825</xdr:rowOff>
    </xdr:from>
    <xdr:to>
      <xdr:col>38</xdr:col>
      <xdr:colOff>266700</xdr:colOff>
      <xdr:row>42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4C1ECA-E0A8-43B8-884F-FEF96B31D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14</xdr:row>
      <xdr:rowOff>28575</xdr:rowOff>
    </xdr:from>
    <xdr:to>
      <xdr:col>24</xdr:col>
      <xdr:colOff>542925</xdr:colOff>
      <xdr:row>47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B5D94-A054-4E75-A012-C7F609808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47</xdr:row>
      <xdr:rowOff>66675</xdr:rowOff>
    </xdr:from>
    <xdr:to>
      <xdr:col>24</xdr:col>
      <xdr:colOff>561975</xdr:colOff>
      <xdr:row>77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FF341-1995-4DDA-9186-0E6E01430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171450</xdr:colOff>
      <xdr:row>19</xdr:row>
      <xdr:rowOff>123825</xdr:rowOff>
    </xdr:from>
    <xdr:to>
      <xdr:col>38</xdr:col>
      <xdr:colOff>266700</xdr:colOff>
      <xdr:row>42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410B98-B670-4B07-9ADE-5E70BDB3E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14</xdr:row>
      <xdr:rowOff>28575</xdr:rowOff>
    </xdr:from>
    <xdr:to>
      <xdr:col>24</xdr:col>
      <xdr:colOff>542925</xdr:colOff>
      <xdr:row>47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53F48-9AE9-4AC9-B501-8E338328E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47</xdr:row>
      <xdr:rowOff>66675</xdr:rowOff>
    </xdr:from>
    <xdr:to>
      <xdr:col>24</xdr:col>
      <xdr:colOff>561975</xdr:colOff>
      <xdr:row>77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CBF71-8BF6-4B28-A47C-618310A64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171450</xdr:colOff>
      <xdr:row>19</xdr:row>
      <xdr:rowOff>123825</xdr:rowOff>
    </xdr:from>
    <xdr:to>
      <xdr:col>38</xdr:col>
      <xdr:colOff>266700</xdr:colOff>
      <xdr:row>42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8070D2-3C0B-465F-89E9-6F4E19C9C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14</xdr:row>
      <xdr:rowOff>28575</xdr:rowOff>
    </xdr:from>
    <xdr:to>
      <xdr:col>24</xdr:col>
      <xdr:colOff>542925</xdr:colOff>
      <xdr:row>47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DF033-F296-4F68-A075-ACA65B2AF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47</xdr:row>
      <xdr:rowOff>66675</xdr:rowOff>
    </xdr:from>
    <xdr:to>
      <xdr:col>24</xdr:col>
      <xdr:colOff>561975</xdr:colOff>
      <xdr:row>77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799CE0-57B0-4E57-A506-6BC9097A2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171450</xdr:colOff>
      <xdr:row>19</xdr:row>
      <xdr:rowOff>123825</xdr:rowOff>
    </xdr:from>
    <xdr:to>
      <xdr:col>38</xdr:col>
      <xdr:colOff>266700</xdr:colOff>
      <xdr:row>42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DD4C85-3F74-43DF-BA93-8113530D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14</xdr:row>
      <xdr:rowOff>28575</xdr:rowOff>
    </xdr:from>
    <xdr:to>
      <xdr:col>24</xdr:col>
      <xdr:colOff>542925</xdr:colOff>
      <xdr:row>47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646C9-8E59-4771-8C77-74D45A7E0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47</xdr:row>
      <xdr:rowOff>66675</xdr:rowOff>
    </xdr:from>
    <xdr:to>
      <xdr:col>24</xdr:col>
      <xdr:colOff>561975</xdr:colOff>
      <xdr:row>77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22C2B-C852-44CD-AD1A-B58009EE4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171450</xdr:colOff>
      <xdr:row>19</xdr:row>
      <xdr:rowOff>123825</xdr:rowOff>
    </xdr:from>
    <xdr:to>
      <xdr:col>38</xdr:col>
      <xdr:colOff>266700</xdr:colOff>
      <xdr:row>42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08332F-782A-477D-9656-88B17D6C5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nigeria-my.sharepoint.com/Backup-12-06-2014/Desktop/DESKTOP/VoK%20Resol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-BUGC-002"/>
      <sheetName val="BUGC-02-2secs (after Time-Tie)"/>
      <sheetName val="BUGC-02-3secs (after Time-Tie)"/>
      <sheetName val="Sheet4"/>
      <sheetName val="Raw-BUGC-002 (2)"/>
    </sheetNames>
    <sheetDataSet>
      <sheetData sheetId="0">
        <row r="2">
          <cell r="D2" t="str">
            <v xml:space="preserve">BUGC-002 </v>
          </cell>
        </row>
        <row r="22">
          <cell r="E22" t="str">
            <v/>
          </cell>
        </row>
        <row r="23">
          <cell r="E23" t="str">
            <v/>
          </cell>
        </row>
        <row r="24">
          <cell r="E24" t="str">
            <v/>
          </cell>
        </row>
        <row r="25">
          <cell r="E25" t="str">
            <v/>
          </cell>
        </row>
        <row r="26">
          <cell r="E26" t="str">
            <v/>
          </cell>
        </row>
        <row r="27">
          <cell r="E27" t="str">
            <v/>
          </cell>
        </row>
        <row r="28">
          <cell r="E28" t="str">
            <v/>
          </cell>
        </row>
        <row r="29">
          <cell r="E29" t="str">
            <v/>
          </cell>
        </row>
        <row r="30">
          <cell r="E30" t="str">
            <v/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 t="str">
            <v/>
          </cell>
        </row>
        <row r="36">
          <cell r="E36" t="str">
            <v/>
          </cell>
        </row>
        <row r="37">
          <cell r="E37" t="str">
            <v/>
          </cell>
        </row>
        <row r="38">
          <cell r="E38" t="str">
            <v/>
          </cell>
        </row>
        <row r="39">
          <cell r="E39" t="str">
            <v/>
          </cell>
        </row>
        <row r="40">
          <cell r="E40" t="str">
            <v/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 t="str">
            <v/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 t="str">
            <v/>
          </cell>
        </row>
        <row r="47">
          <cell r="E47" t="str">
            <v/>
          </cell>
        </row>
        <row r="48">
          <cell r="E48" t="str">
            <v/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 t="str">
            <v/>
          </cell>
        </row>
        <row r="52">
          <cell r="E52" t="str">
            <v/>
          </cell>
        </row>
        <row r="53">
          <cell r="E53" t="str">
            <v/>
          </cell>
        </row>
        <row r="54">
          <cell r="E54" t="str">
            <v/>
          </cell>
        </row>
        <row r="55">
          <cell r="E55" t="str">
            <v/>
          </cell>
        </row>
        <row r="56">
          <cell r="E56" t="str">
            <v/>
          </cell>
        </row>
        <row r="57">
          <cell r="E57" t="str">
            <v/>
          </cell>
        </row>
        <row r="58">
          <cell r="E58" t="str">
            <v/>
          </cell>
        </row>
        <row r="59">
          <cell r="E59" t="str">
            <v/>
          </cell>
        </row>
        <row r="60">
          <cell r="E60" t="str">
            <v/>
          </cell>
        </row>
        <row r="61">
          <cell r="E61" t="str">
            <v/>
          </cell>
        </row>
        <row r="62">
          <cell r="E62" t="str">
            <v/>
          </cell>
        </row>
        <row r="63">
          <cell r="E63" t="str">
            <v/>
          </cell>
        </row>
        <row r="64">
          <cell r="E64" t="str">
            <v/>
          </cell>
        </row>
        <row r="65">
          <cell r="E65" t="str">
            <v/>
          </cell>
        </row>
        <row r="66">
          <cell r="E66" t="str">
            <v/>
          </cell>
        </row>
        <row r="67">
          <cell r="E67" t="str">
            <v/>
          </cell>
        </row>
        <row r="68">
          <cell r="E68" t="str">
            <v/>
          </cell>
        </row>
        <row r="69">
          <cell r="E69" t="str">
            <v/>
          </cell>
        </row>
        <row r="70">
          <cell r="E70" t="str">
            <v/>
          </cell>
        </row>
        <row r="71">
          <cell r="E71" t="str">
            <v/>
          </cell>
        </row>
        <row r="72">
          <cell r="E72" t="str">
            <v/>
          </cell>
        </row>
        <row r="73">
          <cell r="E73" t="str">
            <v/>
          </cell>
        </row>
        <row r="74">
          <cell r="E74" t="str">
            <v/>
          </cell>
        </row>
        <row r="75">
          <cell r="E75" t="str">
            <v/>
          </cell>
        </row>
        <row r="76">
          <cell r="E76" t="str">
            <v/>
          </cell>
        </row>
        <row r="77">
          <cell r="E77" t="str">
            <v/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5E21F1-7E36-43BC-AEE2-222A343C6A95}">
  <we:reference id="wa104100404" version="3.0.0.1" store="en-GB" storeType="OMEX"/>
  <we:alternateReferences>
    <we:reference id="WA104100404" version="3.0.0.1" store="WA104100404" storeType="OMEX"/>
  </we:alternateReferences>
  <we:properties>
    <we:property name="UniqueID" value="&quot;202646177807036918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AD85-48C7-4573-9F47-151273D349F6}">
  <dimension ref="A1:V926"/>
  <sheetViews>
    <sheetView zoomScaleNormal="100" workbookViewId="0">
      <pane ySplit="14" topLeftCell="A42" activePane="bottomLeft" state="frozenSplit"/>
      <selection activeCell="E7" sqref="E7:J27"/>
      <selection pane="bottomLeft" activeCell="I14" sqref="I14"/>
    </sheetView>
  </sheetViews>
  <sheetFormatPr defaultRowHeight="13.2" x14ac:dyDescent="0.25"/>
  <cols>
    <col min="1" max="1" width="2.5546875" customWidth="1"/>
    <col min="2" max="2" width="3.88671875" customWidth="1"/>
    <col min="3" max="3" width="10.33203125" style="41" customWidth="1"/>
    <col min="4" max="4" width="9.33203125" style="41" customWidth="1"/>
    <col min="5" max="5" width="9.33203125" style="42" customWidth="1"/>
    <col min="6" max="7" width="9.33203125" customWidth="1"/>
    <col min="8" max="8" width="6.6640625" customWidth="1"/>
    <col min="9" max="9" width="13.5546875" customWidth="1"/>
    <col min="10" max="10" width="4.44140625" customWidth="1"/>
    <col min="11" max="13" width="10.109375" customWidth="1"/>
    <col min="16" max="16" width="12" bestFit="1" customWidth="1"/>
  </cols>
  <sheetData>
    <row r="1" spans="1:12" x14ac:dyDescent="0.25">
      <c r="A1" s="1"/>
      <c r="B1" s="1"/>
      <c r="C1" s="2"/>
      <c r="D1" s="2"/>
      <c r="E1" s="3"/>
      <c r="F1" s="1"/>
      <c r="G1" s="1"/>
      <c r="H1" s="1"/>
      <c r="I1" s="1"/>
      <c r="J1" s="1"/>
    </row>
    <row r="2" spans="1:12" ht="18" customHeight="1" x14ac:dyDescent="0.4">
      <c r="A2" s="1"/>
      <c r="B2" s="1"/>
      <c r="C2" s="4" t="s">
        <v>0</v>
      </c>
      <c r="D2" s="4" t="s">
        <v>23</v>
      </c>
      <c r="E2" s="5"/>
      <c r="F2" s="45"/>
      <c r="G2" s="45"/>
      <c r="H2" s="45"/>
      <c r="I2" s="1"/>
      <c r="J2" s="1"/>
    </row>
    <row r="3" spans="1:12" ht="15.75" customHeight="1" x14ac:dyDescent="0.25">
      <c r="A3" s="1"/>
      <c r="B3" s="1"/>
      <c r="C3" s="4" t="s">
        <v>2</v>
      </c>
      <c r="D3" s="4" t="s">
        <v>3</v>
      </c>
      <c r="E3" s="5" t="s">
        <v>4</v>
      </c>
      <c r="F3" s="6"/>
      <c r="G3" s="6"/>
      <c r="H3" s="6"/>
      <c r="I3" s="7"/>
      <c r="J3" s="1"/>
    </row>
    <row r="4" spans="1:12" ht="13.8" thickBot="1" x14ac:dyDescent="0.3">
      <c r="A4" s="1"/>
      <c r="B4" s="1"/>
      <c r="C4" s="8"/>
      <c r="D4" s="2"/>
      <c r="E4" s="3"/>
      <c r="F4" s="9"/>
      <c r="G4" s="9"/>
      <c r="H4" s="1"/>
      <c r="I4" s="7"/>
      <c r="J4" s="1"/>
    </row>
    <row r="5" spans="1:12" x14ac:dyDescent="0.25">
      <c r="A5" s="1"/>
      <c r="B5" s="1"/>
      <c r="C5" s="46" t="s">
        <v>5</v>
      </c>
      <c r="D5" s="47"/>
      <c r="E5" s="47"/>
      <c r="F5" s="47"/>
      <c r="G5" s="47"/>
      <c r="H5" s="47"/>
      <c r="I5" s="48"/>
      <c r="J5" s="1"/>
    </row>
    <row r="6" spans="1:12" x14ac:dyDescent="0.25">
      <c r="A6" s="1"/>
      <c r="B6" s="1"/>
      <c r="C6" s="10"/>
      <c r="D6" s="2"/>
      <c r="E6" s="3"/>
      <c r="F6" s="9"/>
      <c r="G6" s="9"/>
      <c r="H6" s="1"/>
      <c r="I6" s="11"/>
      <c r="J6" s="1"/>
    </row>
    <row r="7" spans="1:12" x14ac:dyDescent="0.25">
      <c r="A7" s="1"/>
      <c r="B7" s="1"/>
      <c r="C7" s="10"/>
      <c r="D7" s="12" t="s">
        <v>6</v>
      </c>
      <c r="E7" s="13"/>
      <c r="F7" s="14">
        <v>0</v>
      </c>
      <c r="G7" s="9"/>
      <c r="H7" s="49" t="s">
        <v>7</v>
      </c>
      <c r="I7" s="50"/>
      <c r="J7" s="1"/>
    </row>
    <row r="8" spans="1:12" x14ac:dyDescent="0.25">
      <c r="A8" s="1"/>
      <c r="B8" s="1"/>
      <c r="C8" s="10"/>
      <c r="D8" s="12" t="s">
        <v>8</v>
      </c>
      <c r="E8" s="13"/>
      <c r="F8" s="14">
        <v>0</v>
      </c>
      <c r="G8" s="9"/>
      <c r="H8" s="49"/>
      <c r="I8" s="50"/>
      <c r="J8" s="1"/>
    </row>
    <row r="9" spans="1:12" x14ac:dyDescent="0.25">
      <c r="A9" s="1"/>
      <c r="B9" s="1"/>
      <c r="C9" s="10"/>
      <c r="D9" s="15" t="s">
        <v>9</v>
      </c>
      <c r="E9" s="13"/>
      <c r="F9" s="16">
        <v>5812.6781609972159</v>
      </c>
      <c r="G9" s="9"/>
      <c r="H9" s="1"/>
      <c r="I9" s="11"/>
      <c r="J9" s="1"/>
    </row>
    <row r="10" spans="1:12" x14ac:dyDescent="0.25">
      <c r="A10" s="1"/>
      <c r="B10" s="1"/>
      <c r="C10" s="10"/>
      <c r="D10" s="15" t="s">
        <v>10</v>
      </c>
      <c r="E10" s="13"/>
      <c r="F10" s="17">
        <v>0.45488607575719031</v>
      </c>
      <c r="G10" s="9"/>
      <c r="H10" s="18"/>
      <c r="I10" s="19"/>
      <c r="J10" s="1"/>
    </row>
    <row r="11" spans="1:12" x14ac:dyDescent="0.25">
      <c r="A11" s="1"/>
      <c r="B11" s="20"/>
      <c r="C11" s="21"/>
      <c r="D11" s="22"/>
      <c r="E11" s="23"/>
      <c r="F11" s="20"/>
      <c r="G11" s="9"/>
      <c r="H11" s="1"/>
      <c r="I11" s="11"/>
      <c r="J11" s="1"/>
    </row>
    <row r="12" spans="1:12" x14ac:dyDescent="0.25">
      <c r="A12" s="1"/>
      <c r="B12" s="20"/>
      <c r="C12" s="21"/>
      <c r="D12" s="22"/>
      <c r="E12" s="23"/>
      <c r="F12" s="20"/>
      <c r="G12" s="9"/>
      <c r="H12" s="51" t="s">
        <v>11</v>
      </c>
      <c r="I12" s="52"/>
      <c r="J12" s="1"/>
    </row>
    <row r="13" spans="1:12" ht="12.75" customHeight="1" x14ac:dyDescent="0.25">
      <c r="A13" s="1"/>
      <c r="B13" s="20"/>
      <c r="C13" s="53" t="s">
        <v>12</v>
      </c>
      <c r="D13" s="24"/>
      <c r="E13" s="25"/>
      <c r="F13" s="55" t="s">
        <v>13</v>
      </c>
      <c r="G13" s="55" t="s">
        <v>14</v>
      </c>
      <c r="H13" s="43" t="s">
        <v>15</v>
      </c>
      <c r="I13" s="44" t="s">
        <v>16</v>
      </c>
      <c r="J13" s="1"/>
      <c r="K13" t="s">
        <v>17</v>
      </c>
    </row>
    <row r="14" spans="1:12" s="31" customFormat="1" ht="12.6" thickBot="1" x14ac:dyDescent="0.3">
      <c r="A14" s="26"/>
      <c r="B14" s="26"/>
      <c r="C14" s="54"/>
      <c r="D14" s="27" t="s">
        <v>18</v>
      </c>
      <c r="E14" s="28" t="s">
        <v>19</v>
      </c>
      <c r="F14" s="55"/>
      <c r="G14" s="55"/>
      <c r="H14" s="29"/>
      <c r="I14" s="30">
        <f>SQRT(SUM(I15:I926))</f>
        <v>1533.8860631845248</v>
      </c>
      <c r="J14" s="26"/>
      <c r="K14" s="31" t="s">
        <v>20</v>
      </c>
      <c r="L14" s="31" t="s">
        <v>21</v>
      </c>
    </row>
    <row r="15" spans="1:12" x14ac:dyDescent="0.25">
      <c r="A15" s="32"/>
      <c r="B15" s="32">
        <v>1</v>
      </c>
      <c r="C15" s="33">
        <v>0</v>
      </c>
      <c r="D15" s="33">
        <v>0</v>
      </c>
      <c r="E15" s="34" t="e">
        <f t="shared" ref="E15:E78" si="0">IF(C15="","",2*(D15-D14)/((C15-C14)/1000))</f>
        <v>#VALUE!</v>
      </c>
      <c r="F15" s="35">
        <f t="shared" ref="F15:F78" si="1">IF(C15="","",F$7+(F$9/F$10)*(EXP(F$10*(C15-F$8)/2000)-1))</f>
        <v>0</v>
      </c>
      <c r="G15" s="35" t="e">
        <f t="shared" ref="G15:G78" si="2">IF(E15="","",F$9+(F15-F$7)*F$10)</f>
        <v>#VALUE!</v>
      </c>
      <c r="H15" s="36">
        <f t="shared" ref="H15:H78" si="3">IF(F15="","",F15-D15)</f>
        <v>0</v>
      </c>
      <c r="I15" s="36">
        <f t="shared" ref="I15:I78" si="4">IF(H15="","",H15^2)</f>
        <v>0</v>
      </c>
      <c r="J15" s="1"/>
    </row>
    <row r="16" spans="1:12" x14ac:dyDescent="0.25">
      <c r="A16" s="32"/>
      <c r="B16" s="32">
        <v>2</v>
      </c>
      <c r="C16" s="33">
        <v>9.49</v>
      </c>
      <c r="D16" s="33">
        <v>15.74</v>
      </c>
      <c r="E16" s="34">
        <f t="shared" si="0"/>
        <v>3317.1759747102215</v>
      </c>
      <c r="F16" s="35">
        <f t="shared" si="1"/>
        <v>27.610945361903998</v>
      </c>
      <c r="G16" s="35">
        <f t="shared" si="2"/>
        <v>5825.2379955808383</v>
      </c>
      <c r="H16" s="36">
        <f t="shared" si="3"/>
        <v>11.870945361903997</v>
      </c>
      <c r="I16" s="36">
        <f t="shared" si="4"/>
        <v>140.91934378531002</v>
      </c>
      <c r="J16" s="1"/>
    </row>
    <row r="17" spans="1:10" x14ac:dyDescent="0.25">
      <c r="A17" s="32"/>
      <c r="B17" s="32">
        <v>3</v>
      </c>
      <c r="C17" s="33">
        <v>19.38</v>
      </c>
      <c r="D17" s="33">
        <v>32.15</v>
      </c>
      <c r="E17" s="34">
        <f t="shared" si="0"/>
        <v>3318.5035389282098</v>
      </c>
      <c r="F17" s="35">
        <f t="shared" si="1"/>
        <v>56.449169609001615</v>
      </c>
      <c r="G17" s="35">
        <f t="shared" si="2"/>
        <v>5838.3561022404065</v>
      </c>
      <c r="H17" s="36">
        <f t="shared" si="3"/>
        <v>24.299169609001616</v>
      </c>
      <c r="I17" s="36">
        <f t="shared" si="4"/>
        <v>590.44964368702779</v>
      </c>
      <c r="J17" s="1"/>
    </row>
    <row r="18" spans="1:10" x14ac:dyDescent="0.25">
      <c r="A18" s="32"/>
      <c r="B18" s="32">
        <v>4</v>
      </c>
      <c r="C18" s="33">
        <v>29.27</v>
      </c>
      <c r="D18" s="33">
        <v>48.55</v>
      </c>
      <c r="E18" s="34">
        <f t="shared" si="0"/>
        <v>3316.481294236602</v>
      </c>
      <c r="F18" s="35">
        <f t="shared" si="1"/>
        <v>85.352335906852858</v>
      </c>
      <c r="G18" s="35">
        <f t="shared" si="2"/>
        <v>5851.5037501345932</v>
      </c>
      <c r="H18" s="36">
        <f t="shared" si="3"/>
        <v>36.802335906852861</v>
      </c>
      <c r="I18" s="36">
        <f t="shared" si="4"/>
        <v>1354.4119282008314</v>
      </c>
      <c r="J18" s="1"/>
    </row>
    <row r="19" spans="1:10" x14ac:dyDescent="0.25">
      <c r="A19" s="32"/>
      <c r="B19" s="32">
        <v>5</v>
      </c>
      <c r="C19" s="33">
        <v>39.159999999999997</v>
      </c>
      <c r="D19" s="33">
        <v>64.95</v>
      </c>
      <c r="E19" s="34">
        <f t="shared" si="0"/>
        <v>3316.4812942366048</v>
      </c>
      <c r="F19" s="35">
        <f t="shared" si="1"/>
        <v>114.32059050128261</v>
      </c>
      <c r="G19" s="35">
        <f t="shared" si="2"/>
        <v>5864.6810057885887</v>
      </c>
      <c r="H19" s="36">
        <f t="shared" si="3"/>
        <v>49.370590501282607</v>
      </c>
      <c r="I19" s="36">
        <f t="shared" si="4"/>
        <v>2437.4552064453364</v>
      </c>
      <c r="J19" s="1"/>
    </row>
    <row r="20" spans="1:10" x14ac:dyDescent="0.25">
      <c r="A20" s="32"/>
      <c r="B20" s="32">
        <v>6</v>
      </c>
      <c r="C20" s="33">
        <v>44.59</v>
      </c>
      <c r="D20" s="33">
        <v>81.36</v>
      </c>
      <c r="E20" s="34">
        <f t="shared" si="0"/>
        <v>6044.1988950276154</v>
      </c>
      <c r="F20" s="35">
        <f t="shared" si="1"/>
        <v>130.25303581691901</v>
      </c>
      <c r="G20" s="35">
        <f t="shared" si="2"/>
        <v>5871.928453315435</v>
      </c>
      <c r="H20" s="36">
        <f t="shared" si="3"/>
        <v>48.89303581691901</v>
      </c>
      <c r="I20" s="36">
        <f t="shared" si="4"/>
        <v>2390.5289513945249</v>
      </c>
      <c r="J20" s="1"/>
    </row>
    <row r="21" spans="1:10" x14ac:dyDescent="0.25">
      <c r="A21" s="32"/>
      <c r="B21" s="32">
        <v>7</v>
      </c>
      <c r="C21" s="33">
        <v>49.55</v>
      </c>
      <c r="D21" s="33">
        <v>97.76</v>
      </c>
      <c r="E21" s="34">
        <f t="shared" si="0"/>
        <v>6612.9032258064617</v>
      </c>
      <c r="F21" s="35">
        <f t="shared" si="1"/>
        <v>144.82363550988575</v>
      </c>
      <c r="G21" s="35">
        <f t="shared" si="2"/>
        <v>5878.5564162311975</v>
      </c>
      <c r="H21" s="36">
        <f t="shared" si="3"/>
        <v>47.063635509885742</v>
      </c>
      <c r="I21" s="36">
        <f t="shared" si="4"/>
        <v>2214.9857874073782</v>
      </c>
      <c r="J21" s="1"/>
    </row>
    <row r="22" spans="1:10" x14ac:dyDescent="0.25">
      <c r="A22" s="32"/>
      <c r="B22" s="32">
        <v>8</v>
      </c>
      <c r="C22" s="33">
        <v>54.5</v>
      </c>
      <c r="D22" s="33">
        <v>114.17</v>
      </c>
      <c r="E22" s="34">
        <f t="shared" si="0"/>
        <v>6630.3030303030246</v>
      </c>
      <c r="F22" s="35">
        <f t="shared" si="1"/>
        <v>159.38125590016176</v>
      </c>
      <c r="G22" s="35">
        <f t="shared" si="2"/>
        <v>5885.1784750428933</v>
      </c>
      <c r="H22" s="36">
        <f t="shared" si="3"/>
        <v>45.21125590016176</v>
      </c>
      <c r="I22" s="36">
        <f t="shared" si="4"/>
        <v>2044.0576600699114</v>
      </c>
      <c r="J22" s="1"/>
    </row>
    <row r="23" spans="1:10" x14ac:dyDescent="0.25">
      <c r="A23" s="32"/>
      <c r="B23" s="32">
        <v>9</v>
      </c>
      <c r="C23" s="33">
        <v>59.46</v>
      </c>
      <c r="D23" s="33">
        <v>130.57</v>
      </c>
      <c r="E23" s="34">
        <f t="shared" si="0"/>
        <v>6612.9032258064472</v>
      </c>
      <c r="F23" s="35">
        <f t="shared" si="1"/>
        <v>173.98473418898274</v>
      </c>
      <c r="G23" s="35">
        <f t="shared" si="2"/>
        <v>5891.8213939740999</v>
      </c>
      <c r="H23" s="36">
        <f t="shared" si="3"/>
        <v>43.414734188982749</v>
      </c>
      <c r="I23" s="36">
        <f t="shared" si="4"/>
        <v>1884.8391447000276</v>
      </c>
      <c r="J23" s="1"/>
    </row>
    <row r="24" spans="1:10" x14ac:dyDescent="0.25">
      <c r="A24" s="32"/>
      <c r="B24" s="32">
        <v>10</v>
      </c>
      <c r="C24" s="33">
        <v>64.42</v>
      </c>
      <c r="D24" s="33">
        <v>146.97999999999999</v>
      </c>
      <c r="E24" s="34">
        <f t="shared" si="0"/>
        <v>6616.9354838709651</v>
      </c>
      <c r="F24" s="35">
        <f t="shared" si="1"/>
        <v>188.60469621280046</v>
      </c>
      <c r="G24" s="35">
        <f t="shared" si="2"/>
        <v>5898.4718111268339</v>
      </c>
      <c r="H24" s="36">
        <f t="shared" si="3"/>
        <v>41.624696212800472</v>
      </c>
      <c r="I24" s="36">
        <f t="shared" si="4"/>
        <v>1732.615334807926</v>
      </c>
      <c r="J24" s="1"/>
    </row>
    <row r="25" spans="1:10" x14ac:dyDescent="0.25">
      <c r="A25" s="32"/>
      <c r="B25" s="32">
        <v>11</v>
      </c>
      <c r="C25" s="33">
        <v>69.38</v>
      </c>
      <c r="D25" s="33">
        <v>163.38</v>
      </c>
      <c r="E25" s="34">
        <f t="shared" si="0"/>
        <v>6612.9032258064617</v>
      </c>
      <c r="F25" s="35">
        <f t="shared" si="1"/>
        <v>203.2411605776974</v>
      </c>
      <c r="G25" s="35">
        <f t="shared" si="2"/>
        <v>5905.1297349647411</v>
      </c>
      <c r="H25" s="36">
        <f t="shared" si="3"/>
        <v>39.861160577697405</v>
      </c>
      <c r="I25" s="36">
        <f t="shared" si="4"/>
        <v>1588.9121226009777</v>
      </c>
      <c r="J25" s="1"/>
    </row>
    <row r="26" spans="1:10" x14ac:dyDescent="0.25">
      <c r="A26" s="32"/>
      <c r="B26" s="32">
        <v>12</v>
      </c>
      <c r="C26" s="33">
        <v>74.33</v>
      </c>
      <c r="D26" s="33">
        <v>179.78</v>
      </c>
      <c r="E26" s="34">
        <f t="shared" si="0"/>
        <v>6626.2626262626245</v>
      </c>
      <c r="F26" s="35">
        <f t="shared" si="1"/>
        <v>217.86458696850167</v>
      </c>
      <c r="G26" s="35">
        <f t="shared" si="2"/>
        <v>5911.7817280097788</v>
      </c>
      <c r="H26" s="36">
        <f t="shared" si="3"/>
        <v>38.084586968501668</v>
      </c>
      <c r="I26" s="36">
        <f t="shared" si="4"/>
        <v>1450.435764561367</v>
      </c>
      <c r="J26" s="1"/>
    </row>
    <row r="27" spans="1:10" x14ac:dyDescent="0.25">
      <c r="A27" s="32"/>
      <c r="B27" s="32">
        <v>13</v>
      </c>
      <c r="C27" s="33">
        <v>79.290000000000006</v>
      </c>
      <c r="D27" s="33">
        <v>196.19</v>
      </c>
      <c r="E27" s="34">
        <f t="shared" si="0"/>
        <v>6616.935483870956</v>
      </c>
      <c r="F27" s="35">
        <f t="shared" si="1"/>
        <v>232.53407855305744</v>
      </c>
      <c r="G27" s="35">
        <f t="shared" si="2"/>
        <v>5918.4546754700305</v>
      </c>
      <c r="H27" s="36">
        <f t="shared" si="3"/>
        <v>36.344078553057443</v>
      </c>
      <c r="I27" s="36">
        <f t="shared" si="4"/>
        <v>1320.8920458708101</v>
      </c>
      <c r="J27" s="1"/>
    </row>
    <row r="28" spans="1:10" x14ac:dyDescent="0.25">
      <c r="A28" s="32"/>
      <c r="B28" s="32">
        <v>14</v>
      </c>
      <c r="C28" s="33">
        <v>84.25</v>
      </c>
      <c r="D28" s="33">
        <v>212.59</v>
      </c>
      <c r="E28" s="34">
        <f t="shared" si="0"/>
        <v>6612.9032258064617</v>
      </c>
      <c r="F28" s="35">
        <f t="shared" si="1"/>
        <v>247.22012838538291</v>
      </c>
      <c r="G28" s="35">
        <f t="shared" si="2"/>
        <v>5925.1351550466316</v>
      </c>
      <c r="H28" s="36">
        <f t="shared" si="3"/>
        <v>34.630128385382903</v>
      </c>
      <c r="I28" s="36">
        <f t="shared" si="4"/>
        <v>1199.2457919881026</v>
      </c>
      <c r="J28" s="1"/>
    </row>
    <row r="29" spans="1:10" x14ac:dyDescent="0.25">
      <c r="A29" s="32"/>
      <c r="B29" s="32">
        <v>15</v>
      </c>
      <c r="C29" s="33">
        <v>89.21</v>
      </c>
      <c r="D29" s="33">
        <v>229</v>
      </c>
      <c r="E29" s="34">
        <f t="shared" si="0"/>
        <v>6616.9354838709742</v>
      </c>
      <c r="F29" s="35">
        <f t="shared" si="1"/>
        <v>261.92275515566541</v>
      </c>
      <c r="G29" s="35">
        <f t="shared" si="2"/>
        <v>5931.8231752414877</v>
      </c>
      <c r="H29" s="36">
        <f t="shared" si="3"/>
        <v>32.922755155665413</v>
      </c>
      <c r="I29" s="36">
        <f t="shared" si="4"/>
        <v>1083.9078070398937</v>
      </c>
      <c r="J29" s="1"/>
    </row>
    <row r="30" spans="1:10" x14ac:dyDescent="0.25">
      <c r="A30" s="32"/>
      <c r="B30" s="32">
        <v>16</v>
      </c>
      <c r="C30" s="33">
        <v>94.17</v>
      </c>
      <c r="D30" s="33">
        <v>245.4</v>
      </c>
      <c r="E30" s="34">
        <f t="shared" si="0"/>
        <v>6612.9032258064435</v>
      </c>
      <c r="F30" s="35">
        <f t="shared" si="1"/>
        <v>276.64197757519372</v>
      </c>
      <c r="G30" s="35">
        <f t="shared" si="2"/>
        <v>5938.518744566104</v>
      </c>
      <c r="H30" s="36">
        <f t="shared" si="3"/>
        <v>31.241977575193715</v>
      </c>
      <c r="I30" s="36">
        <f t="shared" si="4"/>
        <v>976.06116280890694</v>
      </c>
      <c r="J30" s="1"/>
    </row>
    <row r="31" spans="1:10" x14ac:dyDescent="0.25">
      <c r="A31" s="32"/>
      <c r="B31" s="32">
        <v>17</v>
      </c>
      <c r="C31" s="33">
        <v>99.12</v>
      </c>
      <c r="D31" s="33">
        <v>261.8</v>
      </c>
      <c r="E31" s="34">
        <f t="shared" si="0"/>
        <v>6626.2626262626245</v>
      </c>
      <c r="F31" s="35">
        <f t="shared" si="1"/>
        <v>291.34808830081806</v>
      </c>
      <c r="G31" s="35">
        <f t="shared" si="2"/>
        <v>5945.2083495637344</v>
      </c>
      <c r="H31" s="36">
        <f t="shared" si="3"/>
        <v>29.548088300818051</v>
      </c>
      <c r="I31" s="36">
        <f t="shared" si="4"/>
        <v>873.08952223294057</v>
      </c>
      <c r="J31" s="1"/>
    </row>
    <row r="32" spans="1:10" x14ac:dyDescent="0.25">
      <c r="A32" s="32"/>
      <c r="B32" s="32">
        <v>18</v>
      </c>
      <c r="C32" s="33">
        <v>104.08</v>
      </c>
      <c r="D32" s="33">
        <v>278.20999999999998</v>
      </c>
      <c r="E32" s="34">
        <f t="shared" si="0"/>
        <v>6616.9354838709633</v>
      </c>
      <c r="F32" s="35">
        <f t="shared" si="1"/>
        <v>306.10052468376978</v>
      </c>
      <c r="G32" s="35">
        <f t="shared" si="2"/>
        <v>5951.9190274578332</v>
      </c>
      <c r="H32" s="36">
        <f t="shared" si="3"/>
        <v>27.890524683769797</v>
      </c>
      <c r="I32" s="36">
        <f t="shared" si="4"/>
        <v>777.88136713597237</v>
      </c>
      <c r="J32" s="1"/>
    </row>
    <row r="33" spans="1:10" x14ac:dyDescent="0.25">
      <c r="A33" s="32"/>
      <c r="B33" s="32">
        <v>19</v>
      </c>
      <c r="C33" s="33">
        <v>109.04</v>
      </c>
      <c r="D33" s="33">
        <v>294.61</v>
      </c>
      <c r="E33" s="34">
        <f t="shared" si="0"/>
        <v>6612.9032258064553</v>
      </c>
      <c r="F33" s="35">
        <f t="shared" si="1"/>
        <v>320.86961293876482</v>
      </c>
      <c r="G33" s="35">
        <f t="shared" si="2"/>
        <v>5958.6372800566587</v>
      </c>
      <c r="H33" s="36">
        <f t="shared" si="3"/>
        <v>26.259612938764803</v>
      </c>
      <c r="I33" s="36">
        <f t="shared" si="4"/>
        <v>689.56727169374392</v>
      </c>
      <c r="J33" s="1"/>
    </row>
    <row r="34" spans="1:10" x14ac:dyDescent="0.25">
      <c r="A34" s="32"/>
      <c r="B34" s="32">
        <v>20</v>
      </c>
      <c r="C34" s="33">
        <v>114</v>
      </c>
      <c r="D34" s="33">
        <v>311.02</v>
      </c>
      <c r="E34" s="34">
        <f t="shared" si="0"/>
        <v>6616.9354838709633</v>
      </c>
      <c r="F34" s="35">
        <f t="shared" si="1"/>
        <v>335.65537186167359</v>
      </c>
      <c r="G34" s="35">
        <f t="shared" si="2"/>
        <v>5965.3631159101933</v>
      </c>
      <c r="H34" s="36">
        <f t="shared" si="3"/>
        <v>24.635371861673605</v>
      </c>
      <c r="I34" s="36">
        <f t="shared" si="4"/>
        <v>606.90154676293957</v>
      </c>
      <c r="J34" s="1"/>
    </row>
    <row r="35" spans="1:10" x14ac:dyDescent="0.25">
      <c r="A35" s="32"/>
      <c r="B35" s="32">
        <v>21</v>
      </c>
      <c r="C35" s="33">
        <v>118.95</v>
      </c>
      <c r="D35" s="33">
        <v>327.42</v>
      </c>
      <c r="E35" s="34">
        <f t="shared" si="0"/>
        <v>6626.2626262626363</v>
      </c>
      <c r="F35" s="35">
        <f t="shared" si="1"/>
        <v>350.42795982082129</v>
      </c>
      <c r="G35" s="35">
        <f t="shared" si="2"/>
        <v>5972.0829604757073</v>
      </c>
      <c r="H35" s="36">
        <f t="shared" si="3"/>
        <v>23.00795982082127</v>
      </c>
      <c r="I35" s="36">
        <f t="shared" si="4"/>
        <v>529.36621511652595</v>
      </c>
      <c r="J35" s="1"/>
    </row>
    <row r="36" spans="1:10" x14ac:dyDescent="0.25">
      <c r="A36" s="32"/>
      <c r="B36" s="32">
        <v>22</v>
      </c>
      <c r="C36" s="33">
        <v>123.91</v>
      </c>
      <c r="D36" s="33">
        <v>343.82</v>
      </c>
      <c r="E36" s="34">
        <f t="shared" si="0"/>
        <v>6612.9032258064508</v>
      </c>
      <c r="F36" s="35">
        <f t="shared" si="1"/>
        <v>365.24708284694333</v>
      </c>
      <c r="G36" s="35">
        <f t="shared" si="2"/>
        <v>5978.8239731952235</v>
      </c>
      <c r="H36" s="36">
        <f t="shared" si="3"/>
        <v>21.427082846943335</v>
      </c>
      <c r="I36" s="36">
        <f t="shared" si="4"/>
        <v>459.11987932977331</v>
      </c>
      <c r="J36" s="1"/>
    </row>
    <row r="37" spans="1:10" x14ac:dyDescent="0.25">
      <c r="A37" s="32"/>
      <c r="B37" s="32">
        <v>23</v>
      </c>
      <c r="C37" s="33">
        <v>128.87</v>
      </c>
      <c r="D37" s="33">
        <v>360.23</v>
      </c>
      <c r="E37" s="34">
        <f t="shared" si="0"/>
        <v>6616.9354838709678</v>
      </c>
      <c r="F37" s="35">
        <f t="shared" si="1"/>
        <v>380.08293301792986</v>
      </c>
      <c r="G37" s="35">
        <f t="shared" si="2"/>
        <v>5985.5725948600248</v>
      </c>
      <c r="H37" s="36">
        <f t="shared" si="3"/>
        <v>19.852933017929843</v>
      </c>
      <c r="I37" s="36">
        <f t="shared" si="4"/>
        <v>394.13894941440896</v>
      </c>
      <c r="J37" s="1"/>
    </row>
    <row r="38" spans="1:10" x14ac:dyDescent="0.25">
      <c r="A38" s="32"/>
      <c r="B38" s="32">
        <v>24</v>
      </c>
      <c r="C38" s="33">
        <v>133.83000000000001</v>
      </c>
      <c r="D38" s="33">
        <v>376.63</v>
      </c>
      <c r="E38" s="34">
        <f t="shared" si="0"/>
        <v>6612.9032258064317</v>
      </c>
      <c r="F38" s="35">
        <f t="shared" si="1"/>
        <v>394.93552921461031</v>
      </c>
      <c r="G38" s="35">
        <f t="shared" si="2"/>
        <v>5992.3288340587387</v>
      </c>
      <c r="H38" s="36">
        <f t="shared" si="3"/>
        <v>18.305529214610317</v>
      </c>
      <c r="I38" s="36">
        <f t="shared" si="4"/>
        <v>335.09239982695181</v>
      </c>
      <c r="J38" s="1"/>
    </row>
    <row r="39" spans="1:10" x14ac:dyDescent="0.25">
      <c r="A39" s="32"/>
      <c r="B39" s="32">
        <v>25</v>
      </c>
      <c r="C39" s="33">
        <v>138.78</v>
      </c>
      <c r="D39" s="33">
        <v>393.04</v>
      </c>
      <c r="E39" s="34">
        <f t="shared" si="0"/>
        <v>6630.3030303030564</v>
      </c>
      <c r="F39" s="35">
        <f t="shared" si="1"/>
        <v>409.77489490974392</v>
      </c>
      <c r="G39" s="35">
        <f t="shared" si="2"/>
        <v>5999.0790548865243</v>
      </c>
      <c r="H39" s="36">
        <f t="shared" si="3"/>
        <v>16.7348949097439</v>
      </c>
      <c r="I39" s="36">
        <f t="shared" si="4"/>
        <v>280.05670764017231</v>
      </c>
      <c r="J39" s="1"/>
    </row>
    <row r="40" spans="1:10" x14ac:dyDescent="0.25">
      <c r="A40" s="32"/>
      <c r="B40" s="32">
        <v>26</v>
      </c>
      <c r="C40" s="33">
        <v>143.74</v>
      </c>
      <c r="D40" s="33">
        <v>409.44</v>
      </c>
      <c r="E40" s="34">
        <f t="shared" si="0"/>
        <v>6612.9032258064317</v>
      </c>
      <c r="F40" s="35">
        <f t="shared" si="1"/>
        <v>424.66100602812025</v>
      </c>
      <c r="G40" s="35">
        <f t="shared" si="2"/>
        <v>6005.850539556448</v>
      </c>
      <c r="H40" s="36">
        <f t="shared" si="3"/>
        <v>15.221006028120257</v>
      </c>
      <c r="I40" s="36">
        <f t="shared" si="4"/>
        <v>231.67902450807321</v>
      </c>
      <c r="J40" s="1"/>
    </row>
    <row r="41" spans="1:10" x14ac:dyDescent="0.25">
      <c r="A41" s="32"/>
      <c r="B41" s="32">
        <v>27</v>
      </c>
      <c r="C41" s="33">
        <v>148.69999999999999</v>
      </c>
      <c r="D41" s="33">
        <v>425.84</v>
      </c>
      <c r="E41" s="34">
        <f t="shared" si="0"/>
        <v>6612.9032258064699</v>
      </c>
      <c r="F41" s="35">
        <f t="shared" si="1"/>
        <v>439.56391990443808</v>
      </c>
      <c r="G41" s="35">
        <f t="shared" si="2"/>
        <v>6012.6296675669937</v>
      </c>
      <c r="H41" s="36">
        <f t="shared" si="3"/>
        <v>13.723919904438105</v>
      </c>
      <c r="I41" s="36">
        <f t="shared" si="4"/>
        <v>188.34597754343241</v>
      </c>
      <c r="J41" s="1"/>
    </row>
    <row r="42" spans="1:10" x14ac:dyDescent="0.25">
      <c r="A42" s="32"/>
      <c r="B42" s="32">
        <v>28</v>
      </c>
      <c r="C42" s="33">
        <v>153.66</v>
      </c>
      <c r="D42" s="33">
        <v>442.25</v>
      </c>
      <c r="E42" s="34">
        <f t="shared" si="0"/>
        <v>6616.9354838709678</v>
      </c>
      <c r="F42" s="35">
        <f t="shared" si="1"/>
        <v>454.48365550488012</v>
      </c>
      <c r="G42" s="35">
        <f t="shared" si="2"/>
        <v>6019.4164475456137</v>
      </c>
      <c r="H42" s="36">
        <f t="shared" si="3"/>
        <v>12.233655504880119</v>
      </c>
      <c r="I42" s="36">
        <f t="shared" si="4"/>
        <v>149.66232701208364</v>
      </c>
      <c r="J42" s="1"/>
    </row>
    <row r="43" spans="1:10" x14ac:dyDescent="0.25">
      <c r="A43" s="32"/>
      <c r="B43" s="32">
        <v>29</v>
      </c>
      <c r="C43" s="33">
        <v>158.61000000000001</v>
      </c>
      <c r="D43" s="33">
        <v>458.65</v>
      </c>
      <c r="E43" s="34">
        <f t="shared" si="0"/>
        <v>6626.2626262625945</v>
      </c>
      <c r="F43" s="35">
        <f t="shared" si="1"/>
        <v>469.39010079685784</v>
      </c>
      <c r="G43" s="35">
        <f t="shared" si="2"/>
        <v>6026.1971819479704</v>
      </c>
      <c r="H43" s="36">
        <f t="shared" si="3"/>
        <v>10.74010079685786</v>
      </c>
      <c r="I43" s="36">
        <f t="shared" si="4"/>
        <v>115.34976512666684</v>
      </c>
      <c r="J43" s="1"/>
    </row>
    <row r="44" spans="1:10" x14ac:dyDescent="0.25">
      <c r="A44" s="32"/>
      <c r="B44" s="32">
        <v>30</v>
      </c>
      <c r="C44" s="33">
        <v>163.57</v>
      </c>
      <c r="D44" s="33">
        <v>475.06</v>
      </c>
      <c r="E44" s="34">
        <f t="shared" si="0"/>
        <v>6616.935483871006</v>
      </c>
      <c r="F44" s="35">
        <f t="shared" si="1"/>
        <v>484.34350281922985</v>
      </c>
      <c r="G44" s="35">
        <f t="shared" si="2"/>
        <v>6032.9992763131468</v>
      </c>
      <c r="H44" s="36">
        <f t="shared" si="3"/>
        <v>9.2835028192298523</v>
      </c>
      <c r="I44" s="36">
        <f t="shared" si="4"/>
        <v>86.183424594648613</v>
      </c>
      <c r="J44" s="1"/>
    </row>
    <row r="45" spans="1:10" x14ac:dyDescent="0.25">
      <c r="A45" s="32"/>
      <c r="B45" s="32">
        <v>31</v>
      </c>
      <c r="C45" s="33">
        <v>168.53</v>
      </c>
      <c r="D45" s="33">
        <v>491.46</v>
      </c>
      <c r="E45" s="34">
        <f t="shared" si="0"/>
        <v>6612.9032258064317</v>
      </c>
      <c r="F45" s="35">
        <f t="shared" si="1"/>
        <v>499.31378355442524</v>
      </c>
      <c r="G45" s="35">
        <f t="shared" si="2"/>
        <v>6039.809048569763</v>
      </c>
      <c r="H45" s="36">
        <f t="shared" si="3"/>
        <v>7.853783554425263</v>
      </c>
      <c r="I45" s="36">
        <f t="shared" si="4"/>
        <v>61.681916119760714</v>
      </c>
      <c r="J45" s="1"/>
    </row>
    <row r="46" spans="1:10" x14ac:dyDescent="0.25">
      <c r="A46" s="32"/>
      <c r="B46" s="32">
        <v>32</v>
      </c>
      <c r="C46" s="33">
        <v>173.49</v>
      </c>
      <c r="D46" s="33">
        <v>507.86</v>
      </c>
      <c r="E46" s="34">
        <f t="shared" si="0"/>
        <v>6612.9032258064553</v>
      </c>
      <c r="F46" s="35">
        <f t="shared" si="1"/>
        <v>514.30096205435757</v>
      </c>
      <c r="G46" s="35">
        <f t="shared" si="2"/>
        <v>6046.6265073842706</v>
      </c>
      <c r="H46" s="36">
        <f t="shared" si="3"/>
        <v>6.4409620543575556</v>
      </c>
      <c r="I46" s="36">
        <f t="shared" si="4"/>
        <v>41.485992185673901</v>
      </c>
      <c r="J46" s="1"/>
    </row>
    <row r="47" spans="1:10" x14ac:dyDescent="0.25">
      <c r="A47" s="32"/>
      <c r="B47" s="32">
        <v>33</v>
      </c>
      <c r="C47" s="33">
        <v>178.45</v>
      </c>
      <c r="D47" s="33">
        <v>524.27</v>
      </c>
      <c r="E47" s="34">
        <f t="shared" si="0"/>
        <v>6616.9354838709824</v>
      </c>
      <c r="F47" s="35">
        <f t="shared" si="1"/>
        <v>529.30505739244711</v>
      </c>
      <c r="G47" s="35">
        <f t="shared" si="2"/>
        <v>6053.4516614329004</v>
      </c>
      <c r="H47" s="36">
        <f t="shared" si="3"/>
        <v>5.0350573924471291</v>
      </c>
      <c r="I47" s="36">
        <f t="shared" si="4"/>
        <v>25.351802945236482</v>
      </c>
      <c r="J47" s="1"/>
    </row>
    <row r="48" spans="1:10" x14ac:dyDescent="0.25">
      <c r="A48" s="32"/>
      <c r="B48" s="32">
        <v>34</v>
      </c>
      <c r="C48" s="33">
        <v>183.4</v>
      </c>
      <c r="D48" s="33">
        <v>540.66999999999996</v>
      </c>
      <c r="E48" s="34">
        <f t="shared" si="0"/>
        <v>6626.2626262625945</v>
      </c>
      <c r="F48" s="35">
        <f t="shared" si="1"/>
        <v>544.29578727550222</v>
      </c>
      <c r="G48" s="35">
        <f t="shared" si="2"/>
        <v>6060.2707357221398</v>
      </c>
      <c r="H48" s="36">
        <f t="shared" si="3"/>
        <v>3.6257872755022618</v>
      </c>
      <c r="I48" s="36">
        <f t="shared" si="4"/>
        <v>13.146333367194114</v>
      </c>
      <c r="J48" s="1"/>
    </row>
    <row r="49" spans="1:10" x14ac:dyDescent="0.25">
      <c r="A49" s="32"/>
      <c r="B49" s="32">
        <v>35</v>
      </c>
      <c r="C49" s="33">
        <v>188.36</v>
      </c>
      <c r="D49" s="33">
        <v>557.08000000000004</v>
      </c>
      <c r="E49" s="34">
        <f t="shared" si="0"/>
        <v>6616.9354838709905</v>
      </c>
      <c r="F49" s="35">
        <f t="shared" si="1"/>
        <v>559.33373939348803</v>
      </c>
      <c r="G49" s="35">
        <f t="shared" si="2"/>
        <v>6067.1112907485149</v>
      </c>
      <c r="H49" s="36">
        <f t="shared" si="3"/>
        <v>2.2537393934879901</v>
      </c>
      <c r="I49" s="36">
        <f t="shared" si="4"/>
        <v>5.0793412537596137</v>
      </c>
      <c r="J49" s="1"/>
    </row>
    <row r="50" spans="1:10" x14ac:dyDescent="0.25">
      <c r="A50" s="32"/>
      <c r="B50" s="32">
        <v>36</v>
      </c>
      <c r="C50" s="33">
        <v>193.32</v>
      </c>
      <c r="D50" s="33">
        <v>573.48</v>
      </c>
      <c r="E50" s="34">
        <f t="shared" si="0"/>
        <v>6612.9032258064699</v>
      </c>
      <c r="F50" s="35">
        <f t="shared" si="1"/>
        <v>574.38866566055765</v>
      </c>
      <c r="G50" s="35">
        <f t="shared" si="2"/>
        <v>6073.9595670789558</v>
      </c>
      <c r="H50" s="36">
        <f t="shared" si="3"/>
        <v>0.90866566055763087</v>
      </c>
      <c r="I50" s="36">
        <f t="shared" si="4"/>
        <v>0.82567328267663564</v>
      </c>
      <c r="J50" s="1"/>
    </row>
    <row r="51" spans="1:10" x14ac:dyDescent="0.25">
      <c r="A51" s="32"/>
      <c r="B51" s="32">
        <v>37</v>
      </c>
      <c r="C51" s="33">
        <v>198.28</v>
      </c>
      <c r="D51" s="33">
        <v>589.89</v>
      </c>
      <c r="E51" s="34">
        <f t="shared" si="0"/>
        <v>6616.9354838709442</v>
      </c>
      <c r="F51" s="35">
        <f t="shared" si="1"/>
        <v>589.46058523635031</v>
      </c>
      <c r="G51" s="35">
        <f t="shared" si="2"/>
        <v>6080.8155734289157</v>
      </c>
      <c r="H51" s="36">
        <f t="shared" si="3"/>
        <v>-0.42941476364967457</v>
      </c>
      <c r="I51" s="36">
        <f t="shared" si="4"/>
        <v>0.18439703924030587</v>
      </c>
      <c r="J51" s="1"/>
    </row>
    <row r="52" spans="1:10" x14ac:dyDescent="0.25">
      <c r="A52" s="32"/>
      <c r="B52" s="32">
        <v>38</v>
      </c>
      <c r="C52" s="33">
        <v>203.23</v>
      </c>
      <c r="D52" s="33">
        <v>606.29</v>
      </c>
      <c r="E52" s="34">
        <f t="shared" si="0"/>
        <v>6626.2626262626327</v>
      </c>
      <c r="F52" s="35">
        <f t="shared" si="1"/>
        <v>604.51907894015096</v>
      </c>
      <c r="G52" s="35">
        <f t="shared" si="2"/>
        <v>6087.6654725366525</v>
      </c>
      <c r="H52" s="36">
        <f t="shared" si="3"/>
        <v>-1.7709210598490017</v>
      </c>
      <c r="I52" s="36">
        <f t="shared" si="4"/>
        <v>3.1361614002167117</v>
      </c>
      <c r="J52" s="1"/>
    </row>
    <row r="53" spans="1:10" x14ac:dyDescent="0.25">
      <c r="A53" s="32"/>
      <c r="B53" s="32">
        <v>39</v>
      </c>
      <c r="C53" s="33">
        <v>208.19</v>
      </c>
      <c r="D53" s="33">
        <v>622.69000000000005</v>
      </c>
      <c r="E53" s="34">
        <f t="shared" si="0"/>
        <v>6612.9032258064781</v>
      </c>
      <c r="F53" s="35">
        <f t="shared" si="1"/>
        <v>619.6250083414086</v>
      </c>
      <c r="G53" s="35">
        <f t="shared" si="2"/>
        <v>6094.5369494826555</v>
      </c>
      <c r="H53" s="36">
        <f t="shared" si="3"/>
        <v>-3.0649916585914525</v>
      </c>
      <c r="I53" s="36">
        <f t="shared" si="4"/>
        <v>9.3941738672351836</v>
      </c>
      <c r="J53" s="1"/>
    </row>
    <row r="54" spans="1:10" x14ac:dyDescent="0.25">
      <c r="A54" s="32"/>
      <c r="B54" s="32">
        <v>40</v>
      </c>
      <c r="C54" s="33">
        <v>213.15</v>
      </c>
      <c r="D54" s="33">
        <v>639.1</v>
      </c>
      <c r="E54" s="34">
        <f t="shared" si="0"/>
        <v>6616.9354838709442</v>
      </c>
      <c r="F54" s="35">
        <f t="shared" si="1"/>
        <v>634.74798862138073</v>
      </c>
      <c r="G54" s="35">
        <f t="shared" si="2"/>
        <v>6101.416182635965</v>
      </c>
      <c r="H54" s="36">
        <f t="shared" si="3"/>
        <v>-4.3520113786192951</v>
      </c>
      <c r="I54" s="36">
        <f t="shared" si="4"/>
        <v>18.940003039631819</v>
      </c>
      <c r="J54" s="1"/>
    </row>
    <row r="55" spans="1:10" x14ac:dyDescent="0.25">
      <c r="A55" s="32"/>
      <c r="B55" s="32">
        <v>41</v>
      </c>
      <c r="C55" s="33">
        <v>218.11</v>
      </c>
      <c r="D55" s="33">
        <v>655.5</v>
      </c>
      <c r="E55" s="34">
        <f t="shared" si="0"/>
        <v>6612.9032258064317</v>
      </c>
      <c r="F55" s="35">
        <f t="shared" si="1"/>
        <v>649.88803902631685</v>
      </c>
      <c r="G55" s="35">
        <f t="shared" si="2"/>
        <v>6108.3031807514326</v>
      </c>
      <c r="H55" s="36">
        <f t="shared" si="3"/>
        <v>-5.6119609736831535</v>
      </c>
      <c r="I55" s="36">
        <f t="shared" si="4"/>
        <v>31.494105970142769</v>
      </c>
      <c r="J55" s="1"/>
    </row>
    <row r="56" spans="1:10" x14ac:dyDescent="0.25">
      <c r="A56" s="32"/>
      <c r="B56" s="32">
        <v>42</v>
      </c>
      <c r="C56" s="33">
        <v>223.06</v>
      </c>
      <c r="D56" s="33">
        <v>671.91</v>
      </c>
      <c r="E56" s="34">
        <f t="shared" si="0"/>
        <v>6630.3030303030328</v>
      </c>
      <c r="F56" s="35">
        <f t="shared" si="1"/>
        <v>665.01460286919917</v>
      </c>
      <c r="G56" s="35">
        <f t="shared" si="2"/>
        <v>6115.184044017612</v>
      </c>
      <c r="H56" s="36">
        <f t="shared" si="3"/>
        <v>-6.8953971308008022</v>
      </c>
      <c r="I56" s="36">
        <f t="shared" si="4"/>
        <v>47.546501591455936</v>
      </c>
      <c r="J56" s="1"/>
    </row>
    <row r="57" spans="1:10" x14ac:dyDescent="0.25">
      <c r="A57" s="32"/>
      <c r="B57" s="32">
        <v>43</v>
      </c>
      <c r="C57" s="33">
        <v>228.02</v>
      </c>
      <c r="D57" s="33">
        <v>688.31</v>
      </c>
      <c r="E57" s="34">
        <f t="shared" si="0"/>
        <v>6612.9032258064317</v>
      </c>
      <c r="F57" s="35">
        <f t="shared" si="1"/>
        <v>680.18881683699317</v>
      </c>
      <c r="G57" s="35">
        <f t="shared" si="2"/>
        <v>6122.0865826621221</v>
      </c>
      <c r="H57" s="36">
        <f t="shared" si="3"/>
        <v>-8.1211831630067763</v>
      </c>
      <c r="I57" s="36">
        <f t="shared" si="4"/>
        <v>65.953615967104753</v>
      </c>
      <c r="J57" s="1"/>
    </row>
    <row r="58" spans="1:10" x14ac:dyDescent="0.25">
      <c r="A58" s="32"/>
      <c r="B58" s="32">
        <v>44</v>
      </c>
      <c r="C58" s="33">
        <v>232.98</v>
      </c>
      <c r="D58" s="33">
        <v>704.71</v>
      </c>
      <c r="E58" s="34">
        <f t="shared" si="0"/>
        <v>6612.9032258065163</v>
      </c>
      <c r="F58" s="35">
        <f t="shared" si="1"/>
        <v>695.38015875998474</v>
      </c>
      <c r="G58" s="35">
        <f t="shared" si="2"/>
        <v>6128.9969125749576</v>
      </c>
      <c r="H58" s="36">
        <f t="shared" si="3"/>
        <v>-9.3298412400152984</v>
      </c>
      <c r="I58" s="36">
        <f t="shared" si="4"/>
        <v>87.045937563890206</v>
      </c>
      <c r="J58" s="1"/>
    </row>
    <row r="59" spans="1:10" x14ac:dyDescent="0.25">
      <c r="A59" s="32"/>
      <c r="B59" s="32">
        <v>45</v>
      </c>
      <c r="C59" s="33">
        <v>237.94</v>
      </c>
      <c r="D59" s="33">
        <v>721.12</v>
      </c>
      <c r="E59" s="34">
        <f t="shared" si="0"/>
        <v>6616.9354838709442</v>
      </c>
      <c r="F59" s="35">
        <f t="shared" si="1"/>
        <v>710.58864797141678</v>
      </c>
      <c r="G59" s="35">
        <f t="shared" si="2"/>
        <v>6135.9150425505413</v>
      </c>
      <c r="H59" s="36">
        <f t="shared" si="3"/>
        <v>-10.531352028583228</v>
      </c>
      <c r="I59" s="36">
        <f t="shared" si="4"/>
        <v>110.90937554994407</v>
      </c>
      <c r="J59" s="1"/>
    </row>
    <row r="60" spans="1:10" x14ac:dyDescent="0.25">
      <c r="A60" s="32"/>
      <c r="B60" s="32">
        <v>46</v>
      </c>
      <c r="C60" s="33">
        <v>242.9</v>
      </c>
      <c r="D60" s="33">
        <v>737.52</v>
      </c>
      <c r="E60" s="34">
        <f t="shared" si="0"/>
        <v>6612.9032258064317</v>
      </c>
      <c r="F60" s="35">
        <f t="shared" si="1"/>
        <v>725.81430382636574</v>
      </c>
      <c r="G60" s="35">
        <f t="shared" si="2"/>
        <v>6142.8409813932285</v>
      </c>
      <c r="H60" s="36">
        <f t="shared" si="3"/>
        <v>-11.705696173634237</v>
      </c>
      <c r="I60" s="36">
        <f t="shared" si="4"/>
        <v>137.02332290943522</v>
      </c>
      <c r="J60" s="1"/>
    </row>
    <row r="61" spans="1:10" x14ac:dyDescent="0.25">
      <c r="A61" s="32"/>
      <c r="B61" s="32">
        <v>47</v>
      </c>
      <c r="C61" s="33">
        <v>247.85</v>
      </c>
      <c r="D61" s="33">
        <v>753.93</v>
      </c>
      <c r="E61" s="34">
        <f t="shared" si="0"/>
        <v>6630.3030303030328</v>
      </c>
      <c r="F61" s="35">
        <f t="shared" si="1"/>
        <v>741.02639686302325</v>
      </c>
      <c r="G61" s="35">
        <f t="shared" si="2"/>
        <v>6149.760750698727</v>
      </c>
      <c r="H61" s="36">
        <f t="shared" si="3"/>
        <v>-12.903603136976699</v>
      </c>
      <c r="I61" s="36">
        <f t="shared" si="4"/>
        <v>166.5029739165949</v>
      </c>
      <c r="J61" s="1"/>
    </row>
    <row r="62" spans="1:10" x14ac:dyDescent="0.25">
      <c r="A62" s="32"/>
      <c r="B62" s="32">
        <v>48</v>
      </c>
      <c r="C62" s="33">
        <v>252.81</v>
      </c>
      <c r="D62" s="33">
        <v>770.33</v>
      </c>
      <c r="E62" s="34">
        <f t="shared" si="0"/>
        <v>6612.9032258064781</v>
      </c>
      <c r="F62" s="35">
        <f t="shared" si="1"/>
        <v>756.28640944974813</v>
      </c>
      <c r="G62" s="35">
        <f t="shared" si="2"/>
        <v>6156.7023179403077</v>
      </c>
      <c r="H62" s="36">
        <f t="shared" si="3"/>
        <v>-14.043590550251906</v>
      </c>
      <c r="I62" s="36">
        <f t="shared" si="4"/>
        <v>197.22243554312465</v>
      </c>
      <c r="J62" s="1"/>
    </row>
    <row r="63" spans="1:10" x14ac:dyDescent="0.25">
      <c r="A63" s="32"/>
      <c r="B63" s="32">
        <v>49</v>
      </c>
      <c r="C63" s="33">
        <v>257.77</v>
      </c>
      <c r="D63" s="33">
        <v>786.74</v>
      </c>
      <c r="E63" s="34">
        <f t="shared" si="0"/>
        <v>6616.9354838709824</v>
      </c>
      <c r="F63" s="35">
        <f t="shared" si="1"/>
        <v>771.56364683720585</v>
      </c>
      <c r="G63" s="35">
        <f t="shared" si="2"/>
        <v>6163.651720503899</v>
      </c>
      <c r="H63" s="36">
        <f t="shared" si="3"/>
        <v>-15.176353162794157</v>
      </c>
      <c r="I63" s="36">
        <f t="shared" si="4"/>
        <v>230.32169532185222</v>
      </c>
      <c r="J63" s="1"/>
    </row>
    <row r="64" spans="1:10" x14ac:dyDescent="0.25">
      <c r="A64" s="32"/>
      <c r="B64" s="32">
        <v>50</v>
      </c>
      <c r="C64" s="33">
        <v>262.73</v>
      </c>
      <c r="D64" s="33">
        <v>803.14</v>
      </c>
      <c r="E64" s="34">
        <f t="shared" si="0"/>
        <v>6612.9032258063935</v>
      </c>
      <c r="F64" s="35">
        <f t="shared" si="1"/>
        <v>786.85812846795727</v>
      </c>
      <c r="G64" s="35">
        <f t="shared" si="2"/>
        <v>6170.608967233652</v>
      </c>
      <c r="H64" s="36">
        <f t="shared" si="3"/>
        <v>-16.281871532042715</v>
      </c>
      <c r="I64" s="36">
        <f t="shared" si="4"/>
        <v>265.09934058594297</v>
      </c>
      <c r="J64" s="1"/>
    </row>
    <row r="65" spans="1:10" x14ac:dyDescent="0.25">
      <c r="A65" s="32"/>
      <c r="B65" s="32">
        <v>51</v>
      </c>
      <c r="C65" s="33">
        <v>267.68</v>
      </c>
      <c r="D65" s="33">
        <v>819.54</v>
      </c>
      <c r="E65" s="34">
        <f t="shared" si="0"/>
        <v>6626.2626262626327</v>
      </c>
      <c r="F65" s="35">
        <f t="shared" si="1"/>
        <v>802.13898597130424</v>
      </c>
      <c r="G65" s="35">
        <f t="shared" si="2"/>
        <v>6177.5600165375545</v>
      </c>
      <c r="H65" s="36">
        <f t="shared" si="3"/>
        <v>-17.401014028695727</v>
      </c>
      <c r="I65" s="36">
        <f t="shared" si="4"/>
        <v>302.79528922686546</v>
      </c>
      <c r="J65" s="1"/>
    </row>
    <row r="66" spans="1:10" x14ac:dyDescent="0.25">
      <c r="A66" s="32"/>
      <c r="B66" s="32">
        <v>52</v>
      </c>
      <c r="C66" s="33">
        <v>272.64</v>
      </c>
      <c r="D66" s="33">
        <v>835.95</v>
      </c>
      <c r="E66" s="34">
        <f t="shared" si="0"/>
        <v>6616.9354838710287</v>
      </c>
      <c r="F66" s="35">
        <f t="shared" si="1"/>
        <v>817.4679796393774</v>
      </c>
      <c r="G66" s="35">
        <f t="shared" si="2"/>
        <v>6184.5329623125308</v>
      </c>
      <c r="H66" s="36">
        <f t="shared" si="3"/>
        <v>-18.482020360622641</v>
      </c>
      <c r="I66" s="36">
        <f t="shared" si="4"/>
        <v>341.58507661046986</v>
      </c>
      <c r="J66" s="1"/>
    </row>
    <row r="67" spans="1:10" x14ac:dyDescent="0.25">
      <c r="A67" s="32"/>
      <c r="B67" s="32">
        <v>53</v>
      </c>
      <c r="C67" s="33">
        <v>277.60000000000002</v>
      </c>
      <c r="D67" s="33">
        <v>852.35</v>
      </c>
      <c r="E67" s="34">
        <f t="shared" si="0"/>
        <v>6612.9032258063935</v>
      </c>
      <c r="F67" s="35">
        <f t="shared" si="1"/>
        <v>832.81427597085553</v>
      </c>
      <c r="G67" s="35">
        <f t="shared" si="2"/>
        <v>6191.5137788281645</v>
      </c>
      <c r="H67" s="36">
        <f t="shared" si="3"/>
        <v>-19.53572402914449</v>
      </c>
      <c r="I67" s="36">
        <f t="shared" si="4"/>
        <v>381.64451334289339</v>
      </c>
      <c r="J67" s="1"/>
    </row>
    <row r="68" spans="1:10" x14ac:dyDescent="0.25">
      <c r="A68" s="32"/>
      <c r="B68" s="32">
        <v>54</v>
      </c>
      <c r="C68" s="33">
        <v>282.56</v>
      </c>
      <c r="D68" s="33">
        <v>868.76</v>
      </c>
      <c r="E68" s="34">
        <f t="shared" si="0"/>
        <v>6616.9354838709824</v>
      </c>
      <c r="F68" s="35">
        <f t="shared" si="1"/>
        <v>848.17789449618635</v>
      </c>
      <c r="G68" s="35">
        <f t="shared" si="2"/>
        <v>6198.5024749685826</v>
      </c>
      <c r="H68" s="36">
        <f t="shared" si="3"/>
        <v>-20.582105503813636</v>
      </c>
      <c r="I68" s="36">
        <f t="shared" si="4"/>
        <v>423.62306697011559</v>
      </c>
      <c r="J68" s="1"/>
    </row>
    <row r="69" spans="1:10" x14ac:dyDescent="0.25">
      <c r="A69" s="32"/>
      <c r="B69" s="32">
        <v>55</v>
      </c>
      <c r="C69" s="33">
        <v>287.51</v>
      </c>
      <c r="D69" s="33">
        <v>885.16</v>
      </c>
      <c r="E69" s="34">
        <f t="shared" si="0"/>
        <v>6626.2626262626327</v>
      </c>
      <c r="F69" s="35">
        <f t="shared" si="1"/>
        <v>863.52782730786078</v>
      </c>
      <c r="G69" s="35">
        <f t="shared" si="2"/>
        <v>6205.4849456684215</v>
      </c>
      <c r="H69" s="36">
        <f t="shared" si="3"/>
        <v>-21.632172692139193</v>
      </c>
      <c r="I69" s="36">
        <f t="shared" si="4"/>
        <v>467.95089538253262</v>
      </c>
      <c r="J69" s="1"/>
    </row>
    <row r="70" spans="1:10" x14ac:dyDescent="0.25">
      <c r="A70" s="32"/>
      <c r="B70" s="32">
        <v>56</v>
      </c>
      <c r="C70" s="33">
        <v>292.47000000000003</v>
      </c>
      <c r="D70" s="33">
        <v>901.56</v>
      </c>
      <c r="E70" s="34">
        <f t="shared" si="0"/>
        <v>6612.9032258063935</v>
      </c>
      <c r="F70" s="35">
        <f t="shared" si="1"/>
        <v>878.92611387809484</v>
      </c>
      <c r="G70" s="35">
        <f t="shared" si="2"/>
        <v>6212.4894118197399</v>
      </c>
      <c r="H70" s="36">
        <f t="shared" si="3"/>
        <v>-22.633886121905107</v>
      </c>
      <c r="I70" s="36">
        <f t="shared" si="4"/>
        <v>512.29280097936862</v>
      </c>
      <c r="J70" s="1"/>
    </row>
    <row r="71" spans="1:10" x14ac:dyDescent="0.25">
      <c r="A71" s="32"/>
      <c r="B71" s="32">
        <v>57</v>
      </c>
      <c r="C71" s="33">
        <v>297.43</v>
      </c>
      <c r="D71" s="33">
        <v>917.97</v>
      </c>
      <c r="E71" s="34">
        <f t="shared" si="0"/>
        <v>6616.9354838710287</v>
      </c>
      <c r="F71" s="35">
        <f t="shared" si="1"/>
        <v>894.34178132637714</v>
      </c>
      <c r="G71" s="35">
        <f t="shared" si="2"/>
        <v>6219.5017842904672</v>
      </c>
      <c r="H71" s="36">
        <f t="shared" si="3"/>
        <v>-23.628218673622882</v>
      </c>
      <c r="I71" s="36">
        <f t="shared" si="4"/>
        <v>558.29271768854107</v>
      </c>
      <c r="J71" s="1"/>
    </row>
    <row r="72" spans="1:10" x14ac:dyDescent="0.25">
      <c r="A72" s="32"/>
      <c r="B72" s="32">
        <v>58</v>
      </c>
      <c r="C72" s="33">
        <v>302.39</v>
      </c>
      <c r="D72" s="33">
        <v>934.37</v>
      </c>
      <c r="E72" s="34">
        <f t="shared" si="0"/>
        <v>6612.9032258064699</v>
      </c>
      <c r="F72" s="35">
        <f t="shared" si="1"/>
        <v>909.77484927144246</v>
      </c>
      <c r="G72" s="35">
        <f t="shared" si="2"/>
        <v>6226.5220720048919</v>
      </c>
      <c r="H72" s="36">
        <f t="shared" si="3"/>
        <v>-24.595150728557542</v>
      </c>
      <c r="I72" s="36">
        <f t="shared" si="4"/>
        <v>604.92143936046455</v>
      </c>
      <c r="J72" s="1"/>
    </row>
    <row r="73" spans="1:10" x14ac:dyDescent="0.25">
      <c r="A73" s="32"/>
      <c r="B73" s="32">
        <v>59</v>
      </c>
      <c r="C73" s="33">
        <v>307.35000000000002</v>
      </c>
      <c r="D73" s="33">
        <v>950.78</v>
      </c>
      <c r="E73" s="34">
        <f t="shared" si="0"/>
        <v>6616.935483870906</v>
      </c>
      <c r="F73" s="35">
        <f t="shared" si="1"/>
        <v>925.22533735417414</v>
      </c>
      <c r="G73" s="35">
        <f t="shared" si="2"/>
        <v>6233.5502838973789</v>
      </c>
      <c r="H73" s="36">
        <f t="shared" si="3"/>
        <v>-25.554662645825829</v>
      </c>
      <c r="I73" s="36">
        <f t="shared" si="4"/>
        <v>653.04078294196597</v>
      </c>
      <c r="J73" s="1"/>
    </row>
    <row r="74" spans="1:10" x14ac:dyDescent="0.25">
      <c r="A74" s="32"/>
      <c r="B74" s="32">
        <v>60</v>
      </c>
      <c r="C74" s="33">
        <v>312.3</v>
      </c>
      <c r="D74" s="33">
        <v>967.18</v>
      </c>
      <c r="E74" s="34">
        <f t="shared" si="0"/>
        <v>6626.2626262626327</v>
      </c>
      <c r="F74" s="35">
        <f t="shared" si="1"/>
        <v>940.66206234096171</v>
      </c>
      <c r="G74" s="35">
        <f t="shared" si="2"/>
        <v>6240.5722351491613</v>
      </c>
      <c r="H74" s="36">
        <f t="shared" si="3"/>
        <v>-26.517937659038239</v>
      </c>
      <c r="I74" s="36">
        <f t="shared" si="4"/>
        <v>703.20101768863844</v>
      </c>
      <c r="J74" s="1"/>
    </row>
    <row r="75" spans="1:10" x14ac:dyDescent="0.25">
      <c r="A75" s="32"/>
      <c r="B75" s="32">
        <v>61</v>
      </c>
      <c r="C75" s="33">
        <v>317.26</v>
      </c>
      <c r="D75" s="33">
        <v>983.58</v>
      </c>
      <c r="E75" s="34">
        <f t="shared" si="0"/>
        <v>6612.9032258065163</v>
      </c>
      <c r="F75" s="35">
        <f t="shared" si="1"/>
        <v>956.14741448997404</v>
      </c>
      <c r="G75" s="35">
        <f t="shared" si="2"/>
        <v>6247.6163062199439</v>
      </c>
      <c r="H75" s="36">
        <f t="shared" si="3"/>
        <v>-27.432585510026001</v>
      </c>
      <c r="I75" s="36">
        <f t="shared" si="4"/>
        <v>752.54674776488855</v>
      </c>
      <c r="J75" s="1"/>
    </row>
    <row r="76" spans="1:10" x14ac:dyDescent="0.25">
      <c r="A76" s="32"/>
      <c r="B76" s="32">
        <v>62</v>
      </c>
      <c r="C76" s="33">
        <v>322.22000000000003</v>
      </c>
      <c r="D76" s="33">
        <v>999.99</v>
      </c>
      <c r="E76" s="34">
        <f t="shared" si="0"/>
        <v>6616.935483870906</v>
      </c>
      <c r="F76" s="35">
        <f t="shared" si="1"/>
        <v>971.65024579265992</v>
      </c>
      <c r="G76" s="35">
        <f t="shared" si="2"/>
        <v>6254.6683283143484</v>
      </c>
      <c r="H76" s="36">
        <f t="shared" si="3"/>
        <v>-28.339754207340093</v>
      </c>
      <c r="I76" s="36">
        <f t="shared" si="4"/>
        <v>803.14166853245047</v>
      </c>
      <c r="J76" s="1"/>
    </row>
    <row r="77" spans="1:10" x14ac:dyDescent="0.25">
      <c r="A77" s="32"/>
      <c r="B77" s="32">
        <v>63</v>
      </c>
      <c r="C77" s="33">
        <v>327.18</v>
      </c>
      <c r="D77" s="33">
        <v>1016.39</v>
      </c>
      <c r="E77" s="34">
        <f t="shared" si="0"/>
        <v>6612.9032258064699</v>
      </c>
      <c r="F77" s="35">
        <f t="shared" si="1"/>
        <v>987.17057597867802</v>
      </c>
      <c r="G77" s="35">
        <f t="shared" si="2"/>
        <v>6261.7283104071221</v>
      </c>
      <c r="H77" s="36">
        <f t="shared" si="3"/>
        <v>-29.21942402132197</v>
      </c>
      <c r="I77" s="36">
        <f t="shared" si="4"/>
        <v>853.77474013780738</v>
      </c>
      <c r="J77" s="1"/>
    </row>
    <row r="78" spans="1:10" x14ac:dyDescent="0.25">
      <c r="A78" s="32"/>
      <c r="B78" s="32">
        <v>64</v>
      </c>
      <c r="C78" s="37">
        <v>332.13</v>
      </c>
      <c r="D78" s="37">
        <v>1032.8</v>
      </c>
      <c r="E78" s="34">
        <f t="shared" si="0"/>
        <v>6630.3030303030328</v>
      </c>
      <c r="F78" s="35">
        <f t="shared" si="1"/>
        <v>1002.6770808543065</v>
      </c>
      <c r="G78" s="35">
        <f t="shared" si="2"/>
        <v>6268.7820035587065</v>
      </c>
      <c r="H78" s="36">
        <f t="shared" si="3"/>
        <v>-30.122919145693459</v>
      </c>
      <c r="I78" s="36">
        <f t="shared" si="4"/>
        <v>907.39025785798549</v>
      </c>
      <c r="J78" s="1"/>
    </row>
    <row r="79" spans="1:10" x14ac:dyDescent="0.25">
      <c r="A79" s="32"/>
      <c r="B79" s="32">
        <v>65</v>
      </c>
      <c r="C79" s="37">
        <v>337.09</v>
      </c>
      <c r="D79" s="37">
        <v>1049.2</v>
      </c>
      <c r="E79" s="34">
        <f t="shared" ref="E79:E142" si="5">IF(C79="","",2*(D79-D78)/((C79-C78)/1000))</f>
        <v>6612.9032258065163</v>
      </c>
      <c r="F79" s="35">
        <f t="shared" ref="F79:F142" si="6">IF(C79="","",F$7+(F$9/F$10)*(EXP(F$10*(C79-F$8)/2000)-1))</f>
        <v>1018.2324327054952</v>
      </c>
      <c r="G79" s="35">
        <f t="shared" ref="G79:G142" si="7">IF(E79="","",F$9+(F79-F$7)*F$10)</f>
        <v>6275.8579165193159</v>
      </c>
      <c r="H79" s="36">
        <f t="shared" ref="H79:H142" si="8">IF(F79="","",F79-D79)</f>
        <v>-30.967567294504875</v>
      </c>
      <c r="I79" s="36">
        <f t="shared" ref="I79:I142" si="9">IF(H79="","",H79^2)</f>
        <v>958.99022413968794</v>
      </c>
      <c r="J79" s="1"/>
    </row>
    <row r="80" spans="1:10" x14ac:dyDescent="0.25">
      <c r="A80" s="32"/>
      <c r="B80" s="32">
        <v>66</v>
      </c>
      <c r="C80" s="37">
        <v>342.05</v>
      </c>
      <c r="D80" s="37">
        <v>1065.5999999999999</v>
      </c>
      <c r="E80" s="34">
        <f t="shared" si="5"/>
        <v>6612.903225806348</v>
      </c>
      <c r="F80" s="35">
        <f t="shared" si="6"/>
        <v>1033.8053427227999</v>
      </c>
      <c r="G80" s="35">
        <f t="shared" si="7"/>
        <v>6282.9418164452072</v>
      </c>
      <c r="H80" s="36">
        <f t="shared" si="8"/>
        <v>-31.794657277200031</v>
      </c>
      <c r="I80" s="36">
        <f t="shared" si="9"/>
        <v>1010.9002313746089</v>
      </c>
      <c r="J80" s="1"/>
    </row>
    <row r="81" spans="1:22" x14ac:dyDescent="0.25">
      <c r="A81" s="32"/>
      <c r="B81" s="32">
        <v>67</v>
      </c>
      <c r="C81" s="37">
        <v>347.01</v>
      </c>
      <c r="D81" s="37">
        <v>1082.01</v>
      </c>
      <c r="E81" s="34">
        <f t="shared" si="5"/>
        <v>6616.9354838710287</v>
      </c>
      <c r="F81" s="35">
        <f t="shared" si="6"/>
        <v>1049.3958307250746</v>
      </c>
      <c r="G81" s="35">
        <f t="shared" si="7"/>
        <v>6290.033712351702</v>
      </c>
      <c r="H81" s="36">
        <f t="shared" si="8"/>
        <v>-32.614169274925416</v>
      </c>
      <c r="I81" s="36">
        <f t="shared" si="9"/>
        <v>1063.6840374934891</v>
      </c>
      <c r="J81" s="1"/>
    </row>
    <row r="82" spans="1:22" x14ac:dyDescent="0.25">
      <c r="A82" s="32"/>
      <c r="B82" s="32">
        <v>68</v>
      </c>
      <c r="C82" s="37">
        <v>351.96</v>
      </c>
      <c r="D82" s="37">
        <v>1098.4100000000001</v>
      </c>
      <c r="E82" s="34">
        <f t="shared" si="5"/>
        <v>6626.2626262626791</v>
      </c>
      <c r="F82" s="35">
        <f t="shared" si="6"/>
        <v>1064.9724309212781</v>
      </c>
      <c r="G82" s="35">
        <f t="shared" si="7"/>
        <v>6297.1192908885914</v>
      </c>
      <c r="H82" s="36">
        <f t="shared" si="8"/>
        <v>-33.437569078721936</v>
      </c>
      <c r="I82" s="36">
        <f t="shared" si="9"/>
        <v>1118.0710258943013</v>
      </c>
      <c r="J82" s="1"/>
    </row>
    <row r="83" spans="1:22" x14ac:dyDescent="0.25">
      <c r="A83" s="32"/>
      <c r="B83" s="32">
        <v>69</v>
      </c>
      <c r="C83" s="37">
        <v>356.92</v>
      </c>
      <c r="D83" s="37">
        <v>1114.82</v>
      </c>
      <c r="E83" s="34">
        <f t="shared" si="5"/>
        <v>6616.9354838708605</v>
      </c>
      <c r="F83" s="35">
        <f t="shared" si="6"/>
        <v>1080.5980989000111</v>
      </c>
      <c r="G83" s="35">
        <f t="shared" si="7"/>
        <v>6304.2271896765224</v>
      </c>
      <c r="H83" s="36">
        <f t="shared" si="8"/>
        <v>-34.221901099988827</v>
      </c>
      <c r="I83" s="36">
        <f t="shared" si="9"/>
        <v>1171.1385148974164</v>
      </c>
      <c r="J83" s="1"/>
    </row>
    <row r="84" spans="1:22" x14ac:dyDescent="0.25">
      <c r="A84" s="32"/>
      <c r="B84" s="32">
        <v>70</v>
      </c>
      <c r="C84" s="37">
        <v>361.88</v>
      </c>
      <c r="D84" s="37">
        <v>1131.22</v>
      </c>
      <c r="E84" s="34">
        <f t="shared" si="5"/>
        <v>6612.9032258065163</v>
      </c>
      <c r="F84" s="35">
        <f t="shared" si="6"/>
        <v>1096.2414044144775</v>
      </c>
      <c r="G84" s="35">
        <f t="shared" si="7"/>
        <v>6311.343111533869</v>
      </c>
      <c r="H84" s="36">
        <f t="shared" si="8"/>
        <v>-34.978595585522498</v>
      </c>
      <c r="I84" s="36">
        <f t="shared" si="9"/>
        <v>1223.502149135534</v>
      </c>
      <c r="J84" s="1"/>
    </row>
    <row r="85" spans="1:22" x14ac:dyDescent="0.25">
      <c r="A85" s="32"/>
      <c r="B85" s="32">
        <v>71</v>
      </c>
      <c r="C85" s="37">
        <v>366.84</v>
      </c>
      <c r="D85" s="37">
        <v>1147.6199999999999</v>
      </c>
      <c r="E85" s="34">
        <f t="shared" si="5"/>
        <v>6612.9032258064244</v>
      </c>
      <c r="F85" s="35">
        <f t="shared" si="6"/>
        <v>1111.9023673731092</v>
      </c>
      <c r="G85" s="35">
        <f t="shared" si="7"/>
        <v>6318.4670655166992</v>
      </c>
      <c r="H85" s="36">
        <f t="shared" si="8"/>
        <v>-35.717632626890691</v>
      </c>
      <c r="I85" s="36">
        <f t="shared" si="9"/>
        <v>1275.7492804695264</v>
      </c>
      <c r="J85" s="1"/>
    </row>
    <row r="86" spans="1:22" x14ac:dyDescent="0.25">
      <c r="A86" s="32"/>
      <c r="B86" s="32">
        <v>72</v>
      </c>
      <c r="C86" s="37">
        <v>371.8</v>
      </c>
      <c r="D86" s="37">
        <v>1164.03</v>
      </c>
      <c r="E86" s="34">
        <f t="shared" si="5"/>
        <v>6616.9354838709523</v>
      </c>
      <c r="F86" s="35">
        <f t="shared" si="6"/>
        <v>1127.5810077068243</v>
      </c>
      <c r="G86" s="35">
        <f t="shared" si="7"/>
        <v>6325.599060691311</v>
      </c>
      <c r="H86" s="36">
        <f t="shared" si="8"/>
        <v>-36.448992293175706</v>
      </c>
      <c r="I86" s="36">
        <f t="shared" si="9"/>
        <v>1328.5290391879821</v>
      </c>
      <c r="J86" s="1"/>
    </row>
    <row r="87" spans="1:22" x14ac:dyDescent="0.25">
      <c r="A87" s="32"/>
      <c r="B87" s="32">
        <v>73</v>
      </c>
      <c r="C87" s="37">
        <v>376.75</v>
      </c>
      <c r="D87" s="37">
        <v>1180.43</v>
      </c>
      <c r="E87" s="34">
        <f t="shared" si="5"/>
        <v>6626.2626262626791</v>
      </c>
      <c r="F87" s="35">
        <f t="shared" si="6"/>
        <v>1143.2456817095033</v>
      </c>
      <c r="G87" s="35">
        <f t="shared" si="7"/>
        <v>6332.724702776406</v>
      </c>
      <c r="H87" s="36">
        <f t="shared" si="8"/>
        <v>-37.184318290496776</v>
      </c>
      <c r="I87" s="36">
        <f t="shared" si="9"/>
        <v>1382.673526728973</v>
      </c>
      <c r="J87" s="1"/>
    </row>
    <row r="88" spans="1:22" x14ac:dyDescent="0.25">
      <c r="A88" s="32"/>
      <c r="B88" s="32">
        <v>74</v>
      </c>
      <c r="C88" s="37">
        <v>381.71</v>
      </c>
      <c r="D88" s="37">
        <v>1196.8399999999999</v>
      </c>
      <c r="E88" s="34">
        <f t="shared" si="5"/>
        <v>6616.9354838709369</v>
      </c>
      <c r="F88" s="35">
        <f t="shared" si="6"/>
        <v>1158.9597009356426</v>
      </c>
      <c r="G88" s="35">
        <f t="shared" si="7"/>
        <v>6339.8727913165567</v>
      </c>
      <c r="H88" s="36">
        <f t="shared" si="8"/>
        <v>-37.880299064357359</v>
      </c>
      <c r="I88" s="36">
        <f t="shared" si="9"/>
        <v>1434.917057205153</v>
      </c>
      <c r="J88" s="1"/>
    </row>
    <row r="89" spans="1:22" x14ac:dyDescent="0.25">
      <c r="A89" s="32"/>
      <c r="B89" s="32">
        <v>75</v>
      </c>
      <c r="C89" s="37">
        <v>386.67</v>
      </c>
      <c r="D89" s="37">
        <v>1213.24</v>
      </c>
      <c r="E89" s="34">
        <f t="shared" si="5"/>
        <v>6612.9032258064399</v>
      </c>
      <c r="F89" s="35">
        <f t="shared" si="6"/>
        <v>1174.6914574243406</v>
      </c>
      <c r="G89" s="35">
        <f t="shared" si="7"/>
        <v>6347.0289482904691</v>
      </c>
      <c r="H89" s="36">
        <f t="shared" si="8"/>
        <v>-38.54854257565944</v>
      </c>
      <c r="I89" s="36">
        <f t="shared" si="9"/>
        <v>1485.9901347074285</v>
      </c>
      <c r="J89" s="1"/>
    </row>
    <row r="90" spans="1:22" x14ac:dyDescent="0.25">
      <c r="A90" s="32"/>
      <c r="B90" s="32">
        <v>76</v>
      </c>
      <c r="C90" s="37">
        <v>391.63</v>
      </c>
      <c r="D90" s="37">
        <v>1229.6400000000001</v>
      </c>
      <c r="E90" s="34">
        <f t="shared" si="5"/>
        <v>6612.9032258065163</v>
      </c>
      <c r="F90" s="35">
        <f t="shared" si="6"/>
        <v>1190.4409711965984</v>
      </c>
      <c r="G90" s="35">
        <f t="shared" si="7"/>
        <v>6354.1931828054148</v>
      </c>
      <c r="H90" s="36">
        <f t="shared" si="8"/>
        <v>-39.199028803401688</v>
      </c>
      <c r="I90" s="36">
        <f t="shared" si="9"/>
        <v>1536.5638591299153</v>
      </c>
      <c r="J90" s="1"/>
    </row>
    <row r="91" spans="1:22" x14ac:dyDescent="0.25">
      <c r="A91" s="32"/>
      <c r="B91" s="32">
        <v>77</v>
      </c>
      <c r="C91" s="37">
        <v>396.58</v>
      </c>
      <c r="D91" s="37">
        <v>1246.05</v>
      </c>
      <c r="E91" s="34">
        <f t="shared" si="5"/>
        <v>6630.3030303029873</v>
      </c>
      <c r="F91" s="35">
        <f t="shared" si="6"/>
        <v>1206.1764555046761</v>
      </c>
      <c r="G91" s="35">
        <f t="shared" si="7"/>
        <v>6361.3510355124554</v>
      </c>
      <c r="H91" s="36">
        <f t="shared" si="8"/>
        <v>-39.873544495323813</v>
      </c>
      <c r="I91" s="36">
        <f t="shared" si="9"/>
        <v>1589.8995506205679</v>
      </c>
      <c r="J91" s="1"/>
      <c r="M91" s="38"/>
    </row>
    <row r="92" spans="1:22" x14ac:dyDescent="0.25">
      <c r="A92" s="32"/>
      <c r="B92" s="32">
        <v>78</v>
      </c>
      <c r="C92" s="37">
        <v>401.54</v>
      </c>
      <c r="D92" s="37">
        <v>1262.45</v>
      </c>
      <c r="E92" s="34">
        <f t="shared" si="5"/>
        <v>6612.9032258064399</v>
      </c>
      <c r="F92" s="35">
        <f t="shared" si="6"/>
        <v>1221.9615080954593</v>
      </c>
      <c r="G92" s="35">
        <f t="shared" si="7"/>
        <v>6368.5314361410974</v>
      </c>
      <c r="H92" s="36">
        <f t="shared" si="8"/>
        <v>-40.488491904540751</v>
      </c>
      <c r="I92" s="36">
        <f t="shared" si="9"/>
        <v>1639.3179767040619</v>
      </c>
      <c r="J92" s="1"/>
    </row>
    <row r="93" spans="1:22" x14ac:dyDescent="0.25">
      <c r="A93" s="32"/>
      <c r="B93" s="32">
        <v>79</v>
      </c>
      <c r="C93" s="37">
        <v>406.5</v>
      </c>
      <c r="D93" s="37">
        <v>1278.8599999999999</v>
      </c>
      <c r="E93" s="34">
        <f t="shared" si="5"/>
        <v>6616.9354838709369</v>
      </c>
      <c r="F93" s="35">
        <f t="shared" si="6"/>
        <v>1237.764378127993</v>
      </c>
      <c r="G93" s="35">
        <f t="shared" si="7"/>
        <v>6375.7199416758976</v>
      </c>
      <c r="H93" s="36">
        <f t="shared" si="8"/>
        <v>-41.095621872006859</v>
      </c>
      <c r="I93" s="36">
        <f t="shared" si="9"/>
        <v>1688.8501370469685</v>
      </c>
      <c r="J93" s="1"/>
    </row>
    <row r="94" spans="1:22" x14ac:dyDescent="0.25">
      <c r="A94" s="32"/>
      <c r="B94" s="32">
        <v>80</v>
      </c>
      <c r="C94" s="37">
        <v>411.46</v>
      </c>
      <c r="D94" s="37">
        <v>1295.26</v>
      </c>
      <c r="E94" s="34">
        <f t="shared" si="5"/>
        <v>6612.9032258065163</v>
      </c>
      <c r="F94" s="35">
        <f t="shared" si="6"/>
        <v>1253.5850857137871</v>
      </c>
      <c r="G94" s="35">
        <f t="shared" si="7"/>
        <v>6382.9165612653014</v>
      </c>
      <c r="H94" s="36">
        <f t="shared" si="8"/>
        <v>-41.674914286212925</v>
      </c>
      <c r="I94" s="36">
        <f t="shared" si="9"/>
        <v>1736.7984807631942</v>
      </c>
      <c r="J94" s="1"/>
    </row>
    <row r="95" spans="1:22" x14ac:dyDescent="0.25">
      <c r="A95" s="32"/>
      <c r="B95" s="32">
        <v>81</v>
      </c>
      <c r="C95" s="37">
        <v>416.41</v>
      </c>
      <c r="D95" s="37">
        <v>1311.66</v>
      </c>
      <c r="E95" s="34">
        <f t="shared" si="5"/>
        <v>6626.2626262626018</v>
      </c>
      <c r="F95" s="35">
        <f t="shared" si="6"/>
        <v>1269.3917004168725</v>
      </c>
      <c r="G95" s="35">
        <f t="shared" si="7"/>
        <v>6390.1067701985939</v>
      </c>
      <c r="H95" s="36">
        <f t="shared" si="8"/>
        <v>-42.2682995831276</v>
      </c>
      <c r="I95" s="36">
        <f t="shared" si="9"/>
        <v>1786.6091496490249</v>
      </c>
      <c r="J95" s="1"/>
      <c r="N95" s="39"/>
      <c r="O95" s="39"/>
      <c r="P95" s="39"/>
      <c r="Q95" s="39"/>
      <c r="R95" s="39"/>
      <c r="S95" s="39"/>
      <c r="T95" s="39"/>
      <c r="U95" s="39"/>
      <c r="V95" s="39"/>
    </row>
    <row r="96" spans="1:22" x14ac:dyDescent="0.25">
      <c r="A96" s="32"/>
      <c r="B96" s="32">
        <v>82</v>
      </c>
      <c r="C96" s="37">
        <v>421.37</v>
      </c>
      <c r="D96" s="37">
        <v>1328.07</v>
      </c>
      <c r="E96" s="34">
        <f t="shared" si="5"/>
        <v>6616.9354838709369</v>
      </c>
      <c r="F96" s="35">
        <f t="shared" si="6"/>
        <v>1285.2481074702141</v>
      </c>
      <c r="G96" s="35">
        <f t="shared" si="7"/>
        <v>6397.3196289786974</v>
      </c>
      <c r="H96" s="36">
        <f t="shared" si="8"/>
        <v>-42.821892529785828</v>
      </c>
      <c r="I96" s="36">
        <f t="shared" si="9"/>
        <v>1833.7144798325273</v>
      </c>
      <c r="J96" s="1"/>
      <c r="N96" s="39"/>
      <c r="O96" s="39"/>
      <c r="P96" s="39"/>
      <c r="Q96" s="39"/>
      <c r="R96" s="39"/>
      <c r="S96" s="39"/>
      <c r="T96" s="39"/>
      <c r="U96" s="39"/>
      <c r="V96" s="39"/>
    </row>
    <row r="97" spans="1:10" x14ac:dyDescent="0.25">
      <c r="A97" s="32"/>
      <c r="B97" s="32">
        <v>83</v>
      </c>
      <c r="C97" s="37">
        <v>426.33</v>
      </c>
      <c r="D97" s="37">
        <v>1344.47</v>
      </c>
      <c r="E97" s="34">
        <f t="shared" si="5"/>
        <v>6612.9032258065163</v>
      </c>
      <c r="F97" s="35">
        <f t="shared" si="6"/>
        <v>1301.1224125069477</v>
      </c>
      <c r="G97" s="35">
        <f t="shared" si="7"/>
        <v>6404.5406293022297</v>
      </c>
      <c r="H97" s="36">
        <f t="shared" si="8"/>
        <v>-43.347587493052288</v>
      </c>
      <c r="I97" s="36">
        <f t="shared" si="9"/>
        <v>1879.013341467823</v>
      </c>
      <c r="J97" s="1"/>
    </row>
    <row r="98" spans="1:10" x14ac:dyDescent="0.25">
      <c r="A98" s="32"/>
      <c r="B98" s="32">
        <v>84</v>
      </c>
      <c r="C98" s="37">
        <v>431.29</v>
      </c>
      <c r="D98" s="37">
        <v>1360.88</v>
      </c>
      <c r="E98" s="34">
        <f t="shared" si="5"/>
        <v>6616.9354838709523</v>
      </c>
      <c r="F98" s="35">
        <f t="shared" si="6"/>
        <v>1317.0146357294921</v>
      </c>
      <c r="G98" s="35">
        <f t="shared" si="7"/>
        <v>6411.7697803589899</v>
      </c>
      <c r="H98" s="36">
        <f t="shared" si="8"/>
        <v>-43.865364270508053</v>
      </c>
      <c r="I98" s="36">
        <f t="shared" si="9"/>
        <v>1924.1701825843645</v>
      </c>
      <c r="J98" s="1"/>
    </row>
    <row r="99" spans="1:10" x14ac:dyDescent="0.25">
      <c r="A99" s="32"/>
      <c r="B99" s="32">
        <v>85</v>
      </c>
      <c r="C99" s="37">
        <v>436.24</v>
      </c>
      <c r="D99" s="37">
        <v>1377.28</v>
      </c>
      <c r="E99" s="34">
        <f t="shared" si="5"/>
        <v>6626.2626262625872</v>
      </c>
      <c r="F99" s="35">
        <f t="shared" si="6"/>
        <v>1332.8927023641152</v>
      </c>
      <c r="G99" s="35">
        <f t="shared" si="7"/>
        <v>6418.9924917810249</v>
      </c>
      <c r="H99" s="36">
        <f t="shared" si="8"/>
        <v>-44.387297635884806</v>
      </c>
      <c r="I99" s="36">
        <f t="shared" si="9"/>
        <v>1970.232191416625</v>
      </c>
      <c r="J99" s="1"/>
    </row>
    <row r="100" spans="1:10" x14ac:dyDescent="0.25">
      <c r="A100" s="32"/>
      <c r="B100" s="32">
        <v>86</v>
      </c>
      <c r="C100" s="37">
        <v>441.2</v>
      </c>
      <c r="D100" s="37">
        <v>1393.68</v>
      </c>
      <c r="E100" s="34">
        <f t="shared" si="5"/>
        <v>6612.9032258065163</v>
      </c>
      <c r="F100" s="35">
        <f t="shared" si="6"/>
        <v>1348.8207864294254</v>
      </c>
      <c r="G100" s="35">
        <f t="shared" si="7"/>
        <v>6426.2379554358249</v>
      </c>
      <c r="H100" s="36">
        <f t="shared" si="8"/>
        <v>-44.859213570574639</v>
      </c>
      <c r="I100" s="36">
        <f t="shared" si="9"/>
        <v>2012.3490421704278</v>
      </c>
      <c r="J100" s="1"/>
    </row>
    <row r="101" spans="1:10" x14ac:dyDescent="0.25">
      <c r="A101" s="32"/>
      <c r="B101" s="32">
        <v>87</v>
      </c>
      <c r="C101" s="37">
        <v>446.16</v>
      </c>
      <c r="D101" s="37">
        <v>1410.09</v>
      </c>
      <c r="E101" s="34">
        <f t="shared" si="5"/>
        <v>6616.9354838708605</v>
      </c>
      <c r="F101" s="35">
        <f t="shared" si="6"/>
        <v>1364.7668493838439</v>
      </c>
      <c r="G101" s="35">
        <f t="shared" si="7"/>
        <v>6433.4915974369369</v>
      </c>
      <c r="H101" s="36">
        <f t="shared" si="8"/>
        <v>-45.323150616155999</v>
      </c>
      <c r="I101" s="36">
        <f t="shared" si="9"/>
        <v>2054.1879817747617</v>
      </c>
      <c r="J101" s="1"/>
    </row>
    <row r="102" spans="1:10" x14ac:dyDescent="0.25">
      <c r="A102" s="32"/>
      <c r="B102" s="32">
        <v>88</v>
      </c>
      <c r="C102" s="37">
        <v>451.12</v>
      </c>
      <c r="D102" s="37">
        <v>1426.49</v>
      </c>
      <c r="E102" s="34">
        <f t="shared" si="5"/>
        <v>6612.9032258065163</v>
      </c>
      <c r="F102" s="35">
        <f t="shared" si="6"/>
        <v>1380.7309115211103</v>
      </c>
      <c r="G102" s="35">
        <f t="shared" si="7"/>
        <v>6440.7534270157021</v>
      </c>
      <c r="H102" s="36">
        <f t="shared" si="8"/>
        <v>-45.75908847888968</v>
      </c>
      <c r="I102" s="36">
        <f t="shared" si="9"/>
        <v>2093.8941784188542</v>
      </c>
      <c r="J102" s="1"/>
    </row>
    <row r="103" spans="1:10" x14ac:dyDescent="0.25">
      <c r="A103" s="32"/>
      <c r="B103" s="32">
        <v>89</v>
      </c>
      <c r="C103" s="37">
        <v>456.08</v>
      </c>
      <c r="D103" s="37">
        <v>1442.9</v>
      </c>
      <c r="E103" s="34">
        <f t="shared" si="5"/>
        <v>6616.9354838710287</v>
      </c>
      <c r="F103" s="35">
        <f t="shared" si="6"/>
        <v>1396.7129931578777</v>
      </c>
      <c r="G103" s="35">
        <f t="shared" si="7"/>
        <v>6448.0234534138826</v>
      </c>
      <c r="H103" s="36">
        <f t="shared" si="8"/>
        <v>-46.1870068421224</v>
      </c>
      <c r="I103" s="36">
        <f t="shared" si="9"/>
        <v>2133.2396010342613</v>
      </c>
      <c r="J103" s="1"/>
    </row>
    <row r="104" spans="1:10" x14ac:dyDescent="0.25">
      <c r="A104" s="32"/>
      <c r="B104" s="32">
        <v>90</v>
      </c>
      <c r="C104" s="37">
        <v>461.03</v>
      </c>
      <c r="D104" s="37">
        <v>1459.3</v>
      </c>
      <c r="E104" s="34">
        <f t="shared" si="5"/>
        <v>6626.2626262625872</v>
      </c>
      <c r="F104" s="35">
        <f t="shared" si="6"/>
        <v>1412.6808381620058</v>
      </c>
      <c r="G104" s="35">
        <f t="shared" si="7"/>
        <v>6455.2870037661087</v>
      </c>
      <c r="H104" s="36">
        <f t="shared" si="8"/>
        <v>-46.61916183799417</v>
      </c>
      <c r="I104" s="36">
        <f t="shared" si="9"/>
        <v>2173.3462504770919</v>
      </c>
      <c r="J104" s="1"/>
    </row>
    <row r="105" spans="1:10" x14ac:dyDescent="0.25">
      <c r="A105" s="32"/>
      <c r="B105" s="32">
        <v>91</v>
      </c>
      <c r="C105" s="37">
        <v>465.99</v>
      </c>
      <c r="D105" s="37">
        <v>1475.71</v>
      </c>
      <c r="E105" s="34">
        <f t="shared" si="5"/>
        <v>6616.9354838709523</v>
      </c>
      <c r="F105" s="35">
        <f t="shared" si="6"/>
        <v>1428.6989834072835</v>
      </c>
      <c r="G105" s="35">
        <f t="shared" si="7"/>
        <v>6462.5734349976419</v>
      </c>
      <c r="H105" s="36">
        <f t="shared" si="8"/>
        <v>-47.011016592716487</v>
      </c>
      <c r="I105" s="36">
        <f t="shared" si="9"/>
        <v>2210.0356810806647</v>
      </c>
      <c r="J105" s="1"/>
    </row>
    <row r="106" spans="1:10" x14ac:dyDescent="0.25">
      <c r="A106" s="32"/>
      <c r="B106" s="32">
        <v>92</v>
      </c>
      <c r="C106" s="37">
        <v>470.95</v>
      </c>
      <c r="D106" s="37">
        <v>1492.11</v>
      </c>
      <c r="E106" s="34">
        <f t="shared" si="5"/>
        <v>6612.9032258064244</v>
      </c>
      <c r="F106" s="35">
        <f t="shared" si="6"/>
        <v>1444.735209198587</v>
      </c>
      <c r="G106" s="35">
        <f t="shared" si="7"/>
        <v>6469.8680908178048</v>
      </c>
      <c r="H106" s="36">
        <f t="shared" si="8"/>
        <v>-47.374790801412928</v>
      </c>
      <c r="I106" s="36">
        <f t="shared" si="9"/>
        <v>2244.3708034776391</v>
      </c>
      <c r="J106" s="1"/>
    </row>
    <row r="107" spans="1:10" x14ac:dyDescent="0.25">
      <c r="A107" s="32"/>
      <c r="B107" s="32">
        <v>93</v>
      </c>
      <c r="C107" s="37">
        <v>475.91</v>
      </c>
      <c r="D107" s="37">
        <v>1508.51</v>
      </c>
      <c r="E107" s="34">
        <f t="shared" si="5"/>
        <v>6612.9032258064399</v>
      </c>
      <c r="F107" s="35">
        <f t="shared" si="6"/>
        <v>1460.7895359444062</v>
      </c>
      <c r="G107" s="35">
        <f t="shared" si="7"/>
        <v>6477.1709805101336</v>
      </c>
      <c r="H107" s="36">
        <f t="shared" si="8"/>
        <v>-47.720464055593766</v>
      </c>
      <c r="I107" s="36">
        <f t="shared" si="9"/>
        <v>2277.2426896812167</v>
      </c>
      <c r="J107" s="1"/>
    </row>
    <row r="108" spans="1:10" x14ac:dyDescent="0.25">
      <c r="A108" s="32"/>
      <c r="B108" s="32">
        <v>94</v>
      </c>
      <c r="C108" s="37">
        <v>480.86</v>
      </c>
      <c r="D108" s="37">
        <v>1524.92</v>
      </c>
      <c r="E108" s="34">
        <f t="shared" si="5"/>
        <v>6630.3030303030791</v>
      </c>
      <c r="F108" s="35">
        <f t="shared" si="6"/>
        <v>1476.8295617025713</v>
      </c>
      <c r="G108" s="35">
        <f t="shared" si="7"/>
        <v>6484.46736488231</v>
      </c>
      <c r="H108" s="36">
        <f t="shared" si="8"/>
        <v>-48.090438297428818</v>
      </c>
      <c r="I108" s="36">
        <f t="shared" si="9"/>
        <v>2312.6902556388086</v>
      </c>
      <c r="J108" s="1"/>
    </row>
    <row r="109" spans="1:10" x14ac:dyDescent="0.25">
      <c r="A109" s="32"/>
      <c r="B109" s="32">
        <v>95</v>
      </c>
      <c r="C109" s="37">
        <v>485.82</v>
      </c>
      <c r="D109" s="37">
        <v>1541.32</v>
      </c>
      <c r="E109" s="34">
        <f t="shared" si="5"/>
        <v>6612.9032258064244</v>
      </c>
      <c r="F109" s="35">
        <f t="shared" si="6"/>
        <v>1492.9201150781771</v>
      </c>
      <c r="G109" s="35">
        <f t="shared" si="7"/>
        <v>6491.7867335641004</v>
      </c>
      <c r="H109" s="36">
        <f t="shared" si="8"/>
        <v>-48.399884921822832</v>
      </c>
      <c r="I109" s="36">
        <f t="shared" si="9"/>
        <v>2342.5488604456932</v>
      </c>
      <c r="J109" s="1"/>
    </row>
    <row r="110" spans="1:10" x14ac:dyDescent="0.25">
      <c r="A110" s="32"/>
      <c r="B110" s="32">
        <v>96</v>
      </c>
      <c r="C110" s="37">
        <v>490.78</v>
      </c>
      <c r="D110" s="37">
        <v>1557.73</v>
      </c>
      <c r="E110" s="34">
        <f t="shared" si="5"/>
        <v>6616.9354838710287</v>
      </c>
      <c r="F110" s="35">
        <f t="shared" si="6"/>
        <v>1509.0288307307762</v>
      </c>
      <c r="G110" s="35">
        <f t="shared" si="7"/>
        <v>6499.1143640128003</v>
      </c>
      <c r="H110" s="36">
        <f t="shared" si="8"/>
        <v>-48.701169269223783</v>
      </c>
      <c r="I110" s="36">
        <f t="shared" si="9"/>
        <v>2371.8038881895868</v>
      </c>
      <c r="J110" s="1"/>
    </row>
    <row r="111" spans="1:10" x14ac:dyDescent="0.25">
      <c r="A111" s="32"/>
      <c r="B111" s="32">
        <v>97</v>
      </c>
      <c r="C111" s="37">
        <v>495.74</v>
      </c>
      <c r="D111" s="37">
        <v>1574.13</v>
      </c>
      <c r="E111" s="34">
        <f t="shared" si="5"/>
        <v>6612.9032258064399</v>
      </c>
      <c r="F111" s="35">
        <f t="shared" si="6"/>
        <v>1525.155729161115</v>
      </c>
      <c r="G111" s="35">
        <f t="shared" si="7"/>
        <v>6506.4502655539118</v>
      </c>
      <c r="H111" s="36">
        <f t="shared" si="8"/>
        <v>-48.974270838885104</v>
      </c>
      <c r="I111" s="36">
        <f t="shared" si="9"/>
        <v>2398.4792042004719</v>
      </c>
      <c r="J111" s="1"/>
    </row>
    <row r="112" spans="1:10" x14ac:dyDescent="0.25">
      <c r="A112" s="32"/>
      <c r="B112" s="32">
        <v>98</v>
      </c>
      <c r="C112" s="37">
        <v>500.69</v>
      </c>
      <c r="D112" s="37">
        <v>1590.53</v>
      </c>
      <c r="E112" s="34">
        <f t="shared" si="5"/>
        <v>6626.2626262625872</v>
      </c>
      <c r="F112" s="35">
        <f t="shared" si="6"/>
        <v>1541.2682619578786</v>
      </c>
      <c r="G112" s="35">
        <f t="shared" si="7"/>
        <v>6513.7796323683406</v>
      </c>
      <c r="H112" s="36">
        <f t="shared" si="8"/>
        <v>-49.261738042121351</v>
      </c>
      <c r="I112" s="36">
        <f t="shared" si="9"/>
        <v>2426.7188349305861</v>
      </c>
      <c r="J112" s="1"/>
    </row>
    <row r="113" spans="1:22" x14ac:dyDescent="0.25">
      <c r="A113" s="32"/>
      <c r="B113" s="32">
        <v>99</v>
      </c>
      <c r="C113" s="37">
        <v>505.65</v>
      </c>
      <c r="D113" s="37">
        <v>1606.94</v>
      </c>
      <c r="E113" s="34">
        <f t="shared" si="5"/>
        <v>6616.9354838710287</v>
      </c>
      <c r="F113" s="35">
        <f t="shared" si="6"/>
        <v>1557.431550776196</v>
      </c>
      <c r="G113" s="35">
        <f t="shared" si="7"/>
        <v>6521.132087390235</v>
      </c>
      <c r="H113" s="36">
        <f t="shared" si="8"/>
        <v>-49.508449223804064</v>
      </c>
      <c r="I113" s="36">
        <f t="shared" si="9"/>
        <v>2451.0865445459854</v>
      </c>
      <c r="J113" s="1"/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:22" x14ac:dyDescent="0.25">
      <c r="A114" s="32"/>
      <c r="B114" s="32">
        <v>100</v>
      </c>
      <c r="C114" s="37">
        <v>510.61</v>
      </c>
      <c r="D114" s="37">
        <v>1623.34</v>
      </c>
      <c r="E114" s="34">
        <f t="shared" si="5"/>
        <v>6612.903225806348</v>
      </c>
      <c r="F114" s="35">
        <f t="shared" si="6"/>
        <v>1573.613083971934</v>
      </c>
      <c r="G114" s="35">
        <f t="shared" si="7"/>
        <v>6528.4928415253789</v>
      </c>
      <c r="H114" s="36">
        <f t="shared" si="8"/>
        <v>-49.726916028065943</v>
      </c>
      <c r="I114" s="36">
        <f t="shared" si="9"/>
        <v>2472.7661776623218</v>
      </c>
      <c r="J114" s="1"/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:22" x14ac:dyDescent="0.25">
      <c r="A115" s="32"/>
      <c r="B115" s="32">
        <v>101</v>
      </c>
      <c r="C115" s="37">
        <v>515.57000000000005</v>
      </c>
      <c r="D115" s="37">
        <v>1639.75</v>
      </c>
      <c r="E115" s="34">
        <f t="shared" si="5"/>
        <v>6616.9354838709523</v>
      </c>
      <c r="F115" s="35">
        <f t="shared" si="6"/>
        <v>1589.8128821385053</v>
      </c>
      <c r="G115" s="35">
        <f t="shared" si="7"/>
        <v>6535.8619041414295</v>
      </c>
      <c r="H115" s="36">
        <f t="shared" si="8"/>
        <v>-49.937117861494698</v>
      </c>
      <c r="I115" s="36">
        <f t="shared" si="9"/>
        <v>2493.7157403128131</v>
      </c>
      <c r="J115" s="1"/>
    </row>
    <row r="116" spans="1:22" x14ac:dyDescent="0.25">
      <c r="A116" s="32"/>
      <c r="B116" s="32">
        <v>102</v>
      </c>
      <c r="C116" s="37">
        <v>520.52</v>
      </c>
      <c r="D116" s="37">
        <v>1656.15</v>
      </c>
      <c r="E116" s="34">
        <f t="shared" si="5"/>
        <v>6626.2626262627546</v>
      </c>
      <c r="F116" s="35">
        <f t="shared" si="6"/>
        <v>1605.9982497333531</v>
      </c>
      <c r="G116" s="35">
        <f t="shared" si="7"/>
        <v>6543.2244024913371</v>
      </c>
      <c r="H116" s="36">
        <f t="shared" si="8"/>
        <v>-50.151750266647014</v>
      </c>
      <c r="I116" s="36">
        <f t="shared" si="9"/>
        <v>2515.1980548081287</v>
      </c>
      <c r="J116" s="1"/>
    </row>
    <row r="117" spans="1:22" x14ac:dyDescent="0.25">
      <c r="A117" s="32"/>
      <c r="B117" s="32">
        <v>103</v>
      </c>
      <c r="C117" s="37">
        <v>525.48</v>
      </c>
      <c r="D117" s="37">
        <v>1672.55</v>
      </c>
      <c r="E117" s="34">
        <f t="shared" si="5"/>
        <v>6612.903225806348</v>
      </c>
      <c r="F117" s="35">
        <f t="shared" si="6"/>
        <v>1622.2346027863464</v>
      </c>
      <c r="G117" s="35">
        <f t="shared" si="7"/>
        <v>6550.6100934162214</v>
      </c>
      <c r="H117" s="36">
        <f t="shared" si="8"/>
        <v>-50.315397213653569</v>
      </c>
      <c r="I117" s="36">
        <f t="shared" si="9"/>
        <v>2531.6391967677373</v>
      </c>
      <c r="J117" s="1"/>
    </row>
    <row r="118" spans="1:22" x14ac:dyDescent="0.25">
      <c r="A118" s="32"/>
      <c r="B118" s="32">
        <v>104</v>
      </c>
      <c r="C118" s="37">
        <v>530.44000000000005</v>
      </c>
      <c r="D118" s="37">
        <v>1688.96</v>
      </c>
      <c r="E118" s="34">
        <f t="shared" si="5"/>
        <v>6616.9354838709523</v>
      </c>
      <c r="F118" s="35">
        <f t="shared" si="6"/>
        <v>1638.4892826883122</v>
      </c>
      <c r="G118" s="35">
        <f t="shared" si="7"/>
        <v>6558.0041209695155</v>
      </c>
      <c r="H118" s="36">
        <f t="shared" si="8"/>
        <v>-50.470717311687849</v>
      </c>
      <c r="I118" s="36">
        <f t="shared" si="9"/>
        <v>2547.2933059563074</v>
      </c>
      <c r="J118" s="1"/>
    </row>
    <row r="119" spans="1:22" x14ac:dyDescent="0.25">
      <c r="A119" s="32"/>
      <c r="B119" s="32">
        <v>105</v>
      </c>
      <c r="C119" s="37">
        <v>535.4</v>
      </c>
      <c r="D119" s="37">
        <v>1705.36</v>
      </c>
      <c r="E119" s="34">
        <f t="shared" si="5"/>
        <v>6612.9032258064999</v>
      </c>
      <c r="F119" s="35">
        <f t="shared" si="6"/>
        <v>1654.7623101257477</v>
      </c>
      <c r="G119" s="35">
        <f t="shared" si="7"/>
        <v>6565.4064945612199</v>
      </c>
      <c r="H119" s="36">
        <f t="shared" si="8"/>
        <v>-50.597689874252183</v>
      </c>
      <c r="I119" s="36">
        <f t="shared" si="9"/>
        <v>2560.1262206110018</v>
      </c>
      <c r="J119" s="1"/>
    </row>
    <row r="120" spans="1:22" x14ac:dyDescent="0.25">
      <c r="A120" s="32"/>
      <c r="B120" s="32">
        <v>106</v>
      </c>
      <c r="C120" s="37">
        <v>540.36</v>
      </c>
      <c r="D120" s="37">
        <v>1721.77</v>
      </c>
      <c r="E120" s="34">
        <f t="shared" si="5"/>
        <v>6616.9354838709523</v>
      </c>
      <c r="F120" s="35">
        <f t="shared" si="6"/>
        <v>1671.0537058085126</v>
      </c>
      <c r="G120" s="35">
        <f t="shared" si="7"/>
        <v>6572.8172236119608</v>
      </c>
      <c r="H120" s="36">
        <f t="shared" si="8"/>
        <v>-50.71629419148735</v>
      </c>
      <c r="I120" s="36">
        <f t="shared" si="9"/>
        <v>2572.1424965174933</v>
      </c>
      <c r="J120" s="1"/>
    </row>
    <row r="121" spans="1:22" x14ac:dyDescent="0.25">
      <c r="A121" s="32"/>
      <c r="B121" s="32">
        <v>107</v>
      </c>
      <c r="C121" s="37">
        <v>545.30999999999995</v>
      </c>
      <c r="D121" s="37">
        <v>1738.17</v>
      </c>
      <c r="E121" s="34">
        <f t="shared" si="5"/>
        <v>6626.2626262627546</v>
      </c>
      <c r="F121" s="35">
        <f t="shared" si="6"/>
        <v>1687.3305893256679</v>
      </c>
      <c r="G121" s="35">
        <f t="shared" si="7"/>
        <v>6580.2213512806366</v>
      </c>
      <c r="H121" s="36">
        <f t="shared" si="8"/>
        <v>-50.839410674332157</v>
      </c>
      <c r="I121" s="36">
        <f t="shared" si="9"/>
        <v>2584.6456777133985</v>
      </c>
      <c r="J121" s="1"/>
    </row>
    <row r="122" spans="1:22" x14ac:dyDescent="0.25">
      <c r="A122" s="32"/>
      <c r="B122" s="32">
        <v>108</v>
      </c>
      <c r="C122" s="37">
        <v>550.27</v>
      </c>
      <c r="D122" s="37">
        <v>1754.57</v>
      </c>
      <c r="E122" s="34">
        <f t="shared" si="5"/>
        <v>6612.903225806348</v>
      </c>
      <c r="F122" s="35">
        <f t="shared" si="6"/>
        <v>1703.6587465848847</v>
      </c>
      <c r="G122" s="35">
        <f t="shared" si="7"/>
        <v>6587.6488026606276</v>
      </c>
      <c r="H122" s="36">
        <f t="shared" si="8"/>
        <v>-50.911253415115198</v>
      </c>
      <c r="I122" s="36">
        <f t="shared" si="9"/>
        <v>2591.9557242980791</v>
      </c>
      <c r="J122" s="1"/>
    </row>
    <row r="123" spans="1:22" x14ac:dyDescent="0.25">
      <c r="A123" s="32"/>
      <c r="B123" s="32">
        <v>109</v>
      </c>
      <c r="C123" s="37">
        <v>555.23</v>
      </c>
      <c r="D123" s="37">
        <v>1770.98</v>
      </c>
      <c r="E123" s="34">
        <f t="shared" si="5"/>
        <v>6616.9354838709523</v>
      </c>
      <c r="F123" s="35">
        <f t="shared" si="6"/>
        <v>1720.0053343174422</v>
      </c>
      <c r="G123" s="35">
        <f t="shared" si="7"/>
        <v>6595.0846378063115</v>
      </c>
      <c r="H123" s="36">
        <f t="shared" si="8"/>
        <v>-50.97466568255777</v>
      </c>
      <c r="I123" s="36">
        <f t="shared" si="9"/>
        <v>2598.4165414485328</v>
      </c>
      <c r="J123" s="1"/>
    </row>
    <row r="124" spans="1:22" x14ac:dyDescent="0.25">
      <c r="A124" s="32"/>
      <c r="B124" s="32">
        <v>110</v>
      </c>
      <c r="C124" s="37">
        <v>560.19000000000005</v>
      </c>
      <c r="D124" s="37">
        <v>1787.38</v>
      </c>
      <c r="E124" s="34">
        <f t="shared" si="5"/>
        <v>6612.9032258064399</v>
      </c>
      <c r="F124" s="35">
        <f t="shared" si="6"/>
        <v>1736.3703733268073</v>
      </c>
      <c r="G124" s="35">
        <f t="shared" si="7"/>
        <v>6602.5288661808945</v>
      </c>
      <c r="H124" s="36">
        <f t="shared" si="8"/>
        <v>-51.00962667319277</v>
      </c>
      <c r="I124" s="36">
        <f t="shared" si="9"/>
        <v>2601.9820133384992</v>
      </c>
      <c r="J124" s="1"/>
    </row>
    <row r="125" spans="1:22" x14ac:dyDescent="0.25">
      <c r="A125" s="32"/>
      <c r="B125" s="32">
        <v>111</v>
      </c>
      <c r="C125" s="40">
        <v>565.14</v>
      </c>
      <c r="D125" s="40">
        <v>1803.79</v>
      </c>
      <c r="E125" s="34">
        <f t="shared" si="5"/>
        <v>6630.3030303030628</v>
      </c>
      <c r="F125" s="35">
        <f t="shared" si="6"/>
        <v>1752.7208345700335</v>
      </c>
      <c r="G125" s="35">
        <f t="shared" si="7"/>
        <v>6609.9664633326456</v>
      </c>
      <c r="H125" s="36">
        <f t="shared" si="8"/>
        <v>-51.069165429966461</v>
      </c>
      <c r="I125" s="36">
        <f t="shared" si="9"/>
        <v>2608.0596577132815</v>
      </c>
      <c r="J125" s="1"/>
    </row>
    <row r="126" spans="1:22" x14ac:dyDescent="0.25">
      <c r="A126" s="32"/>
      <c r="B126" s="32">
        <v>112</v>
      </c>
      <c r="C126" s="40">
        <v>570.1</v>
      </c>
      <c r="D126" s="40">
        <v>1820.19</v>
      </c>
      <c r="E126" s="34">
        <f t="shared" si="5"/>
        <v>6612.9032258064399</v>
      </c>
      <c r="F126" s="35">
        <f t="shared" si="6"/>
        <v>1769.1228013322072</v>
      </c>
      <c r="G126" s="35">
        <f t="shared" si="7"/>
        <v>6617.4274896277911</v>
      </c>
      <c r="H126" s="36">
        <f t="shared" si="8"/>
        <v>-51.067198667792809</v>
      </c>
      <c r="I126" s="36">
        <f t="shared" si="9"/>
        <v>2607.8587797758196</v>
      </c>
      <c r="J126" s="1"/>
    </row>
    <row r="127" spans="1:22" x14ac:dyDescent="0.25">
      <c r="A127" s="32"/>
      <c r="B127" s="32">
        <v>113</v>
      </c>
      <c r="C127" s="40">
        <v>575.05999999999995</v>
      </c>
      <c r="D127" s="40">
        <v>1836.59</v>
      </c>
      <c r="E127" s="34">
        <f t="shared" si="5"/>
        <v>6612.9032258064999</v>
      </c>
      <c r="F127" s="35">
        <f t="shared" si="6"/>
        <v>1785.543281880495</v>
      </c>
      <c r="G127" s="35">
        <f t="shared" si="7"/>
        <v>6624.896937586449</v>
      </c>
      <c r="H127" s="36">
        <f t="shared" si="8"/>
        <v>-51.046718119504931</v>
      </c>
      <c r="I127" s="36">
        <f t="shared" si="9"/>
        <v>2605.7674307721932</v>
      </c>
      <c r="J127" s="1"/>
    </row>
    <row r="128" spans="1:22" x14ac:dyDescent="0.25">
      <c r="A128" s="32"/>
      <c r="B128" s="32">
        <v>114</v>
      </c>
      <c r="C128" s="40">
        <v>580.02</v>
      </c>
      <c r="D128" s="40">
        <v>1853</v>
      </c>
      <c r="E128" s="34">
        <f t="shared" si="5"/>
        <v>6616.9354838709523</v>
      </c>
      <c r="F128" s="35">
        <f t="shared" si="6"/>
        <v>1801.9822971124026</v>
      </c>
      <c r="G128" s="35">
        <f t="shared" si="7"/>
        <v>6632.3748167146041</v>
      </c>
      <c r="H128" s="36">
        <f t="shared" si="8"/>
        <v>-51.017702887597352</v>
      </c>
      <c r="I128" s="36">
        <f t="shared" si="9"/>
        <v>2602.806007927159</v>
      </c>
      <c r="J128" s="1"/>
    </row>
    <row r="129" spans="1:10" x14ac:dyDescent="0.25">
      <c r="A129" s="32"/>
      <c r="B129" s="32">
        <v>115</v>
      </c>
      <c r="C129" s="40">
        <v>584.97</v>
      </c>
      <c r="D129" s="40">
        <v>1869.4</v>
      </c>
      <c r="E129" s="34">
        <f t="shared" si="5"/>
        <v>6626.2626262626018</v>
      </c>
      <c r="F129" s="35">
        <f t="shared" si="6"/>
        <v>1818.4066686811043</v>
      </c>
      <c r="G129" s="35">
        <f t="shared" si="7"/>
        <v>6639.8460346442689</v>
      </c>
      <c r="H129" s="36">
        <f t="shared" si="8"/>
        <v>-50.993331318895798</v>
      </c>
      <c r="I129" s="36">
        <f t="shared" si="9"/>
        <v>2600.3198389986792</v>
      </c>
      <c r="J129" s="1"/>
    </row>
    <row r="130" spans="1:10" x14ac:dyDescent="0.25">
      <c r="A130" s="32"/>
      <c r="B130" s="32">
        <v>116</v>
      </c>
      <c r="C130" s="40">
        <v>589.92999999999995</v>
      </c>
      <c r="D130" s="40">
        <v>1885.81</v>
      </c>
      <c r="E130" s="34">
        <f t="shared" si="5"/>
        <v>6616.9354838710124</v>
      </c>
      <c r="F130" s="35">
        <f t="shared" si="6"/>
        <v>1834.8827785933618</v>
      </c>
      <c r="G130" s="35">
        <f t="shared" si="7"/>
        <v>6647.3407876259998</v>
      </c>
      <c r="H130" s="36">
        <f t="shared" si="8"/>
        <v>-50.927221406638182</v>
      </c>
      <c r="I130" s="36">
        <f t="shared" si="9"/>
        <v>2593.5818802007461</v>
      </c>
      <c r="J130" s="1"/>
    </row>
    <row r="131" spans="1:10" x14ac:dyDescent="0.25">
      <c r="A131" s="32"/>
      <c r="B131" s="32">
        <v>117</v>
      </c>
      <c r="C131" s="40">
        <v>594.89</v>
      </c>
      <c r="D131" s="40">
        <v>1902.21</v>
      </c>
      <c r="E131" s="34">
        <f t="shared" si="5"/>
        <v>6612.9032258064399</v>
      </c>
      <c r="F131" s="35">
        <f t="shared" si="6"/>
        <v>1851.3774859811094</v>
      </c>
      <c r="G131" s="35">
        <f t="shared" si="7"/>
        <v>6654.8440003403757</v>
      </c>
      <c r="H131" s="36">
        <f t="shared" si="8"/>
        <v>-50.832514018890606</v>
      </c>
      <c r="I131" s="36">
        <f t="shared" si="9"/>
        <v>2583.9444814807098</v>
      </c>
      <c r="J131" s="1"/>
    </row>
    <row r="132" spans="1:10" x14ac:dyDescent="0.25">
      <c r="A132" s="32"/>
      <c r="B132" s="32">
        <v>118</v>
      </c>
      <c r="C132" s="40">
        <v>599.85</v>
      </c>
      <c r="D132" s="40">
        <v>1918.61</v>
      </c>
      <c r="E132" s="34">
        <f t="shared" si="5"/>
        <v>6612.903225806348</v>
      </c>
      <c r="F132" s="35">
        <f t="shared" si="6"/>
        <v>1867.8908118363224</v>
      </c>
      <c r="G132" s="35">
        <f t="shared" si="7"/>
        <v>6662.3556823363533</v>
      </c>
      <c r="H132" s="36">
        <f t="shared" si="8"/>
        <v>-50.719188163677472</v>
      </c>
      <c r="I132" s="36">
        <f t="shared" si="9"/>
        <v>2572.4360479825209</v>
      </c>
      <c r="J132" s="1"/>
    </row>
    <row r="133" spans="1:10" x14ac:dyDescent="0.25">
      <c r="A133" s="32"/>
      <c r="B133" s="32">
        <v>119</v>
      </c>
      <c r="C133" s="40">
        <v>604.80999999999995</v>
      </c>
      <c r="D133" s="40">
        <v>1935.02</v>
      </c>
      <c r="E133" s="34">
        <f t="shared" si="5"/>
        <v>6616.9354838711033</v>
      </c>
      <c r="F133" s="35">
        <f t="shared" si="6"/>
        <v>1884.4227771746714</v>
      </c>
      <c r="G133" s="35">
        <f t="shared" si="7"/>
        <v>6669.8758431736687</v>
      </c>
      <c r="H133" s="36">
        <f t="shared" si="8"/>
        <v>-50.597222825328572</v>
      </c>
      <c r="I133" s="36">
        <f t="shared" si="9"/>
        <v>2560.0789576359507</v>
      </c>
      <c r="J133" s="1"/>
    </row>
    <row r="134" spans="1:10" x14ac:dyDescent="0.25">
      <c r="A134" s="32"/>
      <c r="B134" s="32">
        <v>120</v>
      </c>
      <c r="C134" s="40">
        <v>609.76</v>
      </c>
      <c r="D134" s="40">
        <v>1951.42</v>
      </c>
      <c r="E134" s="34">
        <f t="shared" si="5"/>
        <v>6626.2626262626018</v>
      </c>
      <c r="F134" s="35">
        <f t="shared" si="6"/>
        <v>1900.9400160510561</v>
      </c>
      <c r="G134" s="35">
        <f t="shared" si="7"/>
        <v>6677.3893051484911</v>
      </c>
      <c r="H134" s="36">
        <f t="shared" si="8"/>
        <v>-50.479983948943982</v>
      </c>
      <c r="I134" s="36">
        <f t="shared" si="9"/>
        <v>2548.228779485642</v>
      </c>
      <c r="J134" s="1"/>
    </row>
    <row r="135" spans="1:10" x14ac:dyDescent="0.25">
      <c r="A135" s="32"/>
      <c r="B135" s="32">
        <v>121</v>
      </c>
      <c r="C135" s="40">
        <v>614.72</v>
      </c>
      <c r="D135" s="40">
        <v>1967.83</v>
      </c>
      <c r="E135" s="34">
        <f t="shared" si="5"/>
        <v>6616.9354838708605</v>
      </c>
      <c r="F135" s="35">
        <f t="shared" si="6"/>
        <v>1917.5092858119087</v>
      </c>
      <c r="G135" s="35">
        <f t="shared" si="7"/>
        <v>6684.9264352481678</v>
      </c>
      <c r="H135" s="36">
        <f t="shared" si="8"/>
        <v>-50.320714188091188</v>
      </c>
      <c r="I135" s="36">
        <f t="shared" si="9"/>
        <v>2532.1742763995617</v>
      </c>
      <c r="J135" s="1"/>
    </row>
    <row r="136" spans="1:10" x14ac:dyDescent="0.25">
      <c r="A136" s="32"/>
      <c r="B136" s="32">
        <v>122</v>
      </c>
      <c r="C136" s="40">
        <v>619.67999999999995</v>
      </c>
      <c r="D136" s="40">
        <v>1984.23</v>
      </c>
      <c r="E136" s="34">
        <f t="shared" si="5"/>
        <v>6612.9032258065909</v>
      </c>
      <c r="F136" s="35">
        <f t="shared" si="6"/>
        <v>1934.0972582028085</v>
      </c>
      <c r="G136" s="35">
        <f t="shared" si="7"/>
        <v>6692.4720729138326</v>
      </c>
      <c r="H136" s="36">
        <f t="shared" si="8"/>
        <v>-50.132741797191557</v>
      </c>
      <c r="I136" s="36">
        <f t="shared" si="9"/>
        <v>2513.2918001038774</v>
      </c>
      <c r="J136" s="1"/>
    </row>
    <row r="137" spans="1:10" x14ac:dyDescent="0.25">
      <c r="A137" s="32"/>
      <c r="B137" s="32">
        <v>123</v>
      </c>
      <c r="C137" s="40">
        <v>624.64</v>
      </c>
      <c r="D137" s="40">
        <v>2000.63</v>
      </c>
      <c r="E137" s="34">
        <f t="shared" si="5"/>
        <v>6612.9032258064399</v>
      </c>
      <c r="F137" s="35">
        <f t="shared" si="6"/>
        <v>1950.7039543344204</v>
      </c>
      <c r="G137" s="35">
        <f t="shared" si="7"/>
        <v>6700.0262277484335</v>
      </c>
      <c r="H137" s="36">
        <f t="shared" si="8"/>
        <v>-49.92604566557975</v>
      </c>
      <c r="I137" s="36">
        <f t="shared" si="9"/>
        <v>2492.6100358015547</v>
      </c>
      <c r="J137" s="1"/>
    </row>
    <row r="138" spans="1:10" x14ac:dyDescent="0.25">
      <c r="A138" s="32"/>
      <c r="B138" s="32">
        <v>124</v>
      </c>
      <c r="C138" s="40">
        <v>629.59</v>
      </c>
      <c r="D138" s="40">
        <v>2017.04</v>
      </c>
      <c r="E138" s="34">
        <f t="shared" si="5"/>
        <v>6630.3030303029109</v>
      </c>
      <c r="F138" s="35">
        <f t="shared" si="6"/>
        <v>1967.2958574348397</v>
      </c>
      <c r="G138" s="35">
        <f t="shared" si="7"/>
        <v>6707.5736534391272</v>
      </c>
      <c r="H138" s="36">
        <f t="shared" si="8"/>
        <v>-49.744142565160246</v>
      </c>
      <c r="I138" s="36">
        <f t="shared" si="9"/>
        <v>2474.4797195429874</v>
      </c>
      <c r="J138" s="1"/>
    </row>
    <row r="139" spans="1:10" x14ac:dyDescent="0.25">
      <c r="A139" s="32"/>
      <c r="B139" s="32">
        <v>125</v>
      </c>
      <c r="C139" s="40">
        <v>634.54999999999995</v>
      </c>
      <c r="D139" s="40">
        <v>2033.44</v>
      </c>
      <c r="E139" s="34">
        <f t="shared" si="5"/>
        <v>6612.9032258065909</v>
      </c>
      <c r="F139" s="35">
        <f t="shared" si="6"/>
        <v>1983.9400266191856</v>
      </c>
      <c r="G139" s="35">
        <f t="shared" si="7"/>
        <v>6715.1448542436328</v>
      </c>
      <c r="H139" s="36">
        <f t="shared" si="8"/>
        <v>-49.499973380814481</v>
      </c>
      <c r="I139" s="36">
        <f t="shared" si="9"/>
        <v>2450.2473647013421</v>
      </c>
      <c r="J139" s="1"/>
    </row>
    <row r="140" spans="1:10" x14ac:dyDescent="0.25">
      <c r="A140" s="32"/>
      <c r="B140" s="32">
        <v>126</v>
      </c>
      <c r="C140" s="40">
        <v>639.51</v>
      </c>
      <c r="D140" s="40">
        <v>2049.85</v>
      </c>
      <c r="E140" s="34">
        <f t="shared" si="5"/>
        <v>6616.9354838708605</v>
      </c>
      <c r="F140" s="35">
        <f t="shared" si="6"/>
        <v>2000.6029829766014</v>
      </c>
      <c r="G140" s="35">
        <f t="shared" si="7"/>
        <v>6722.7246010715708</v>
      </c>
      <c r="H140" s="36">
        <f t="shared" si="8"/>
        <v>-49.247017023398485</v>
      </c>
      <c r="I140" s="36">
        <f t="shared" si="9"/>
        <v>2425.2686857029003</v>
      </c>
      <c r="J140" s="1"/>
    </row>
    <row r="141" spans="1:10" x14ac:dyDescent="0.25">
      <c r="A141" s="32"/>
      <c r="B141" s="32">
        <v>127</v>
      </c>
      <c r="C141" s="40">
        <v>644.47</v>
      </c>
      <c r="D141" s="40">
        <v>2066.25</v>
      </c>
      <c r="E141" s="34">
        <f t="shared" si="5"/>
        <v>6612.9032258064399</v>
      </c>
      <c r="F141" s="35">
        <f t="shared" si="6"/>
        <v>2017.2847477131866</v>
      </c>
      <c r="G141" s="35">
        <f t="shared" si="7"/>
        <v>6730.3129035693009</v>
      </c>
      <c r="H141" s="36">
        <f t="shared" si="8"/>
        <v>-48.965252286813438</v>
      </c>
      <c r="I141" s="36">
        <f t="shared" si="9"/>
        <v>2397.5959315112887</v>
      </c>
      <c r="J141" s="1"/>
    </row>
    <row r="142" spans="1:10" x14ac:dyDescent="0.25">
      <c r="A142" s="32"/>
      <c r="B142" s="32">
        <v>128</v>
      </c>
      <c r="C142" s="40">
        <v>649.41999999999996</v>
      </c>
      <c r="D142" s="40">
        <v>2082.65</v>
      </c>
      <c r="E142" s="34">
        <f t="shared" si="5"/>
        <v>6626.2626262627546</v>
      </c>
      <c r="F142" s="35">
        <f t="shared" si="6"/>
        <v>2033.9516525484298</v>
      </c>
      <c r="G142" s="35">
        <f t="shared" si="7"/>
        <v>6737.8944465048235</v>
      </c>
      <c r="H142" s="36">
        <f t="shared" si="8"/>
        <v>-48.698347451570271</v>
      </c>
      <c r="I142" s="36">
        <f t="shared" si="9"/>
        <v>2371.5290445138608</v>
      </c>
      <c r="J142" s="1"/>
    </row>
    <row r="143" spans="1:10" x14ac:dyDescent="0.25">
      <c r="A143" s="32"/>
      <c r="B143" s="32">
        <v>129</v>
      </c>
      <c r="C143" s="40">
        <v>654.38</v>
      </c>
      <c r="D143" s="40">
        <v>2099.06</v>
      </c>
      <c r="E143" s="34">
        <f t="shared" ref="E143:E200" si="10">IF(C143="","",2*(D143-D142)/((C143-C142)/1000))</f>
        <v>6616.9354838708605</v>
      </c>
      <c r="F143" s="35">
        <f t="shared" ref="F143:F200" si="11">IF(C143="","",F$7+(F$9/F$10)*(EXP(F$10*(C143-F$8)/2000)-1))</f>
        <v>2050.671059730249</v>
      </c>
      <c r="G143" s="35">
        <f t="shared" ref="G143:G200" si="12">IF(E143="","",F$9+(F143-F$7)*F$10)</f>
        <v>6745.4998720267477</v>
      </c>
      <c r="H143" s="36">
        <f t="shared" ref="H143:H200" si="13">IF(F143="","",F143-D143)</f>
        <v>-48.388940269750947</v>
      </c>
      <c r="I143" s="36">
        <f t="shared" ref="I143:I200" si="14">IF(H143="","",H143^2)</f>
        <v>2341.4895404295248</v>
      </c>
      <c r="J143" s="1"/>
    </row>
    <row r="144" spans="1:10" x14ac:dyDescent="0.25">
      <c r="A144" s="32"/>
      <c r="B144" s="32">
        <v>130</v>
      </c>
      <c r="C144" s="40">
        <v>659.34</v>
      </c>
      <c r="D144" s="40">
        <v>2115.46</v>
      </c>
      <c r="E144" s="34">
        <f t="shared" si="10"/>
        <v>6612.9032258064399</v>
      </c>
      <c r="F144" s="35">
        <f t="shared" si="11"/>
        <v>2067.4093390103303</v>
      </c>
      <c r="G144" s="35">
        <f t="shared" si="12"/>
        <v>6753.1138822033918</v>
      </c>
      <c r="H144" s="36">
        <f t="shared" si="13"/>
        <v>-48.050660989669723</v>
      </c>
      <c r="I144" s="36">
        <f t="shared" si="14"/>
        <v>2308.8660215441678</v>
      </c>
      <c r="J144" s="1"/>
    </row>
    <row r="145" spans="1:10" x14ac:dyDescent="0.25">
      <c r="A145" s="32"/>
      <c r="B145" s="32">
        <v>131</v>
      </c>
      <c r="C145" s="40">
        <v>664.3</v>
      </c>
      <c r="D145" s="40">
        <v>2131.87</v>
      </c>
      <c r="E145" s="34">
        <f t="shared" si="10"/>
        <v>6616.9354838710124</v>
      </c>
      <c r="F145" s="35">
        <f t="shared" si="11"/>
        <v>2084.1665116906333</v>
      </c>
      <c r="G145" s="35">
        <f t="shared" si="12"/>
        <v>6760.7364867247206</v>
      </c>
      <c r="H145" s="36">
        <f t="shared" si="13"/>
        <v>-47.703488309366548</v>
      </c>
      <c r="I145" s="36">
        <f t="shared" si="14"/>
        <v>2275.6227968818712</v>
      </c>
      <c r="J145" s="1"/>
    </row>
    <row r="146" spans="1:10" x14ac:dyDescent="0.25">
      <c r="A146" s="32"/>
      <c r="B146" s="32">
        <v>132</v>
      </c>
      <c r="C146" s="40">
        <v>669.25</v>
      </c>
      <c r="D146" s="40">
        <v>2148.27</v>
      </c>
      <c r="E146" s="34">
        <f t="shared" si="10"/>
        <v>6626.2626262626018</v>
      </c>
      <c r="F146" s="35">
        <f t="shared" si="11"/>
        <v>2100.9087572971721</v>
      </c>
      <c r="G146" s="35">
        <f t="shared" si="12"/>
        <v>6768.3523011280422</v>
      </c>
      <c r="H146" s="36">
        <f t="shared" si="13"/>
        <v>-47.361242702827894</v>
      </c>
      <c r="I146" s="36">
        <f t="shared" si="14"/>
        <v>2243.0873103561685</v>
      </c>
      <c r="J146" s="1"/>
    </row>
    <row r="147" spans="1:10" x14ac:dyDescent="0.25">
      <c r="A147" s="32"/>
      <c r="B147" s="32">
        <v>133</v>
      </c>
      <c r="C147" s="40">
        <v>674.21</v>
      </c>
      <c r="D147" s="40">
        <v>2164.6799999999998</v>
      </c>
      <c r="E147" s="34">
        <f t="shared" si="10"/>
        <v>6616.9354838708605</v>
      </c>
      <c r="F147" s="35">
        <f t="shared" si="11"/>
        <v>2117.7037425809294</v>
      </c>
      <c r="G147" s="35">
        <f t="shared" si="12"/>
        <v>6775.9921060761699</v>
      </c>
      <c r="H147" s="36">
        <f t="shared" si="13"/>
        <v>-46.976257419070407</v>
      </c>
      <c r="I147" s="36">
        <f t="shared" si="14"/>
        <v>2206.7687611027673</v>
      </c>
      <c r="J147" s="1"/>
    </row>
    <row r="148" spans="1:10" x14ac:dyDescent="0.25">
      <c r="A148" s="32"/>
      <c r="B148" s="32">
        <v>134</v>
      </c>
      <c r="C148" s="40">
        <v>679.17</v>
      </c>
      <c r="D148" s="40">
        <v>2181.08</v>
      </c>
      <c r="E148" s="34">
        <f t="shared" si="10"/>
        <v>6612.9032258065909</v>
      </c>
      <c r="F148" s="35">
        <f t="shared" si="11"/>
        <v>2134.5176852720351</v>
      </c>
      <c r="G148" s="35">
        <f t="shared" si="12"/>
        <v>6783.6405344849336</v>
      </c>
      <c r="H148" s="36">
        <f t="shared" si="13"/>
        <v>-46.562314727964804</v>
      </c>
      <c r="I148" s="36">
        <f t="shared" si="14"/>
        <v>2168.0491528260482</v>
      </c>
      <c r="J148" s="1"/>
    </row>
    <row r="149" spans="1:10" x14ac:dyDescent="0.25">
      <c r="A149" s="32"/>
      <c r="B149" s="32">
        <v>135</v>
      </c>
      <c r="C149" s="40">
        <v>684.13</v>
      </c>
      <c r="D149" s="40">
        <v>2197.48</v>
      </c>
      <c r="E149" s="34">
        <f t="shared" si="10"/>
        <v>6612.9032258064399</v>
      </c>
      <c r="F149" s="35">
        <f t="shared" si="11"/>
        <v>2151.3506067687485</v>
      </c>
      <c r="G149" s="35">
        <f t="shared" si="12"/>
        <v>6791.2975960881022</v>
      </c>
      <c r="H149" s="36">
        <f t="shared" si="13"/>
        <v>-46.12939323125147</v>
      </c>
      <c r="I149" s="36">
        <f t="shared" si="14"/>
        <v>2127.9209198834287</v>
      </c>
      <c r="J149" s="1"/>
    </row>
    <row r="150" spans="1:10" x14ac:dyDescent="0.25">
      <c r="A150" s="32"/>
      <c r="B150" s="32">
        <v>136</v>
      </c>
      <c r="C150" s="40">
        <v>689.09</v>
      </c>
      <c r="D150" s="40">
        <v>2213.89</v>
      </c>
      <c r="E150" s="34">
        <f t="shared" si="10"/>
        <v>6616.9354838708605</v>
      </c>
      <c r="F150" s="35">
        <f t="shared" si="11"/>
        <v>2168.2025284934639</v>
      </c>
      <c r="G150" s="35">
        <f t="shared" si="12"/>
        <v>6798.9633006304248</v>
      </c>
      <c r="H150" s="36">
        <f t="shared" si="13"/>
        <v>-45.687471506535985</v>
      </c>
      <c r="I150" s="36">
        <f t="shared" si="14"/>
        <v>2087.3450526605375</v>
      </c>
      <c r="J150" s="1"/>
    </row>
    <row r="151" spans="1:10" x14ac:dyDescent="0.25">
      <c r="A151" s="32"/>
      <c r="B151" s="32">
        <v>137</v>
      </c>
      <c r="C151" s="40">
        <v>694.04</v>
      </c>
      <c r="D151" s="40">
        <v>2230.29</v>
      </c>
      <c r="E151" s="34">
        <f t="shared" si="10"/>
        <v>6626.2626262627546</v>
      </c>
      <c r="F151" s="35">
        <f t="shared" si="11"/>
        <v>2185.0394387431807</v>
      </c>
      <c r="G151" s="35">
        <f t="shared" si="12"/>
        <v>6806.6221766617946</v>
      </c>
      <c r="H151" s="36">
        <f t="shared" si="13"/>
        <v>-45.25056125681931</v>
      </c>
      <c r="I151" s="36">
        <f t="shared" si="14"/>
        <v>2047.6132940571567</v>
      </c>
      <c r="J151" s="1"/>
    </row>
    <row r="152" spans="1:10" x14ac:dyDescent="0.25">
      <c r="A152" s="32"/>
      <c r="B152" s="32">
        <v>138</v>
      </c>
      <c r="C152" s="40">
        <v>699</v>
      </c>
      <c r="D152" s="40">
        <v>2246.6999999999998</v>
      </c>
      <c r="E152" s="34">
        <f t="shared" si="10"/>
        <v>6616.9354838708605</v>
      </c>
      <c r="F152" s="35">
        <f t="shared" si="11"/>
        <v>2201.9293868728128</v>
      </c>
      <c r="G152" s="35">
        <f t="shared" si="12"/>
        <v>6814.3051788862258</v>
      </c>
      <c r="H152" s="36">
        <f t="shared" si="13"/>
        <v>-44.770613127187062</v>
      </c>
      <c r="I152" s="36">
        <f t="shared" si="14"/>
        <v>2004.4077997842544</v>
      </c>
      <c r="J152" s="1"/>
    </row>
    <row r="153" spans="1:10" x14ac:dyDescent="0.25">
      <c r="A153" s="32"/>
      <c r="B153" s="32">
        <v>139</v>
      </c>
      <c r="C153" s="40">
        <v>703.96</v>
      </c>
      <c r="D153" s="40">
        <v>2263.1</v>
      </c>
      <c r="E153" s="34">
        <f t="shared" si="10"/>
        <v>6612.9032258064399</v>
      </c>
      <c r="F153" s="35">
        <f t="shared" si="11"/>
        <v>2218.8383995994927</v>
      </c>
      <c r="G153" s="35">
        <f t="shared" si="12"/>
        <v>6821.9968533303936</v>
      </c>
      <c r="H153" s="36">
        <f t="shared" si="13"/>
        <v>-44.261600400507177</v>
      </c>
      <c r="I153" s="36">
        <f t="shared" si="14"/>
        <v>1959.0892700141771</v>
      </c>
      <c r="J153" s="1"/>
    </row>
    <row r="154" spans="1:10" x14ac:dyDescent="0.25">
      <c r="A154" s="32"/>
      <c r="B154" s="32">
        <v>140</v>
      </c>
      <c r="C154" s="40">
        <v>708.92</v>
      </c>
      <c r="D154" s="40">
        <v>2279.5</v>
      </c>
      <c r="E154" s="34">
        <f t="shared" si="10"/>
        <v>6612.9032258065909</v>
      </c>
      <c r="F154" s="35">
        <f t="shared" si="11"/>
        <v>2235.7664984424587</v>
      </c>
      <c r="G154" s="35">
        <f t="shared" si="12"/>
        <v>6829.6972097831003</v>
      </c>
      <c r="H154" s="36">
        <f t="shared" si="13"/>
        <v>-43.733501557541331</v>
      </c>
      <c r="I154" s="36">
        <f t="shared" si="14"/>
        <v>1912.6191584834701</v>
      </c>
      <c r="J154" s="1"/>
    </row>
    <row r="155" spans="1:10" x14ac:dyDescent="0.25">
      <c r="A155" s="32"/>
      <c r="B155" s="32">
        <v>141</v>
      </c>
      <c r="C155" s="40">
        <v>713.87</v>
      </c>
      <c r="D155" s="40">
        <v>2295.91</v>
      </c>
      <c r="E155" s="34">
        <f t="shared" si="10"/>
        <v>6630.3030303029109</v>
      </c>
      <c r="F155" s="35">
        <f t="shared" si="11"/>
        <v>2252.6795179528312</v>
      </c>
      <c r="G155" s="35">
        <f t="shared" si="12"/>
        <v>6837.3907068573781</v>
      </c>
      <c r="H155" s="36">
        <f t="shared" si="13"/>
        <v>-43.230482047168607</v>
      </c>
      <c r="I155" s="36">
        <f t="shared" si="14"/>
        <v>1868.8745780305671</v>
      </c>
      <c r="J155" s="1"/>
    </row>
    <row r="156" spans="1:10" x14ac:dyDescent="0.25">
      <c r="A156" s="32"/>
      <c r="B156" s="32">
        <v>142</v>
      </c>
      <c r="C156" s="40">
        <v>718.83</v>
      </c>
      <c r="D156" s="40">
        <v>2312.31</v>
      </c>
      <c r="E156" s="34">
        <f t="shared" si="10"/>
        <v>6612.9032258064399</v>
      </c>
      <c r="F156" s="35">
        <f t="shared" si="11"/>
        <v>2269.6458150945796</v>
      </c>
      <c r="G156" s="35">
        <f t="shared" si="12"/>
        <v>6845.1084391843187</v>
      </c>
      <c r="H156" s="36">
        <f t="shared" si="13"/>
        <v>-42.66418490542037</v>
      </c>
      <c r="I156" s="36">
        <f t="shared" si="14"/>
        <v>1820.2326736438995</v>
      </c>
      <c r="J156" s="1"/>
    </row>
    <row r="157" spans="1:10" x14ac:dyDescent="0.25">
      <c r="A157" s="32"/>
      <c r="B157" s="32">
        <v>143</v>
      </c>
      <c r="C157" s="40">
        <v>723.79</v>
      </c>
      <c r="D157" s="40">
        <v>2328.7199999999998</v>
      </c>
      <c r="E157" s="34">
        <f t="shared" si="10"/>
        <v>6616.9354838710124</v>
      </c>
      <c r="F157" s="35">
        <f t="shared" si="11"/>
        <v>2286.6312630126276</v>
      </c>
      <c r="G157" s="35">
        <f t="shared" si="12"/>
        <v>6852.8348829327379</v>
      </c>
      <c r="H157" s="36">
        <f t="shared" si="13"/>
        <v>-42.088736987372158</v>
      </c>
      <c r="I157" s="36">
        <f t="shared" si="14"/>
        <v>1771.4617811921892</v>
      </c>
      <c r="J157" s="1"/>
    </row>
    <row r="158" spans="1:10" x14ac:dyDescent="0.25">
      <c r="A158" s="32"/>
      <c r="B158" s="32">
        <v>144</v>
      </c>
      <c r="C158" s="40">
        <v>728.75</v>
      </c>
      <c r="D158" s="40">
        <v>2345.12</v>
      </c>
      <c r="E158" s="34">
        <f t="shared" si="10"/>
        <v>6612.9032258064399</v>
      </c>
      <c r="F158" s="35">
        <f t="shared" si="11"/>
        <v>2303.6358833234935</v>
      </c>
      <c r="G158" s="35">
        <f t="shared" si="12"/>
        <v>6860.5700479356883</v>
      </c>
      <c r="H158" s="36">
        <f t="shared" si="13"/>
        <v>-41.484116676506346</v>
      </c>
      <c r="I158" s="36">
        <f t="shared" si="14"/>
        <v>1720.931936429992</v>
      </c>
      <c r="J158" s="1"/>
    </row>
    <row r="159" spans="1:10" x14ac:dyDescent="0.25">
      <c r="A159" s="32"/>
      <c r="B159" s="32">
        <v>145</v>
      </c>
      <c r="C159" s="40">
        <v>733.7</v>
      </c>
      <c r="D159" s="40">
        <v>2361.52</v>
      </c>
      <c r="E159" s="34">
        <f t="shared" si="10"/>
        <v>6626.2626262626018</v>
      </c>
      <c r="F159" s="35">
        <f t="shared" si="11"/>
        <v>2320.6253561374297</v>
      </c>
      <c r="G159" s="35">
        <f t="shared" si="12"/>
        <v>6868.2983225532034</v>
      </c>
      <c r="H159" s="36">
        <f t="shared" si="13"/>
        <v>-40.894643862570319</v>
      </c>
      <c r="I159" s="36">
        <f t="shared" si="14"/>
        <v>1672.3718966464603</v>
      </c>
      <c r="J159" s="1"/>
    </row>
    <row r="160" spans="1:10" x14ac:dyDescent="0.25">
      <c r="A160" s="32"/>
      <c r="B160" s="32">
        <v>146</v>
      </c>
      <c r="C160" s="40">
        <v>738.66</v>
      </c>
      <c r="D160" s="40">
        <v>2377.9299999999998</v>
      </c>
      <c r="E160" s="34">
        <f t="shared" si="10"/>
        <v>6616.9354838710124</v>
      </c>
      <c r="F160" s="35">
        <f t="shared" si="11"/>
        <v>2337.6683474179663</v>
      </c>
      <c r="G160" s="35">
        <f t="shared" si="12"/>
        <v>6876.050941975971</v>
      </c>
      <c r="H160" s="36">
        <f t="shared" si="13"/>
        <v>-40.261652582033548</v>
      </c>
      <c r="I160" s="36">
        <f t="shared" si="14"/>
        <v>1621.0006686363686</v>
      </c>
      <c r="J160" s="1"/>
    </row>
    <row r="161" spans="1:10" x14ac:dyDescent="0.25">
      <c r="A161" s="32"/>
      <c r="B161" s="32">
        <v>147</v>
      </c>
      <c r="C161" s="40">
        <v>743.62</v>
      </c>
      <c r="D161" s="40">
        <v>2394.33</v>
      </c>
      <c r="E161" s="34">
        <f t="shared" si="10"/>
        <v>6612.9032258064399</v>
      </c>
      <c r="F161" s="35">
        <f t="shared" si="11"/>
        <v>2354.7305760436248</v>
      </c>
      <c r="G161" s="35">
        <f t="shared" si="12"/>
        <v>6883.8123121991684</v>
      </c>
      <c r="H161" s="36">
        <f t="shared" si="13"/>
        <v>-39.599423956375176</v>
      </c>
      <c r="I161" s="36">
        <f t="shared" si="14"/>
        <v>1568.1143776767401</v>
      </c>
      <c r="J161" s="1"/>
    </row>
    <row r="162" spans="1:10" x14ac:dyDescent="0.25">
      <c r="A162" s="32"/>
      <c r="B162" s="32">
        <v>148</v>
      </c>
      <c r="C162" s="40">
        <v>748.58</v>
      </c>
      <c r="D162" s="40">
        <v>2410.7399999999998</v>
      </c>
      <c r="E162" s="34">
        <f t="shared" si="10"/>
        <v>6616.9354838708605</v>
      </c>
      <c r="F162" s="35">
        <f t="shared" si="11"/>
        <v>2371.8120637286352</v>
      </c>
      <c r="G162" s="35">
        <f t="shared" si="12"/>
        <v>6891.5824431002975</v>
      </c>
      <c r="H162" s="36">
        <f t="shared" si="13"/>
        <v>-38.927936271364615</v>
      </c>
      <c r="I162" s="36">
        <f t="shared" si="14"/>
        <v>1515.3842223474248</v>
      </c>
      <c r="J162" s="1"/>
    </row>
    <row r="163" spans="1:10" x14ac:dyDescent="0.25">
      <c r="A163" s="32"/>
      <c r="B163" s="32">
        <v>149</v>
      </c>
      <c r="C163" s="40">
        <v>753.53</v>
      </c>
      <c r="D163" s="40">
        <v>2427.14</v>
      </c>
      <c r="E163" s="34">
        <f t="shared" si="10"/>
        <v>6626.2626262627546</v>
      </c>
      <c r="F163" s="35">
        <f t="shared" si="11"/>
        <v>2388.8783354442453</v>
      </c>
      <c r="G163" s="35">
        <f t="shared" si="12"/>
        <v>6899.3456524688172</v>
      </c>
      <c r="H163" s="36">
        <f t="shared" si="13"/>
        <v>-38.261664555754578</v>
      </c>
      <c r="I163" s="36">
        <f t="shared" si="14"/>
        <v>1463.9549745770862</v>
      </c>
      <c r="J163" s="1"/>
    </row>
    <row r="164" spans="1:10" x14ac:dyDescent="0.25">
      <c r="A164" s="32"/>
      <c r="B164" s="32">
        <v>150</v>
      </c>
      <c r="C164" s="40">
        <v>758.49</v>
      </c>
      <c r="D164" s="40">
        <v>2443.54</v>
      </c>
      <c r="E164" s="34">
        <f t="shared" si="10"/>
        <v>6612.9032258064399</v>
      </c>
      <c r="F164" s="35">
        <f t="shared" si="11"/>
        <v>2405.9983675503531</v>
      </c>
      <c r="G164" s="35">
        <f t="shared" si="12"/>
        <v>6907.1333166904024</v>
      </c>
      <c r="H164" s="36">
        <f t="shared" si="13"/>
        <v>-37.541632449646841</v>
      </c>
      <c r="I164" s="36">
        <f t="shared" si="14"/>
        <v>1409.3741669843766</v>
      </c>
      <c r="J164" s="1"/>
    </row>
    <row r="165" spans="1:10" x14ac:dyDescent="0.25">
      <c r="A165" s="32"/>
      <c r="B165" s="32">
        <v>151</v>
      </c>
      <c r="C165" s="40">
        <v>763.45</v>
      </c>
      <c r="D165" s="40">
        <v>2459.9499999999998</v>
      </c>
      <c r="E165" s="34">
        <f t="shared" si="10"/>
        <v>6616.9354838708605</v>
      </c>
      <c r="F165" s="35">
        <f t="shared" si="11"/>
        <v>2423.1377239617259</v>
      </c>
      <c r="G165" s="35">
        <f t="shared" si="12"/>
        <v>6914.9297712693751</v>
      </c>
      <c r="H165" s="36">
        <f t="shared" si="13"/>
        <v>-36.812276038273922</v>
      </c>
      <c r="I165" s="36">
        <f t="shared" si="14"/>
        <v>1355.1436671180763</v>
      </c>
      <c r="J165" s="1"/>
    </row>
    <row r="166" spans="1:10" x14ac:dyDescent="0.25">
      <c r="A166" s="32"/>
      <c r="B166" s="32">
        <v>152</v>
      </c>
      <c r="C166" s="40">
        <v>768.41</v>
      </c>
      <c r="D166" s="40">
        <v>2476.35</v>
      </c>
      <c r="E166" s="34">
        <f t="shared" si="10"/>
        <v>6612.9032258065909</v>
      </c>
      <c r="F166" s="35">
        <f t="shared" si="11"/>
        <v>2440.2964264907473</v>
      </c>
      <c r="G166" s="35">
        <f t="shared" si="12"/>
        <v>6922.7350261278871</v>
      </c>
      <c r="H166" s="36">
        <f t="shared" si="13"/>
        <v>-36.053573509252601</v>
      </c>
      <c r="I166" s="36">
        <f t="shared" si="14"/>
        <v>1299.860162787081</v>
      </c>
      <c r="J166" s="1"/>
    </row>
    <row r="167" spans="1:10" x14ac:dyDescent="0.25">
      <c r="A167" s="32"/>
      <c r="B167" s="32">
        <v>153</v>
      </c>
      <c r="C167" s="40">
        <v>773.37</v>
      </c>
      <c r="D167" s="40">
        <v>2492.75</v>
      </c>
      <c r="E167" s="34">
        <f t="shared" si="10"/>
        <v>6612.9032258064399</v>
      </c>
      <c r="F167" s="35">
        <f t="shared" si="11"/>
        <v>2457.4744969744279</v>
      </c>
      <c r="G167" s="35">
        <f t="shared" si="12"/>
        <v>6930.5490911992883</v>
      </c>
      <c r="H167" s="36">
        <f t="shared" si="13"/>
        <v>-35.275503025572107</v>
      </c>
      <c r="I167" s="36">
        <f t="shared" si="14"/>
        <v>1244.3611137071468</v>
      </c>
      <c r="J167" s="1"/>
    </row>
    <row r="168" spans="1:10" x14ac:dyDescent="0.25">
      <c r="A168" s="32"/>
      <c r="B168" s="32">
        <v>154</v>
      </c>
      <c r="C168" s="40">
        <v>778.32</v>
      </c>
      <c r="D168" s="40">
        <v>2509.16</v>
      </c>
      <c r="E168" s="34">
        <f t="shared" si="10"/>
        <v>6630.3030303029109</v>
      </c>
      <c r="F168" s="35">
        <f t="shared" si="11"/>
        <v>2474.6372654539941</v>
      </c>
      <c r="G168" s="35">
        <f t="shared" si="12"/>
        <v>6938.3561956020876</v>
      </c>
      <c r="H168" s="36">
        <f t="shared" si="13"/>
        <v>-34.522734546005722</v>
      </c>
      <c r="I168" s="36">
        <f t="shared" si="14"/>
        <v>1191.819200533977</v>
      </c>
      <c r="J168" s="1"/>
    </row>
    <row r="169" spans="1:10" x14ac:dyDescent="0.25">
      <c r="A169" s="32"/>
      <c r="B169" s="32">
        <v>155</v>
      </c>
      <c r="C169" s="40">
        <v>783.28</v>
      </c>
      <c r="D169" s="40">
        <v>2525.56</v>
      </c>
      <c r="E169" s="34">
        <f t="shared" si="10"/>
        <v>6612.9032258065909</v>
      </c>
      <c r="F169" s="35">
        <f t="shared" si="11"/>
        <v>2491.8540982981076</v>
      </c>
      <c r="G169" s="35">
        <f t="shared" si="12"/>
        <v>6946.1878931315141</v>
      </c>
      <c r="H169" s="36">
        <f t="shared" si="13"/>
        <v>-33.705901701892344</v>
      </c>
      <c r="I169" s="36">
        <f t="shared" si="14"/>
        <v>1136.0878095376293</v>
      </c>
      <c r="J169" s="1"/>
    </row>
    <row r="170" spans="1:10" x14ac:dyDescent="0.25">
      <c r="A170" s="32"/>
      <c r="B170" s="32">
        <v>156</v>
      </c>
      <c r="C170" s="40">
        <v>788.24</v>
      </c>
      <c r="D170" s="40">
        <v>2541.96</v>
      </c>
      <c r="E170" s="34">
        <f t="shared" si="10"/>
        <v>6612.9032258064399</v>
      </c>
      <c r="F170" s="35">
        <f t="shared" si="11"/>
        <v>2509.0903647117102</v>
      </c>
      <c r="G170" s="35">
        <f t="shared" si="12"/>
        <v>6954.0284307211032</v>
      </c>
      <c r="H170" s="36">
        <f t="shared" si="13"/>
        <v>-32.869635288289828</v>
      </c>
      <c r="I170" s="36">
        <f t="shared" si="14"/>
        <v>1080.4129239851879</v>
      </c>
      <c r="J170" s="1"/>
    </row>
    <row r="171" spans="1:10" x14ac:dyDescent="0.25">
      <c r="A171" s="32"/>
      <c r="B171" s="32">
        <v>157</v>
      </c>
      <c r="C171" s="40">
        <v>793.2</v>
      </c>
      <c r="D171" s="40">
        <v>2558.37</v>
      </c>
      <c r="E171" s="34">
        <f t="shared" si="10"/>
        <v>6616.9354838708605</v>
      </c>
      <c r="F171" s="35">
        <f t="shared" si="11"/>
        <v>2526.346086630519</v>
      </c>
      <c r="G171" s="35">
        <f t="shared" si="12"/>
        <v>6961.8778183491077</v>
      </c>
      <c r="H171" s="36">
        <f t="shared" si="13"/>
        <v>-32.023913369480852</v>
      </c>
      <c r="I171" s="36">
        <f t="shared" si="14"/>
        <v>1025.5310274960145</v>
      </c>
      <c r="J171" s="1"/>
    </row>
    <row r="172" spans="1:10" x14ac:dyDescent="0.25">
      <c r="A172" s="32"/>
      <c r="B172" s="32">
        <v>158</v>
      </c>
      <c r="C172" s="40">
        <v>798.15</v>
      </c>
      <c r="D172" s="40">
        <v>2574.77</v>
      </c>
      <c r="E172" s="34">
        <f t="shared" si="10"/>
        <v>6626.2626262627546</v>
      </c>
      <c r="F172" s="35">
        <f t="shared" si="11"/>
        <v>2543.5864373743111</v>
      </c>
      <c r="G172" s="35">
        <f t="shared" si="12"/>
        <v>6969.7202138436287</v>
      </c>
      <c r="H172" s="36">
        <f t="shared" si="13"/>
        <v>-31.183562625688865</v>
      </c>
      <c r="I172" s="36">
        <f t="shared" si="14"/>
        <v>972.41457803025935</v>
      </c>
      <c r="J172" s="1"/>
    </row>
    <row r="173" spans="1:10" x14ac:dyDescent="0.25">
      <c r="A173" s="32"/>
      <c r="B173" s="32">
        <v>159</v>
      </c>
      <c r="C173" s="40">
        <v>803.11</v>
      </c>
      <c r="D173" s="40">
        <v>2591.1799999999998</v>
      </c>
      <c r="E173" s="34">
        <f t="shared" si="10"/>
        <v>6616.9354838708605</v>
      </c>
      <c r="F173" s="35">
        <f t="shared" si="11"/>
        <v>2560.881096874215</v>
      </c>
      <c r="G173" s="35">
        <f t="shared" si="12"/>
        <v>6977.5873136350965</v>
      </c>
      <c r="H173" s="36">
        <f t="shared" si="13"/>
        <v>-30.298903125784818</v>
      </c>
      <c r="I173" s="36">
        <f t="shared" si="14"/>
        <v>918.02353062569307</v>
      </c>
      <c r="J173" s="1"/>
    </row>
    <row r="174" spans="1:10" x14ac:dyDescent="0.25">
      <c r="A174" s="32"/>
      <c r="B174" s="32">
        <v>160</v>
      </c>
      <c r="C174" s="40">
        <v>808.07</v>
      </c>
      <c r="D174" s="40">
        <v>2607.58</v>
      </c>
      <c r="E174" s="34">
        <f t="shared" si="10"/>
        <v>6612.9032258064399</v>
      </c>
      <c r="F174" s="35">
        <f t="shared" si="11"/>
        <v>2578.1952777907577</v>
      </c>
      <c r="G174" s="35">
        <f t="shared" si="12"/>
        <v>6985.4632934471729</v>
      </c>
      <c r="H174" s="36">
        <f t="shared" si="13"/>
        <v>-29.384722209242227</v>
      </c>
      <c r="I174" s="36">
        <f t="shared" si="14"/>
        <v>863.46189931433344</v>
      </c>
      <c r="J174" s="1"/>
    </row>
    <row r="175" spans="1:10" x14ac:dyDescent="0.25">
      <c r="A175" s="32"/>
      <c r="B175" s="32">
        <v>161</v>
      </c>
      <c r="C175" s="40">
        <v>813.03</v>
      </c>
      <c r="D175" s="40">
        <v>2623.98</v>
      </c>
      <c r="E175" s="34">
        <f t="shared" si="10"/>
        <v>6612.9032258065909</v>
      </c>
      <c r="F175" s="35">
        <f t="shared" si="11"/>
        <v>2595.5290021588157</v>
      </c>
      <c r="G175" s="35">
        <f t="shared" si="12"/>
        <v>6993.3481633032152</v>
      </c>
      <c r="H175" s="36">
        <f t="shared" si="13"/>
        <v>-28.450997841184289</v>
      </c>
      <c r="I175" s="36">
        <f t="shared" si="14"/>
        <v>809.45927815907305</v>
      </c>
      <c r="J175" s="1"/>
    </row>
    <row r="176" spans="1:10" x14ac:dyDescent="0.25">
      <c r="A176" s="32"/>
      <c r="B176" s="32">
        <v>162</v>
      </c>
      <c r="C176" s="40">
        <v>817.98</v>
      </c>
      <c r="D176" s="40">
        <v>2640.39</v>
      </c>
      <c r="E176" s="34">
        <f t="shared" si="10"/>
        <v>6630.3030303029109</v>
      </c>
      <c r="F176" s="35">
        <f t="shared" si="11"/>
        <v>2612.8472858682844</v>
      </c>
      <c r="G176" s="35">
        <f t="shared" si="12"/>
        <v>7001.2260094186659</v>
      </c>
      <c r="H176" s="36">
        <f t="shared" si="13"/>
        <v>-27.542714131715456</v>
      </c>
      <c r="I176" s="36">
        <f t="shared" si="14"/>
        <v>758.60110174139834</v>
      </c>
      <c r="J176" s="1"/>
    </row>
    <row r="177" spans="1:10" x14ac:dyDescent="0.25">
      <c r="A177" s="32"/>
      <c r="B177" s="32">
        <v>163</v>
      </c>
      <c r="C177" s="40">
        <v>822.94</v>
      </c>
      <c r="D177" s="40">
        <v>2656.79</v>
      </c>
      <c r="E177" s="34">
        <f t="shared" si="10"/>
        <v>6612.9032258064399</v>
      </c>
      <c r="F177" s="35">
        <f t="shared" si="11"/>
        <v>2630.2201238301682</v>
      </c>
      <c r="G177" s="35">
        <f t="shared" si="12"/>
        <v>7009.1286715039123</v>
      </c>
      <c r="H177" s="36">
        <f t="shared" si="13"/>
        <v>-26.569876169831787</v>
      </c>
      <c r="I177" s="36">
        <f t="shared" si="14"/>
        <v>705.95831968019502</v>
      </c>
      <c r="J177" s="1"/>
    </row>
    <row r="178" spans="1:10" x14ac:dyDescent="0.25">
      <c r="A178" s="32"/>
      <c r="B178" s="32">
        <v>164</v>
      </c>
      <c r="C178" s="40">
        <v>827.9</v>
      </c>
      <c r="D178" s="40">
        <v>2673.19</v>
      </c>
      <c r="E178" s="34">
        <f t="shared" si="10"/>
        <v>6612.9032258065909</v>
      </c>
      <c r="F178" s="35">
        <f t="shared" si="11"/>
        <v>2647.6125714529426</v>
      </c>
      <c r="G178" s="35">
        <f t="shared" si="12"/>
        <v>7017.0402537508489</v>
      </c>
      <c r="H178" s="36">
        <f t="shared" si="13"/>
        <v>-25.57742854705748</v>
      </c>
      <c r="I178" s="36">
        <f t="shared" si="14"/>
        <v>654.20485107983086</v>
      </c>
      <c r="J178" s="1"/>
    </row>
    <row r="179" spans="1:10" x14ac:dyDescent="0.25">
      <c r="A179" s="32"/>
      <c r="B179" s="32">
        <v>165</v>
      </c>
      <c r="C179" s="40">
        <v>832.86</v>
      </c>
      <c r="D179" s="40">
        <v>2689.6</v>
      </c>
      <c r="E179" s="34">
        <f t="shared" si="10"/>
        <v>6616.9354838708605</v>
      </c>
      <c r="F179" s="35">
        <f t="shared" si="11"/>
        <v>2665.0246508710957</v>
      </c>
      <c r="G179" s="35">
        <f t="shared" si="12"/>
        <v>7024.9607662281451</v>
      </c>
      <c r="H179" s="36">
        <f t="shared" si="13"/>
        <v>-24.575349128904236</v>
      </c>
      <c r="I179" s="36">
        <f t="shared" si="14"/>
        <v>603.94778480753416</v>
      </c>
      <c r="J179" s="1"/>
    </row>
    <row r="180" spans="1:10" x14ac:dyDescent="0.25">
      <c r="A180" s="32"/>
      <c r="B180" s="32">
        <v>166</v>
      </c>
      <c r="C180" s="40">
        <v>837.81</v>
      </c>
      <c r="D180" s="40">
        <v>2706</v>
      </c>
      <c r="E180" s="34">
        <f t="shared" si="10"/>
        <v>6626.2626262627546</v>
      </c>
      <c r="F180" s="35">
        <f t="shared" si="11"/>
        <v>2682.4212198329847</v>
      </c>
      <c r="G180" s="35">
        <f t="shared" si="12"/>
        <v>7032.8742232148579</v>
      </c>
      <c r="H180" s="36">
        <f t="shared" si="13"/>
        <v>-23.578780167015339</v>
      </c>
      <c r="I180" s="36">
        <f t="shared" si="14"/>
        <v>555.95887416443588</v>
      </c>
      <c r="J180" s="1"/>
    </row>
    <row r="181" spans="1:10" x14ac:dyDescent="0.25">
      <c r="A181" s="32"/>
      <c r="B181" s="32">
        <v>167</v>
      </c>
      <c r="C181" s="40">
        <v>842.77</v>
      </c>
      <c r="D181" s="40">
        <v>2722.4</v>
      </c>
      <c r="E181" s="34">
        <f t="shared" si="10"/>
        <v>6612.9032258064399</v>
      </c>
      <c r="F181" s="35">
        <f t="shared" si="11"/>
        <v>2699.872589653336</v>
      </c>
      <c r="G181" s="35">
        <f t="shared" si="12"/>
        <v>7040.8126083490251</v>
      </c>
      <c r="H181" s="36">
        <f t="shared" si="13"/>
        <v>-22.527410346664055</v>
      </c>
      <c r="I181" s="36">
        <f t="shared" si="14"/>
        <v>507.48421692698673</v>
      </c>
      <c r="J181" s="1"/>
    </row>
    <row r="182" spans="1:10" x14ac:dyDescent="0.25">
      <c r="A182" s="32"/>
      <c r="B182" s="32">
        <v>168</v>
      </c>
      <c r="C182" s="40">
        <v>847.73</v>
      </c>
      <c r="D182" s="40">
        <v>2738.81</v>
      </c>
      <c r="E182" s="34">
        <f t="shared" si="10"/>
        <v>6616.9354838708605</v>
      </c>
      <c r="F182" s="35">
        <f t="shared" si="11"/>
        <v>2717.3436577777288</v>
      </c>
      <c r="G182" s="35">
        <f t="shared" si="12"/>
        <v>7048.7599539674165</v>
      </c>
      <c r="H182" s="36">
        <f t="shared" si="13"/>
        <v>-21.466342222271123</v>
      </c>
      <c r="I182" s="36">
        <f t="shared" si="14"/>
        <v>460.80384840365997</v>
      </c>
      <c r="J182" s="1"/>
    </row>
    <row r="183" spans="1:10" x14ac:dyDescent="0.25">
      <c r="A183" s="32"/>
      <c r="B183" s="32">
        <v>169</v>
      </c>
      <c r="C183" s="40">
        <v>852.69</v>
      </c>
      <c r="D183" s="40">
        <v>2755.21</v>
      </c>
      <c r="E183" s="34">
        <f t="shared" si="10"/>
        <v>6612.9032258064399</v>
      </c>
      <c r="F183" s="35">
        <f t="shared" si="11"/>
        <v>2734.8344464407091</v>
      </c>
      <c r="G183" s="35">
        <f t="shared" si="12"/>
        <v>7056.716270184218</v>
      </c>
      <c r="H183" s="36">
        <f t="shared" si="13"/>
        <v>-20.375553559290893</v>
      </c>
      <c r="I183" s="36">
        <f t="shared" si="14"/>
        <v>415.16318284753174</v>
      </c>
      <c r="J183" s="1"/>
    </row>
    <row r="184" spans="1:10" x14ac:dyDescent="0.25">
      <c r="A184" s="32"/>
      <c r="B184" s="32">
        <v>170</v>
      </c>
      <c r="C184" s="40">
        <v>857.64</v>
      </c>
      <c r="D184" s="40">
        <v>2771.61</v>
      </c>
      <c r="E184" s="34">
        <f t="shared" si="10"/>
        <v>6626.2626262627546</v>
      </c>
      <c r="F184" s="35">
        <f t="shared" si="11"/>
        <v>2752.3096545342432</v>
      </c>
      <c r="G184" s="35">
        <f t="shared" si="12"/>
        <v>7064.6654990169263</v>
      </c>
      <c r="H184" s="36">
        <f t="shared" si="13"/>
        <v>-19.300345465756891</v>
      </c>
      <c r="I184" s="36">
        <f t="shared" si="14"/>
        <v>372.50333509756257</v>
      </c>
      <c r="J184" s="1"/>
    </row>
    <row r="185" spans="1:10" x14ac:dyDescent="0.25">
      <c r="A185" s="32"/>
      <c r="B185" s="32">
        <v>171</v>
      </c>
      <c r="C185" s="40">
        <v>862.6</v>
      </c>
      <c r="D185" s="40">
        <v>2788.02</v>
      </c>
      <c r="E185" s="34">
        <f t="shared" si="10"/>
        <v>6616.9354838708605</v>
      </c>
      <c r="F185" s="35">
        <f t="shared" si="11"/>
        <v>2769.8399112070333</v>
      </c>
      <c r="G185" s="35">
        <f t="shared" si="12"/>
        <v>7072.6397686818273</v>
      </c>
      <c r="H185" s="36">
        <f t="shared" si="13"/>
        <v>-18.180088792966671</v>
      </c>
      <c r="I185" s="36">
        <f t="shared" si="14"/>
        <v>330.51562852015235</v>
      </c>
      <c r="J185" s="1"/>
    </row>
    <row r="186" spans="1:10" x14ac:dyDescent="0.25">
      <c r="A186" s="32"/>
      <c r="B186" s="32">
        <v>172</v>
      </c>
      <c r="C186" s="40">
        <v>867.56</v>
      </c>
      <c r="D186" s="40">
        <v>2804.42</v>
      </c>
      <c r="E186" s="34">
        <f t="shared" si="10"/>
        <v>6612.9032258065909</v>
      </c>
      <c r="F186" s="35">
        <f t="shared" si="11"/>
        <v>2787.3899552277226</v>
      </c>
      <c r="G186" s="35">
        <f t="shared" si="12"/>
        <v>7080.6230393357655</v>
      </c>
      <c r="H186" s="36">
        <f t="shared" si="13"/>
        <v>-17.030044772277506</v>
      </c>
      <c r="I186" s="36">
        <f t="shared" si="14"/>
        <v>290.02242494577644</v>
      </c>
      <c r="J186" s="1"/>
    </row>
    <row r="187" spans="1:10" x14ac:dyDescent="0.25">
      <c r="A187" s="32"/>
      <c r="B187" s="32">
        <v>173</v>
      </c>
      <c r="C187" s="40">
        <v>872.51</v>
      </c>
      <c r="D187" s="40">
        <v>2820.82</v>
      </c>
      <c r="E187" s="34">
        <f t="shared" si="10"/>
        <v>6626.2626262626018</v>
      </c>
      <c r="F187" s="35">
        <f t="shared" si="11"/>
        <v>2804.924365895055</v>
      </c>
      <c r="G187" s="35">
        <f t="shared" si="12"/>
        <v>7088.5991985949431</v>
      </c>
      <c r="H187" s="36">
        <f t="shared" si="13"/>
        <v>-15.895634104945202</v>
      </c>
      <c r="I187" s="36">
        <f t="shared" si="14"/>
        <v>252.67118359829706</v>
      </c>
      <c r="J187" s="1"/>
    </row>
    <row r="188" spans="1:10" x14ac:dyDescent="0.25">
      <c r="A188" s="32"/>
      <c r="B188" s="32">
        <v>174</v>
      </c>
      <c r="C188" s="40">
        <v>877.47</v>
      </c>
      <c r="D188" s="40">
        <v>2837.23</v>
      </c>
      <c r="E188" s="34">
        <f t="shared" si="10"/>
        <v>6616.9354838708605</v>
      </c>
      <c r="F188" s="35">
        <f t="shared" si="11"/>
        <v>2822.514011635426</v>
      </c>
      <c r="G188" s="35">
        <f t="shared" si="12"/>
        <v>7096.6004835197391</v>
      </c>
      <c r="H188" s="36">
        <f t="shared" si="13"/>
        <v>-14.715988364574059</v>
      </c>
      <c r="I188" s="36">
        <f t="shared" si="14"/>
        <v>216.5603135462791</v>
      </c>
      <c r="J188" s="1"/>
    </row>
    <row r="189" spans="1:10" x14ac:dyDescent="0.25">
      <c r="A189" s="32"/>
      <c r="B189" s="32">
        <v>175</v>
      </c>
      <c r="C189" s="40">
        <v>882.43</v>
      </c>
      <c r="D189" s="40">
        <v>2853.63</v>
      </c>
      <c r="E189" s="34">
        <f t="shared" si="10"/>
        <v>6612.9032258065909</v>
      </c>
      <c r="F189" s="35">
        <f t="shared" si="11"/>
        <v>2840.1235117593401</v>
      </c>
      <c r="G189" s="35">
        <f t="shared" si="12"/>
        <v>7104.6107999271526</v>
      </c>
      <c r="H189" s="36">
        <f t="shared" si="13"/>
        <v>-13.506488240660019</v>
      </c>
      <c r="I189" s="36">
        <f t="shared" si="14"/>
        <v>182.42522459508737</v>
      </c>
      <c r="J189" s="1"/>
    </row>
    <row r="190" spans="1:10" x14ac:dyDescent="0.25">
      <c r="A190" s="32"/>
      <c r="B190" s="32">
        <v>176</v>
      </c>
      <c r="C190" s="40">
        <v>887.39</v>
      </c>
      <c r="D190" s="40">
        <v>2870.03</v>
      </c>
      <c r="E190" s="34">
        <f t="shared" si="10"/>
        <v>6612.9032258064399</v>
      </c>
      <c r="F190" s="35">
        <f t="shared" si="11"/>
        <v>2857.7528886775167</v>
      </c>
      <c r="G190" s="35">
        <f t="shared" si="12"/>
        <v>7112.630158011506</v>
      </c>
      <c r="H190" s="36">
        <f t="shared" si="13"/>
        <v>-12.277111322483506</v>
      </c>
      <c r="I190" s="36">
        <f t="shared" si="14"/>
        <v>150.72746242465271</v>
      </c>
      <c r="J190" s="1"/>
    </row>
    <row r="191" spans="1:10" x14ac:dyDescent="0.25">
      <c r="A191" s="32"/>
      <c r="B191" s="32">
        <v>177</v>
      </c>
      <c r="C191" s="40">
        <v>892.34</v>
      </c>
      <c r="D191" s="40">
        <v>2886.44</v>
      </c>
      <c r="E191" s="34">
        <f t="shared" si="10"/>
        <v>6630.3030303029109</v>
      </c>
      <c r="F191" s="35">
        <f t="shared" si="11"/>
        <v>2875.3665615736136</v>
      </c>
      <c r="G191" s="35">
        <f t="shared" si="12"/>
        <v>7120.642372554883</v>
      </c>
      <c r="H191" s="36">
        <f t="shared" si="13"/>
        <v>-11.073438426386474</v>
      </c>
      <c r="I191" s="36">
        <f t="shared" si="14"/>
        <v>122.62103858297255</v>
      </c>
      <c r="J191" s="1"/>
    </row>
    <row r="192" spans="1:10" x14ac:dyDescent="0.25">
      <c r="A192" s="32"/>
      <c r="B192" s="32">
        <v>178</v>
      </c>
      <c r="C192" s="40">
        <v>897.3</v>
      </c>
      <c r="D192" s="40">
        <v>2902.84</v>
      </c>
      <c r="E192" s="34">
        <f t="shared" si="10"/>
        <v>6612.9032258065909</v>
      </c>
      <c r="F192" s="35">
        <f t="shared" si="11"/>
        <v>2893.03571922636</v>
      </c>
      <c r="G192" s="35">
        <f t="shared" si="12"/>
        <v>7128.6798263414757</v>
      </c>
      <c r="H192" s="36">
        <f t="shared" si="13"/>
        <v>-9.8042807736401301</v>
      </c>
      <c r="I192" s="36">
        <f t="shared" si="14"/>
        <v>96.123921488369504</v>
      </c>
      <c r="J192" s="1"/>
    </row>
    <row r="193" spans="1:10" x14ac:dyDescent="0.25">
      <c r="A193" s="32"/>
      <c r="B193" s="32">
        <v>179</v>
      </c>
      <c r="C193" s="40">
        <v>902.26</v>
      </c>
      <c r="D193" s="40">
        <v>2919.24</v>
      </c>
      <c r="E193" s="34">
        <f t="shared" si="10"/>
        <v>6612.9032258062562</v>
      </c>
      <c r="F193" s="35">
        <f t="shared" si="11"/>
        <v>2910.7248210120429</v>
      </c>
      <c r="G193" s="35">
        <f t="shared" si="12"/>
        <v>7136.7263524364344</v>
      </c>
      <c r="H193" s="36">
        <f t="shared" si="13"/>
        <v>-8.5151789879569151</v>
      </c>
      <c r="I193" s="36">
        <f t="shared" si="14"/>
        <v>72.508273196942952</v>
      </c>
      <c r="J193" s="1"/>
    </row>
    <row r="194" spans="1:10" x14ac:dyDescent="0.25">
      <c r="A194" s="32"/>
      <c r="B194" s="32">
        <v>180</v>
      </c>
      <c r="C194" s="40">
        <v>907.22</v>
      </c>
      <c r="D194" s="40">
        <v>2935.65</v>
      </c>
      <c r="E194" s="34">
        <f t="shared" si="10"/>
        <v>6616.9354838710442</v>
      </c>
      <c r="F194" s="35">
        <f t="shared" si="11"/>
        <v>2928.433889442686</v>
      </c>
      <c r="G194" s="35">
        <f t="shared" si="12"/>
        <v>7144.7819610801653</v>
      </c>
      <c r="H194" s="36">
        <f t="shared" si="13"/>
        <v>-7.2161105573140958</v>
      </c>
      <c r="I194" s="36">
        <f t="shared" si="14"/>
        <v>52.072251575379951</v>
      </c>
      <c r="J194" s="1"/>
    </row>
    <row r="195" spans="1:10" x14ac:dyDescent="0.25">
      <c r="A195" s="32"/>
      <c r="B195" s="32">
        <v>181</v>
      </c>
      <c r="C195" s="40">
        <v>912.17</v>
      </c>
      <c r="D195" s="40">
        <v>2952.05</v>
      </c>
      <c r="E195" s="34">
        <f t="shared" si="10"/>
        <v>6626.2626262627546</v>
      </c>
      <c r="F195" s="35">
        <f t="shared" si="11"/>
        <v>2946.1271828630738</v>
      </c>
      <c r="G195" s="35">
        <f t="shared" si="12"/>
        <v>7152.8303938913859</v>
      </c>
      <c r="H195" s="36">
        <f t="shared" si="13"/>
        <v>-5.9228171369263691</v>
      </c>
      <c r="I195" s="36">
        <f t="shared" si="14"/>
        <v>35.079762837468671</v>
      </c>
      <c r="J195" s="1"/>
    </row>
    <row r="196" spans="1:10" x14ac:dyDescent="0.25">
      <c r="A196" s="32"/>
      <c r="B196" s="32">
        <v>182</v>
      </c>
      <c r="C196" s="40">
        <v>917.13</v>
      </c>
      <c r="D196" s="40">
        <v>2968.45</v>
      </c>
      <c r="E196" s="34">
        <f t="shared" si="10"/>
        <v>6612.9032258062562</v>
      </c>
      <c r="F196" s="35">
        <f t="shared" si="11"/>
        <v>2963.8762118523891</v>
      </c>
      <c r="G196" s="35">
        <f t="shared" si="12"/>
        <v>7160.9041800368359</v>
      </c>
      <c r="H196" s="36">
        <f t="shared" si="13"/>
        <v>-4.573788147610685</v>
      </c>
      <c r="I196" s="36">
        <f t="shared" si="14"/>
        <v>20.919538019223982</v>
      </c>
      <c r="J196" s="1"/>
    </row>
    <row r="197" spans="1:10" x14ac:dyDescent="0.25">
      <c r="A197" s="32"/>
      <c r="B197" s="32">
        <v>183</v>
      </c>
      <c r="C197" s="40">
        <v>922.09</v>
      </c>
      <c r="D197" s="40">
        <v>2984.86</v>
      </c>
      <c r="E197" s="34">
        <f t="shared" si="10"/>
        <v>6616.9354838710442</v>
      </c>
      <c r="F197" s="35">
        <f t="shared" si="11"/>
        <v>2981.6452751297329</v>
      </c>
      <c r="G197" s="35">
        <f t="shared" si="12"/>
        <v>7168.9870795009483</v>
      </c>
      <c r="H197" s="36">
        <f t="shared" si="13"/>
        <v>-3.2147248702672186</v>
      </c>
      <c r="I197" s="36">
        <f t="shared" si="14"/>
        <v>10.334455991514586</v>
      </c>
      <c r="J197" s="1"/>
    </row>
    <row r="198" spans="1:10" x14ac:dyDescent="0.25">
      <c r="A198" s="32"/>
      <c r="B198" s="32">
        <v>184</v>
      </c>
      <c r="C198" s="40">
        <v>927.05</v>
      </c>
      <c r="D198" s="40">
        <v>3001.26</v>
      </c>
      <c r="E198" s="34">
        <f t="shared" si="10"/>
        <v>6612.9032258065909</v>
      </c>
      <c r="F198" s="35">
        <f t="shared" si="11"/>
        <v>2999.4343953088933</v>
      </c>
      <c r="G198" s="35">
        <f t="shared" si="12"/>
        <v>7177.0791025704193</v>
      </c>
      <c r="H198" s="36">
        <f t="shared" si="13"/>
        <v>-1.8256046911069461</v>
      </c>
      <c r="I198" s="36">
        <f t="shared" si="14"/>
        <v>3.3328324881916882</v>
      </c>
      <c r="J198" s="1"/>
    </row>
    <row r="199" spans="1:10" x14ac:dyDescent="0.25">
      <c r="A199" s="32"/>
      <c r="B199" s="32">
        <v>185</v>
      </c>
      <c r="C199" s="40">
        <v>932</v>
      </c>
      <c r="D199" s="40">
        <v>3017.66</v>
      </c>
      <c r="E199" s="34">
        <f t="shared" si="10"/>
        <v>6626.2626262624181</v>
      </c>
      <c r="F199" s="35">
        <f t="shared" si="11"/>
        <v>3017.207669168733</v>
      </c>
      <c r="G199" s="35">
        <f t="shared" si="12"/>
        <v>7185.1639173698795</v>
      </c>
      <c r="H199" s="36">
        <f t="shared" si="13"/>
        <v>-0.45233083126686324</v>
      </c>
      <c r="I199" s="36">
        <f t="shared" si="14"/>
        <v>0.2046031809145715</v>
      </c>
      <c r="J199" s="1"/>
    </row>
    <row r="200" spans="1:10" x14ac:dyDescent="0.25">
      <c r="A200" s="32"/>
      <c r="B200" s="32">
        <v>186</v>
      </c>
      <c r="C200" s="40">
        <v>936.96</v>
      </c>
      <c r="D200" s="40">
        <v>3034.07</v>
      </c>
      <c r="E200" s="34">
        <f t="shared" si="10"/>
        <v>6616.9354838710442</v>
      </c>
      <c r="F200" s="35">
        <f t="shared" si="11"/>
        <v>3035.0369305435429</v>
      </c>
      <c r="G200" s="35">
        <f t="shared" si="12"/>
        <v>7193.2742001103161</v>
      </c>
      <c r="H200" s="36">
        <f t="shared" si="13"/>
        <v>0.96693054354273045</v>
      </c>
      <c r="I200" s="36">
        <f t="shared" si="14"/>
        <v>0.93495467603584015</v>
      </c>
      <c r="J200" s="1"/>
    </row>
    <row r="201" spans="1:10" x14ac:dyDescent="0.25">
      <c r="A201" s="32"/>
      <c r="B201" s="32"/>
      <c r="C201" s="40">
        <v>941.92</v>
      </c>
      <c r="D201" s="40">
        <v>3050.47</v>
      </c>
      <c r="E201" s="34">
        <f t="shared" ref="E201:E264" si="15">IF(C201="","",2*(D201-D200)/((C201-C200)/1000))</f>
        <v>6612.903225806408</v>
      </c>
      <c r="F201" s="35">
        <f t="shared" ref="F201:F264" si="16">IF(C201="","",F$7+(F$9/F$10)*(EXP(F$10*(C201-F$8)/2000)-1))</f>
        <v>3052.8863167690138</v>
      </c>
      <c r="G201" s="35">
        <f t="shared" ref="G201:G264" si="17">IF(E201="","",F$9+(F201-F$7)*F$10)</f>
        <v>7201.3936373650949</v>
      </c>
      <c r="H201" s="36">
        <f t="shared" ref="H201:H264" si="18">IF(F201="","",F201-D201)</f>
        <v>2.4163167690139744</v>
      </c>
      <c r="I201" s="36">
        <f t="shared" ref="I201:I264" si="19">IF(H201="","",H201^2)</f>
        <v>5.8385867282181323</v>
      </c>
    </row>
    <row r="202" spans="1:10" x14ac:dyDescent="0.25">
      <c r="A202" s="32"/>
      <c r="B202" s="32"/>
      <c r="C202" s="40">
        <v>946.88</v>
      </c>
      <c r="D202" s="40">
        <v>3066.87</v>
      </c>
      <c r="E202" s="34">
        <f t="shared" si="15"/>
        <v>6612.9032258064399</v>
      </c>
      <c r="F202" s="35">
        <f t="shared" si="16"/>
        <v>3070.7558505611478</v>
      </c>
      <c r="G202" s="35">
        <f t="shared" si="17"/>
        <v>7209.5222394674092</v>
      </c>
      <c r="H202" s="36">
        <f t="shared" si="18"/>
        <v>3.8858505611478904</v>
      </c>
      <c r="I202" s="36">
        <f t="shared" si="19"/>
        <v>15.099834583573374</v>
      </c>
    </row>
    <row r="203" spans="1:10" x14ac:dyDescent="0.25">
      <c r="C203" s="41">
        <v>951.83</v>
      </c>
      <c r="D203" s="41">
        <v>3083.28</v>
      </c>
      <c r="E203" s="34">
        <f t="shared" si="15"/>
        <v>6630.3030303030946</v>
      </c>
      <c r="F203" s="35">
        <f t="shared" si="16"/>
        <v>3088.6094664025541</v>
      </c>
      <c r="G203" s="35">
        <f t="shared" si="17"/>
        <v>7217.6436007155835</v>
      </c>
      <c r="H203" s="36">
        <f t="shared" si="18"/>
        <v>5.3294664025538623</v>
      </c>
      <c r="I203" s="36">
        <f t="shared" si="19"/>
        <v>28.403212135950408</v>
      </c>
    </row>
    <row r="204" spans="1:10" x14ac:dyDescent="0.25">
      <c r="C204" s="41">
        <v>956.79</v>
      </c>
      <c r="D204" s="41">
        <v>3099.68</v>
      </c>
      <c r="E204" s="34">
        <f t="shared" si="15"/>
        <v>6612.903225806408</v>
      </c>
      <c r="F204" s="35">
        <f t="shared" si="16"/>
        <v>3106.519322843862</v>
      </c>
      <c r="G204" s="35">
        <f t="shared" si="17"/>
        <v>7225.7905450295439</v>
      </c>
      <c r="H204" s="36">
        <f t="shared" si="18"/>
        <v>6.8393228438621918</v>
      </c>
      <c r="I204" s="36">
        <f t="shared" si="19"/>
        <v>46.776336962575222</v>
      </c>
    </row>
    <row r="205" spans="1:10" x14ac:dyDescent="0.25">
      <c r="C205" s="41">
        <v>961.75</v>
      </c>
      <c r="D205" s="41">
        <v>3116.09</v>
      </c>
      <c r="E205" s="34">
        <f t="shared" si="15"/>
        <v>6616.9354838710442</v>
      </c>
      <c r="F205" s="35">
        <f t="shared" si="16"/>
        <v>3124.4493951078412</v>
      </c>
      <c r="G205" s="35">
        <f t="shared" si="17"/>
        <v>7233.9466852397491</v>
      </c>
      <c r="H205" s="36">
        <f t="shared" si="18"/>
        <v>8.35939510784101</v>
      </c>
      <c r="I205" s="36">
        <f t="shared" si="19"/>
        <v>69.879486568996214</v>
      </c>
    </row>
    <row r="206" spans="1:10" x14ac:dyDescent="0.25">
      <c r="C206" s="41">
        <v>966.71</v>
      </c>
      <c r="D206" s="41">
        <v>3132.49</v>
      </c>
      <c r="E206" s="34">
        <f t="shared" si="15"/>
        <v>6612.9032258062562</v>
      </c>
      <c r="F206" s="35">
        <f t="shared" si="16"/>
        <v>3142.3997060131737</v>
      </c>
      <c r="G206" s="35">
        <f t="shared" si="17"/>
        <v>7242.1120317260975</v>
      </c>
      <c r="H206" s="36">
        <f t="shared" si="18"/>
        <v>9.9097060131739454</v>
      </c>
      <c r="I206" s="36">
        <f t="shared" si="19"/>
        <v>98.202273267535858</v>
      </c>
    </row>
    <row r="207" spans="1:10" x14ac:dyDescent="0.25">
      <c r="C207" s="41">
        <v>971.66</v>
      </c>
      <c r="D207" s="41">
        <v>3148.89</v>
      </c>
      <c r="E207" s="34">
        <f t="shared" si="15"/>
        <v>6626.2626262627546</v>
      </c>
      <c r="F207" s="35">
        <f t="shared" si="16"/>
        <v>3160.3340270125645</v>
      </c>
      <c r="G207" s="35">
        <f t="shared" si="17"/>
        <v>7250.2701046268794</v>
      </c>
      <c r="H207" s="36">
        <f t="shared" si="18"/>
        <v>11.444027012564675</v>
      </c>
      <c r="I207" s="36">
        <f t="shared" si="19"/>
        <v>130.96575426430996</v>
      </c>
    </row>
    <row r="208" spans="1:10" x14ac:dyDescent="0.25">
      <c r="C208" s="41">
        <v>976.62</v>
      </c>
      <c r="D208" s="41">
        <v>3165.3</v>
      </c>
      <c r="E208" s="34">
        <f t="shared" si="15"/>
        <v>6616.9354838710442</v>
      </c>
      <c r="F208" s="35">
        <f t="shared" si="16"/>
        <v>3178.3248428408397</v>
      </c>
      <c r="G208" s="35">
        <f t="shared" si="17"/>
        <v>7258.4538762386737</v>
      </c>
      <c r="H208" s="36">
        <f t="shared" si="18"/>
        <v>13.024842840839483</v>
      </c>
      <c r="I208" s="36">
        <f t="shared" si="19"/>
        <v>169.64653102856752</v>
      </c>
    </row>
    <row r="209" spans="3:9" x14ac:dyDescent="0.25">
      <c r="C209" s="41">
        <v>981.58</v>
      </c>
      <c r="D209" s="41">
        <v>3181.7</v>
      </c>
      <c r="E209" s="34">
        <f t="shared" si="15"/>
        <v>6612.9032258062562</v>
      </c>
      <c r="F209" s="35">
        <f t="shared" si="16"/>
        <v>3196.3359658750128</v>
      </c>
      <c r="G209" s="35">
        <f t="shared" si="17"/>
        <v>7266.6468853156694</v>
      </c>
      <c r="H209" s="36">
        <f t="shared" si="18"/>
        <v>14.635965875012971</v>
      </c>
      <c r="I209" s="36">
        <f t="shared" si="19"/>
        <v>214.2114970945442</v>
      </c>
    </row>
    <row r="210" spans="3:9" x14ac:dyDescent="0.25">
      <c r="C210" s="41">
        <v>986.54</v>
      </c>
      <c r="D210" s="41">
        <v>3198.1</v>
      </c>
      <c r="E210" s="34">
        <f t="shared" si="15"/>
        <v>6612.9032258065909</v>
      </c>
      <c r="F210" s="35">
        <f t="shared" si="16"/>
        <v>3214.3674190369275</v>
      </c>
      <c r="G210" s="35">
        <f t="shared" si="17"/>
        <v>7274.8491422846919</v>
      </c>
      <c r="H210" s="36">
        <f t="shared" si="18"/>
        <v>16.267419036927549</v>
      </c>
      <c r="I210" s="36">
        <f t="shared" si="19"/>
        <v>264.62892212299283</v>
      </c>
    </row>
    <row r="211" spans="3:9" x14ac:dyDescent="0.25">
      <c r="C211" s="41">
        <v>991.5</v>
      </c>
      <c r="D211" s="41">
        <v>3214.51</v>
      </c>
      <c r="E211" s="34">
        <f t="shared" si="15"/>
        <v>6616.9354838710442</v>
      </c>
      <c r="F211" s="35">
        <f t="shared" si="16"/>
        <v>3232.4192252742978</v>
      </c>
      <c r="G211" s="35">
        <f t="shared" si="17"/>
        <v>7283.0606575843385</v>
      </c>
      <c r="H211" s="36">
        <f t="shared" si="18"/>
        <v>17.909225274297569</v>
      </c>
      <c r="I211" s="36">
        <f t="shared" si="19"/>
        <v>320.74034992553885</v>
      </c>
    </row>
    <row r="212" spans="3:9" x14ac:dyDescent="0.25">
      <c r="C212" s="41">
        <v>996.45</v>
      </c>
      <c r="D212" s="41">
        <v>3230.91</v>
      </c>
      <c r="E212" s="34">
        <f t="shared" si="15"/>
        <v>6626.2626262624181</v>
      </c>
      <c r="F212" s="35">
        <f t="shared" si="16"/>
        <v>3250.454951194989</v>
      </c>
      <c r="G212" s="35">
        <f t="shared" si="17"/>
        <v>7291.264858171834</v>
      </c>
      <c r="H212" s="36">
        <f t="shared" si="18"/>
        <v>19.544951194989153</v>
      </c>
      <c r="I212" s="36">
        <f t="shared" si="19"/>
        <v>382.00511721450795</v>
      </c>
    </row>
    <row r="213" spans="3:9" x14ac:dyDescent="0.25">
      <c r="C213" s="41">
        <v>1001.41</v>
      </c>
      <c r="D213" s="40">
        <v>3247.31</v>
      </c>
      <c r="E213" s="34">
        <f t="shared" si="15"/>
        <v>6612.9032258065909</v>
      </c>
      <c r="F213" s="35">
        <f t="shared" si="16"/>
        <v>3268.5474913797766</v>
      </c>
      <c r="G213" s="35">
        <f t="shared" si="17"/>
        <v>7299.4949027769708</v>
      </c>
      <c r="H213" s="36">
        <f t="shared" si="18"/>
        <v>21.237491379776657</v>
      </c>
      <c r="I213" s="36">
        <f t="shared" si="19"/>
        <v>451.0310401060878</v>
      </c>
    </row>
    <row r="214" spans="3:9" x14ac:dyDescent="0.25">
      <c r="C214" s="41">
        <v>1006.37</v>
      </c>
      <c r="D214" s="41">
        <v>3263.72</v>
      </c>
      <c r="E214" s="34">
        <f t="shared" si="15"/>
        <v>6616.9354838708605</v>
      </c>
      <c r="F214" s="35">
        <f t="shared" si="16"/>
        <v>3286.6604535922443</v>
      </c>
      <c r="G214" s="35">
        <f t="shared" si="17"/>
        <v>7307.7342370781389</v>
      </c>
      <c r="H214" s="36">
        <f t="shared" si="18"/>
        <v>22.940453592244467</v>
      </c>
      <c r="I214" s="36">
        <f t="shared" si="19"/>
        <v>526.26441101792204</v>
      </c>
    </row>
    <row r="215" spans="3:9" x14ac:dyDescent="0.25">
      <c r="C215" s="41">
        <v>1011.32</v>
      </c>
      <c r="D215" s="41">
        <v>3280.12</v>
      </c>
      <c r="E215" s="34">
        <f t="shared" si="15"/>
        <v>6626.2626262626018</v>
      </c>
      <c r="F215" s="35">
        <f t="shared" si="16"/>
        <v>3304.7572810110769</v>
      </c>
      <c r="G215" s="35">
        <f t="shared" si="17"/>
        <v>7315.9662318863466</v>
      </c>
      <c r="H215" s="36">
        <f t="shared" si="18"/>
        <v>24.637281011076993</v>
      </c>
      <c r="I215" s="36">
        <f t="shared" si="19"/>
        <v>606.99561561877499</v>
      </c>
    </row>
    <row r="216" spans="3:9" x14ac:dyDescent="0.25">
      <c r="C216" s="41">
        <v>1016.28</v>
      </c>
      <c r="D216" s="41">
        <v>3296.52</v>
      </c>
      <c r="E216" s="34">
        <f t="shared" si="15"/>
        <v>6612.9032258065909</v>
      </c>
      <c r="F216" s="35">
        <f t="shared" si="16"/>
        <v>3322.911115169577</v>
      </c>
      <c r="G216" s="35">
        <f t="shared" si="17"/>
        <v>7324.2241582666538</v>
      </c>
      <c r="H216" s="36">
        <f t="shared" si="18"/>
        <v>26.391115169577006</v>
      </c>
      <c r="I216" s="36">
        <f t="shared" si="19"/>
        <v>696.49095989387752</v>
      </c>
    </row>
    <row r="217" spans="3:9" x14ac:dyDescent="0.25">
      <c r="C217" s="41">
        <v>1021.24</v>
      </c>
      <c r="D217" s="41">
        <v>3312.93</v>
      </c>
      <c r="E217" s="34">
        <f t="shared" si="15"/>
        <v>6616.9354838708605</v>
      </c>
      <c r="F217" s="35">
        <f t="shared" si="16"/>
        <v>3341.085440541578</v>
      </c>
      <c r="G217" s="35">
        <f t="shared" si="17"/>
        <v>7332.4914058146578</v>
      </c>
      <c r="H217" s="36">
        <f t="shared" si="18"/>
        <v>28.155440541578173</v>
      </c>
      <c r="I217" s="36">
        <f t="shared" si="19"/>
        <v>792.72883209034376</v>
      </c>
    </row>
    <row r="218" spans="3:9" x14ac:dyDescent="0.25">
      <c r="C218" s="41">
        <v>1026.2</v>
      </c>
      <c r="D218" s="41">
        <v>3329.33</v>
      </c>
      <c r="E218" s="34">
        <f t="shared" si="15"/>
        <v>6612.9032258064399</v>
      </c>
      <c r="F218" s="35">
        <f t="shared" si="16"/>
        <v>3359.2802802566148</v>
      </c>
      <c r="G218" s="35">
        <f t="shared" si="17"/>
        <v>7340.7679850516615</v>
      </c>
      <c r="H218" s="36">
        <f t="shared" si="18"/>
        <v>29.95028025661486</v>
      </c>
      <c r="I218" s="36">
        <f t="shared" si="19"/>
        <v>897.01928744977386</v>
      </c>
    </row>
    <row r="219" spans="3:9" x14ac:dyDescent="0.25">
      <c r="C219" s="41">
        <v>1031.1500000000001</v>
      </c>
      <c r="D219" s="41">
        <v>3345.73</v>
      </c>
      <c r="E219" s="34">
        <f t="shared" si="15"/>
        <v>6626.2626262626018</v>
      </c>
      <c r="F219" s="35">
        <f t="shared" si="16"/>
        <v>3377.4589122425923</v>
      </c>
      <c r="G219" s="35">
        <f t="shared" si="17"/>
        <v>7349.0371916183976</v>
      </c>
      <c r="H219" s="36">
        <f t="shared" si="18"/>
        <v>31.728912242592287</v>
      </c>
      <c r="I219" s="36">
        <f t="shared" si="19"/>
        <v>1006.7238720981227</v>
      </c>
    </row>
    <row r="220" spans="3:9" x14ac:dyDescent="0.25">
      <c r="C220" s="41">
        <v>1036.1099999999999</v>
      </c>
      <c r="D220" s="41">
        <v>3362.13</v>
      </c>
      <c r="E220" s="34">
        <f t="shared" si="15"/>
        <v>6612.9032258067427</v>
      </c>
      <c r="F220" s="35">
        <f t="shared" si="16"/>
        <v>3395.6948086604598</v>
      </c>
      <c r="G220" s="35">
        <f t="shared" si="17"/>
        <v>7357.3324469778354</v>
      </c>
      <c r="H220" s="36">
        <f t="shared" si="18"/>
        <v>33.564808660459676</v>
      </c>
      <c r="I220" s="36">
        <f t="shared" si="19"/>
        <v>1126.5963804132689</v>
      </c>
    </row>
    <row r="221" spans="3:9" x14ac:dyDescent="0.25">
      <c r="C221" s="41">
        <v>1041.07</v>
      </c>
      <c r="D221" s="41">
        <v>3378.54</v>
      </c>
      <c r="E221" s="34">
        <f t="shared" si="15"/>
        <v>6616.9354838708605</v>
      </c>
      <c r="F221" s="35">
        <f t="shared" si="16"/>
        <v>3413.9512889199314</v>
      </c>
      <c r="G221" s="35">
        <f t="shared" si="17"/>
        <v>7365.637065640205</v>
      </c>
      <c r="H221" s="36">
        <f t="shared" si="18"/>
        <v>35.411288919931394</v>
      </c>
      <c r="I221" s="36">
        <f t="shared" si="19"/>
        <v>1253.9593829708558</v>
      </c>
    </row>
    <row r="222" spans="3:9" x14ac:dyDescent="0.25">
      <c r="C222" s="41">
        <v>1046.03</v>
      </c>
      <c r="D222" s="41">
        <v>3394.94</v>
      </c>
      <c r="E222" s="34">
        <f t="shared" si="15"/>
        <v>6612.9032258064399</v>
      </c>
      <c r="F222" s="35">
        <f t="shared" si="16"/>
        <v>3432.2283762551015</v>
      </c>
      <c r="G222" s="35">
        <f t="shared" si="17"/>
        <v>7373.9510581743725</v>
      </c>
      <c r="H222" s="36">
        <f t="shared" si="18"/>
        <v>37.288376255101412</v>
      </c>
      <c r="I222" s="36">
        <f t="shared" si="19"/>
        <v>1390.4230037420107</v>
      </c>
    </row>
    <row r="223" spans="3:9" x14ac:dyDescent="0.25">
      <c r="C223" s="41">
        <v>1050.98</v>
      </c>
      <c r="D223" s="41">
        <v>3411.34</v>
      </c>
      <c r="E223" s="34">
        <f t="shared" si="15"/>
        <v>6626.2626262626018</v>
      </c>
      <c r="F223" s="35">
        <f t="shared" si="16"/>
        <v>3450.4891825960904</v>
      </c>
      <c r="G223" s="35">
        <f t="shared" si="17"/>
        <v>7382.2576447109868</v>
      </c>
      <c r="H223" s="36">
        <f t="shared" si="18"/>
        <v>39.149182596090213</v>
      </c>
      <c r="I223" s="36">
        <f t="shared" si="19"/>
        <v>1532.6584979420129</v>
      </c>
    </row>
    <row r="224" spans="3:9" x14ac:dyDescent="0.25">
      <c r="C224" s="41">
        <v>1055.94</v>
      </c>
      <c r="D224" s="41">
        <v>3427.74</v>
      </c>
      <c r="E224" s="34">
        <f t="shared" si="15"/>
        <v>6612.9032258062562</v>
      </c>
      <c r="F224" s="35">
        <f t="shared" si="16"/>
        <v>3468.8075122260593</v>
      </c>
      <c r="G224" s="35">
        <f t="shared" si="17"/>
        <v>7390.5903977907901</v>
      </c>
      <c r="H224" s="36">
        <f t="shared" si="18"/>
        <v>41.067512226059534</v>
      </c>
      <c r="I224" s="36">
        <f t="shared" si="19"/>
        <v>1686.5405604375494</v>
      </c>
    </row>
    <row r="225" spans="3:9" x14ac:dyDescent="0.25">
      <c r="C225" s="41">
        <v>1060.9000000000001</v>
      </c>
      <c r="D225" s="41">
        <v>3444.15</v>
      </c>
      <c r="E225" s="34">
        <f t="shared" si="15"/>
        <v>6616.9354838710442</v>
      </c>
      <c r="F225" s="35">
        <f t="shared" si="16"/>
        <v>3487.1465187444533</v>
      </c>
      <c r="G225" s="35">
        <f t="shared" si="17"/>
        <v>7398.9325564992278</v>
      </c>
      <c r="H225" s="36">
        <f t="shared" si="18"/>
        <v>42.996518744453169</v>
      </c>
      <c r="I225" s="36">
        <f t="shared" si="19"/>
        <v>1848.7006241421127</v>
      </c>
    </row>
    <row r="226" spans="3:9" x14ac:dyDescent="0.25">
      <c r="C226" s="41">
        <v>1065.8499999999999</v>
      </c>
      <c r="D226" s="41">
        <v>3460.55</v>
      </c>
      <c r="E226" s="34">
        <f t="shared" si="15"/>
        <v>6626.2626262629065</v>
      </c>
      <c r="F226" s="35">
        <f t="shared" si="16"/>
        <v>3505.4691891118518</v>
      </c>
      <c r="G226" s="35">
        <f t="shared" si="17"/>
        <v>7407.2672841200465</v>
      </c>
      <c r="H226" s="36">
        <f t="shared" si="18"/>
        <v>44.919189111851665</v>
      </c>
      <c r="I226" s="36">
        <f t="shared" si="19"/>
        <v>2017.7335504662931</v>
      </c>
    </row>
    <row r="227" spans="3:9" x14ac:dyDescent="0.25">
      <c r="C227" s="41">
        <v>1070.81</v>
      </c>
      <c r="D227" s="41">
        <v>3476.95</v>
      </c>
      <c r="E227" s="34">
        <f t="shared" si="15"/>
        <v>6612.9032258062562</v>
      </c>
      <c r="F227" s="35">
        <f t="shared" si="16"/>
        <v>3523.8495776458408</v>
      </c>
      <c r="G227" s="35">
        <f t="shared" si="17"/>
        <v>7415.6282669311649</v>
      </c>
      <c r="H227" s="36">
        <f t="shared" si="18"/>
        <v>46.899577645840964</v>
      </c>
      <c r="I227" s="36">
        <f t="shared" si="19"/>
        <v>2199.5703833582656</v>
      </c>
    </row>
    <row r="228" spans="3:9" x14ac:dyDescent="0.25">
      <c r="C228" s="41">
        <v>1075.77</v>
      </c>
      <c r="D228" s="41">
        <v>3493.35</v>
      </c>
      <c r="E228" s="34">
        <f t="shared" si="15"/>
        <v>6612.9032258064399</v>
      </c>
      <c r="F228" s="35">
        <f t="shared" si="16"/>
        <v>3542.2507131174916</v>
      </c>
      <c r="G228" s="35">
        <f t="shared" si="17"/>
        <v>7423.9986872353402</v>
      </c>
      <c r="H228" s="36">
        <f t="shared" si="18"/>
        <v>48.900713117491705</v>
      </c>
      <c r="I228" s="36">
        <f t="shared" si="19"/>
        <v>2391.2797433992255</v>
      </c>
    </row>
    <row r="229" spans="3:9" x14ac:dyDescent="0.25">
      <c r="C229" s="41">
        <v>1080.73</v>
      </c>
      <c r="D229" s="41">
        <v>3509.76</v>
      </c>
      <c r="E229" s="34">
        <f t="shared" si="15"/>
        <v>6616.9354838710442</v>
      </c>
      <c r="F229" s="35">
        <f t="shared" si="16"/>
        <v>3560.6726189449955</v>
      </c>
      <c r="G229" s="35">
        <f t="shared" si="17"/>
        <v>7432.3785556851826</v>
      </c>
      <c r="H229" s="36">
        <f t="shared" si="18"/>
        <v>50.912618944995302</v>
      </c>
      <c r="I229" s="36">
        <f t="shared" si="19"/>
        <v>2592.0947678382945</v>
      </c>
    </row>
    <row r="230" spans="3:9" x14ac:dyDescent="0.25">
      <c r="C230" s="41">
        <v>1085.68</v>
      </c>
      <c r="D230" s="41">
        <v>3526.16</v>
      </c>
      <c r="E230" s="34">
        <f t="shared" si="15"/>
        <v>6626.2626262624181</v>
      </c>
      <c r="F230" s="35">
        <f t="shared" si="16"/>
        <v>3579.0781147758671</v>
      </c>
      <c r="G230" s="35">
        <f t="shared" si="17"/>
        <v>7440.7509594560524</v>
      </c>
      <c r="H230" s="36">
        <f t="shared" si="18"/>
        <v>52.918114775867252</v>
      </c>
      <c r="I230" s="36">
        <f t="shared" si="19"/>
        <v>2800.3268714318601</v>
      </c>
    </row>
    <row r="231" spans="3:9" x14ac:dyDescent="0.25">
      <c r="C231" s="41">
        <v>1090.6400000000001</v>
      </c>
      <c r="D231" s="41">
        <v>3542.56</v>
      </c>
      <c r="E231" s="34">
        <f t="shared" si="15"/>
        <v>6612.9032258064399</v>
      </c>
      <c r="F231" s="35">
        <f t="shared" si="16"/>
        <v>3597.5415896814707</v>
      </c>
      <c r="G231" s="35">
        <f t="shared" si="17"/>
        <v>7449.1497371007044</v>
      </c>
      <c r="H231" s="36">
        <f t="shared" si="18"/>
        <v>54.981589681470723</v>
      </c>
      <c r="I231" s="36">
        <f t="shared" si="19"/>
        <v>3022.975203901608</v>
      </c>
    </row>
    <row r="232" spans="3:9" x14ac:dyDescent="0.25">
      <c r="C232" s="41">
        <v>1095.5999999999999</v>
      </c>
      <c r="D232" s="41">
        <v>3558.97</v>
      </c>
      <c r="E232" s="34">
        <f t="shared" si="15"/>
        <v>6616.9354838711633</v>
      </c>
      <c r="F232" s="35">
        <f t="shared" si="16"/>
        <v>3616.0259053088125</v>
      </c>
      <c r="G232" s="35">
        <f t="shared" si="17"/>
        <v>7457.5579948994828</v>
      </c>
      <c r="H232" s="36">
        <f t="shared" si="18"/>
        <v>57.055905308812726</v>
      </c>
      <c r="I232" s="36">
        <f t="shared" si="19"/>
        <v>3255.3763306082042</v>
      </c>
    </row>
    <row r="233" spans="3:9" x14ac:dyDescent="0.25">
      <c r="C233" s="41">
        <v>1100.56</v>
      </c>
      <c r="D233" s="41">
        <v>3575.37</v>
      </c>
      <c r="E233" s="34">
        <f t="shared" si="15"/>
        <v>6612.9032258064399</v>
      </c>
      <c r="F233" s="35">
        <f t="shared" si="16"/>
        <v>3634.5310851819449</v>
      </c>
      <c r="G233" s="35">
        <f t="shared" si="17"/>
        <v>7465.9757435531537</v>
      </c>
      <c r="H233" s="36">
        <f t="shared" si="18"/>
        <v>59.161085181945055</v>
      </c>
      <c r="I233" s="36">
        <f t="shared" si="19"/>
        <v>3500.0339999053585</v>
      </c>
    </row>
    <row r="234" spans="3:9" x14ac:dyDescent="0.25">
      <c r="C234" s="41">
        <v>1105.51</v>
      </c>
      <c r="D234" s="41">
        <v>3591.77</v>
      </c>
      <c r="E234" s="34">
        <f t="shared" si="15"/>
        <v>6626.2626262626018</v>
      </c>
      <c r="F234" s="35">
        <f t="shared" si="16"/>
        <v>3653.0197808789967</v>
      </c>
      <c r="G234" s="35">
        <f t="shared" si="17"/>
        <v>7474.3859937846537</v>
      </c>
      <c r="H234" s="36">
        <f t="shared" si="18"/>
        <v>61.249780878996717</v>
      </c>
      <c r="I234" s="36">
        <f t="shared" si="19"/>
        <v>3751.5356577251118</v>
      </c>
    </row>
    <row r="235" spans="3:9" x14ac:dyDescent="0.25">
      <c r="C235" s="41">
        <v>1110.28</v>
      </c>
      <c r="D235" s="41">
        <v>3608.17</v>
      </c>
      <c r="E235" s="34">
        <f t="shared" si="15"/>
        <v>6876.3102725367526</v>
      </c>
      <c r="F235" s="35">
        <f t="shared" si="16"/>
        <v>3670.855864937872</v>
      </c>
      <c r="G235" s="35">
        <f t="shared" si="17"/>
        <v>7482.4993800690709</v>
      </c>
      <c r="H235" s="36">
        <f t="shared" si="18"/>
        <v>62.685864937871884</v>
      </c>
      <c r="I235" s="36">
        <f t="shared" si="19"/>
        <v>3929.5176630091155</v>
      </c>
    </row>
    <row r="236" spans="3:9" x14ac:dyDescent="0.25">
      <c r="C236" s="41">
        <v>1114.8599999999999</v>
      </c>
      <c r="D236" s="41">
        <v>3624.58</v>
      </c>
      <c r="E236" s="34">
        <f t="shared" si="15"/>
        <v>7165.9388646288717</v>
      </c>
      <c r="F236" s="35">
        <f t="shared" si="16"/>
        <v>3687.9997162496115</v>
      </c>
      <c r="G236" s="35">
        <f t="shared" si="17"/>
        <v>7490.2978793156326</v>
      </c>
      <c r="H236" s="36">
        <f t="shared" si="18"/>
        <v>63.419716249611611</v>
      </c>
      <c r="I236" s="36">
        <f t="shared" si="19"/>
        <v>4022.0604091812511</v>
      </c>
    </row>
    <row r="237" spans="3:9" x14ac:dyDescent="0.25">
      <c r="C237" s="41">
        <v>1119.44</v>
      </c>
      <c r="D237" s="41">
        <v>3640.98</v>
      </c>
      <c r="E237" s="34">
        <f t="shared" si="15"/>
        <v>7161.5720524015451</v>
      </c>
      <c r="F237" s="35">
        <f t="shared" si="16"/>
        <v>3705.1614354293934</v>
      </c>
      <c r="G237" s="35">
        <f t="shared" si="17"/>
        <v>7498.1045064065711</v>
      </c>
      <c r="H237" s="36">
        <f t="shared" si="18"/>
        <v>64.181435429393332</v>
      </c>
      <c r="I237" s="36">
        <f t="shared" si="19"/>
        <v>4119.2566537773855</v>
      </c>
    </row>
    <row r="238" spans="3:9" x14ac:dyDescent="0.25">
      <c r="C238" s="41">
        <v>1124.03</v>
      </c>
      <c r="D238" s="41">
        <v>3657.38</v>
      </c>
      <c r="E238" s="34">
        <f t="shared" si="15"/>
        <v>7145.969498910843</v>
      </c>
      <c r="F238" s="35">
        <f t="shared" si="16"/>
        <v>3722.3785707387019</v>
      </c>
      <c r="G238" s="35">
        <f t="shared" si="17"/>
        <v>7505.9363415232028</v>
      </c>
      <c r="H238" s="36">
        <f t="shared" si="18"/>
        <v>64.998570738701801</v>
      </c>
      <c r="I238" s="36">
        <f t="shared" si="19"/>
        <v>4224.814198074022</v>
      </c>
    </row>
    <row r="239" spans="3:9" x14ac:dyDescent="0.25">
      <c r="C239" s="41">
        <v>1128.6199999999999</v>
      </c>
      <c r="D239" s="41">
        <v>3673.78</v>
      </c>
      <c r="E239" s="34">
        <f t="shared" si="15"/>
        <v>7145.969498910843</v>
      </c>
      <c r="F239" s="35">
        <f t="shared" si="16"/>
        <v>3739.6136894950032</v>
      </c>
      <c r="G239" s="35">
        <f t="shared" si="17"/>
        <v>7513.7763570594661</v>
      </c>
      <c r="H239" s="36">
        <f t="shared" si="18"/>
        <v>65.833689495003</v>
      </c>
      <c r="I239" s="36">
        <f t="shared" si="19"/>
        <v>4334.074672524468</v>
      </c>
    </row>
    <row r="240" spans="3:9" x14ac:dyDescent="0.25">
      <c r="C240" s="41">
        <v>1133.22</v>
      </c>
      <c r="D240" s="41">
        <v>3690.19</v>
      </c>
      <c r="E240" s="34">
        <f t="shared" si="15"/>
        <v>7134.7826086953783</v>
      </c>
      <c r="F240" s="35">
        <f t="shared" si="16"/>
        <v>3756.9044186477404</v>
      </c>
      <c r="G240" s="35">
        <f t="shared" si="17"/>
        <v>7521.6416689907346</v>
      </c>
      <c r="H240" s="36">
        <f t="shared" si="18"/>
        <v>66.714418647740331</v>
      </c>
      <c r="I240" s="36">
        <f t="shared" si="19"/>
        <v>4450.8136555059627</v>
      </c>
    </row>
    <row r="241" spans="3:9" x14ac:dyDescent="0.25">
      <c r="C241" s="41">
        <v>1137.81</v>
      </c>
      <c r="D241" s="41">
        <v>3706.59</v>
      </c>
      <c r="E241" s="34">
        <f t="shared" si="15"/>
        <v>7145.969498910843</v>
      </c>
      <c r="F241" s="35">
        <f t="shared" si="16"/>
        <v>3774.1755999512952</v>
      </c>
      <c r="G241" s="35">
        <f t="shared" si="17"/>
        <v>7529.4980888775999</v>
      </c>
      <c r="H241" s="36">
        <f t="shared" si="18"/>
        <v>67.58559995129508</v>
      </c>
      <c r="I241" s="36">
        <f t="shared" si="19"/>
        <v>4567.8133207764977</v>
      </c>
    </row>
    <row r="242" spans="3:9" x14ac:dyDescent="0.25">
      <c r="C242" s="41">
        <v>1142.4100000000001</v>
      </c>
      <c r="D242" s="41">
        <v>3722.99</v>
      </c>
      <c r="E242" s="34">
        <f t="shared" si="15"/>
        <v>7130.4347826083267</v>
      </c>
      <c r="F242" s="35">
        <f t="shared" si="16"/>
        <v>3791.5025080097862</v>
      </c>
      <c r="G242" s="35">
        <f t="shared" si="17"/>
        <v>7537.3798580893326</v>
      </c>
      <c r="H242" s="36">
        <f t="shared" si="18"/>
        <v>68.512508009786416</v>
      </c>
      <c r="I242" s="36">
        <f t="shared" si="19"/>
        <v>4693.9637537910476</v>
      </c>
    </row>
    <row r="243" spans="3:9" x14ac:dyDescent="0.25">
      <c r="C243" s="41">
        <v>1147</v>
      </c>
      <c r="D243" s="41">
        <v>3739.4</v>
      </c>
      <c r="E243" s="34">
        <f t="shared" si="15"/>
        <v>7150.3267973858838</v>
      </c>
      <c r="F243" s="35">
        <f t="shared" si="16"/>
        <v>3808.8098273174191</v>
      </c>
      <c r="G243" s="35">
        <f t="shared" si="17"/>
        <v>7545.2527166510581</v>
      </c>
      <c r="H243" s="36">
        <f t="shared" si="18"/>
        <v>69.409827317419058</v>
      </c>
      <c r="I243" s="36">
        <f t="shared" si="19"/>
        <v>4817.7241282339328</v>
      </c>
    </row>
    <row r="244" spans="3:9" x14ac:dyDescent="0.25">
      <c r="C244" s="41">
        <v>1151.5999999999999</v>
      </c>
      <c r="D244" s="41">
        <v>3755.8</v>
      </c>
      <c r="E244" s="34">
        <f t="shared" si="15"/>
        <v>7130.434782608876</v>
      </c>
      <c r="F244" s="35">
        <f t="shared" si="16"/>
        <v>3826.1729899819552</v>
      </c>
      <c r="G244" s="35">
        <f t="shared" si="17"/>
        <v>7553.1509775782633</v>
      </c>
      <c r="H244" s="36">
        <f t="shared" si="18"/>
        <v>70.372989981955016</v>
      </c>
      <c r="I244" s="36">
        <f t="shared" si="19"/>
        <v>4952.3577190003407</v>
      </c>
    </row>
    <row r="245" spans="3:9" x14ac:dyDescent="0.25">
      <c r="C245" s="41">
        <v>1156.19</v>
      </c>
      <c r="D245" s="41">
        <v>3772.2</v>
      </c>
      <c r="E245" s="34">
        <f t="shared" si="15"/>
        <v>7145.9694989102909</v>
      </c>
      <c r="F245" s="35">
        <f t="shared" si="16"/>
        <v>3843.5165229083777</v>
      </c>
      <c r="G245" s="35">
        <f t="shared" si="17"/>
        <v>7561.0403092109291</v>
      </c>
      <c r="H245" s="36">
        <f t="shared" si="18"/>
        <v>71.31652290837792</v>
      </c>
      <c r="I245" s="36">
        <f t="shared" si="19"/>
        <v>5086.0464397411924</v>
      </c>
    </row>
    <row r="246" spans="3:9" x14ac:dyDescent="0.25">
      <c r="C246" s="41">
        <v>1160.78</v>
      </c>
      <c r="D246" s="41">
        <v>3788.6</v>
      </c>
      <c r="E246" s="34">
        <f t="shared" si="15"/>
        <v>7145.969498910843</v>
      </c>
      <c r="F246" s="35">
        <f t="shared" si="16"/>
        <v>3860.8781713051958</v>
      </c>
      <c r="G246" s="35">
        <f t="shared" si="17"/>
        <v>7568.9378813188332</v>
      </c>
      <c r="H246" s="36">
        <f t="shared" si="18"/>
        <v>72.278171305195883</v>
      </c>
      <c r="I246" s="36">
        <f t="shared" si="19"/>
        <v>5224.1340472232414</v>
      </c>
    </row>
    <row r="247" spans="3:9" x14ac:dyDescent="0.25">
      <c r="C247" s="41">
        <v>1165.3800000000001</v>
      </c>
      <c r="D247" s="41">
        <v>3805</v>
      </c>
      <c r="E247" s="34">
        <f t="shared" si="15"/>
        <v>7130.4347826085241</v>
      </c>
      <c r="F247" s="35">
        <f t="shared" si="16"/>
        <v>3878.2958383557739</v>
      </c>
      <c r="G247" s="35">
        <f t="shared" si="17"/>
        <v>7576.860935532316</v>
      </c>
      <c r="H247" s="36">
        <f t="shared" si="18"/>
        <v>73.295838355773867</v>
      </c>
      <c r="I247" s="36">
        <f t="shared" si="19"/>
        <v>5372.2799202757315</v>
      </c>
    </row>
    <row r="248" spans="3:9" x14ac:dyDescent="0.25">
      <c r="C248" s="41">
        <v>1169.97</v>
      </c>
      <c r="D248" s="41">
        <v>3821.41</v>
      </c>
      <c r="E248" s="34">
        <f t="shared" si="15"/>
        <v>7150.3267973856855</v>
      </c>
      <c r="F248" s="35">
        <f t="shared" si="16"/>
        <v>3895.6938140488883</v>
      </c>
      <c r="G248" s="35">
        <f t="shared" si="17"/>
        <v>7584.7750324214758</v>
      </c>
      <c r="H248" s="36">
        <f t="shared" si="18"/>
        <v>74.283814048888416</v>
      </c>
      <c r="I248" s="36">
        <f t="shared" si="19"/>
        <v>5518.085029649832</v>
      </c>
    </row>
    <row r="249" spans="3:9" x14ac:dyDescent="0.25">
      <c r="C249" s="41">
        <v>1174.57</v>
      </c>
      <c r="D249" s="41">
        <v>3837.81</v>
      </c>
      <c r="E249" s="34">
        <f t="shared" si="15"/>
        <v>7130.434782608876</v>
      </c>
      <c r="F249" s="35">
        <f t="shared" si="16"/>
        <v>3913.1479256084908</v>
      </c>
      <c r="G249" s="35">
        <f t="shared" si="17"/>
        <v>7592.7146647346517</v>
      </c>
      <c r="H249" s="36">
        <f t="shared" si="18"/>
        <v>75.337925608490877</v>
      </c>
      <c r="I249" s="36">
        <f t="shared" si="19"/>
        <v>5675.8030349905057</v>
      </c>
    </row>
    <row r="250" spans="3:9" x14ac:dyDescent="0.25">
      <c r="C250" s="41">
        <v>1179.1600000000001</v>
      </c>
      <c r="D250" s="41">
        <v>3854.21</v>
      </c>
      <c r="E250" s="34">
        <f t="shared" si="15"/>
        <v>7145.9694989104892</v>
      </c>
      <c r="F250" s="35">
        <f t="shared" si="16"/>
        <v>3930.5823046086821</v>
      </c>
      <c r="G250" s="35">
        <f t="shared" si="17"/>
        <v>7600.6453209813126</v>
      </c>
      <c r="H250" s="36">
        <f t="shared" si="18"/>
        <v>76.372304608682043</v>
      </c>
      <c r="I250" s="36">
        <f t="shared" si="19"/>
        <v>5832.7289112413164</v>
      </c>
    </row>
    <row r="251" spans="3:9" x14ac:dyDescent="0.25">
      <c r="C251" s="41">
        <v>1183.76</v>
      </c>
      <c r="D251" s="41">
        <v>3870.61</v>
      </c>
      <c r="E251" s="34">
        <f t="shared" si="15"/>
        <v>7130.434782608876</v>
      </c>
      <c r="F251" s="35">
        <f t="shared" si="16"/>
        <v>3948.0729369333449</v>
      </c>
      <c r="G251" s="35">
        <f t="shared" si="17"/>
        <v>7608.6015660819903</v>
      </c>
      <c r="H251" s="36">
        <f t="shared" si="18"/>
        <v>77.462936933344736</v>
      </c>
      <c r="I251" s="36">
        <f t="shared" si="19"/>
        <v>6000.5065983393442</v>
      </c>
    </row>
    <row r="252" spans="3:9" x14ac:dyDescent="0.25">
      <c r="C252" s="41">
        <v>1188.3499999999999</v>
      </c>
      <c r="D252" s="41">
        <v>3887.01</v>
      </c>
      <c r="E252" s="34">
        <f t="shared" si="15"/>
        <v>7145.969498910843</v>
      </c>
      <c r="F252" s="35">
        <f t="shared" si="16"/>
        <v>3965.5437954104364</v>
      </c>
      <c r="G252" s="35">
        <f t="shared" si="17"/>
        <v>7616.5488163347436</v>
      </c>
      <c r="H252" s="36">
        <f t="shared" si="18"/>
        <v>78.533795410436142</v>
      </c>
      <c r="I252" s="36">
        <f t="shared" si="19"/>
        <v>6167.557021568241</v>
      </c>
    </row>
    <row r="253" spans="3:9" x14ac:dyDescent="0.25">
      <c r="C253" s="41">
        <v>1192.94</v>
      </c>
      <c r="D253" s="41">
        <v>3903.41</v>
      </c>
      <c r="E253" s="34">
        <f t="shared" si="15"/>
        <v>7145.9694989102909</v>
      </c>
      <c r="F253" s="35">
        <f t="shared" si="16"/>
        <v>3983.0329023505656</v>
      </c>
      <c r="G253" s="35">
        <f t="shared" si="17"/>
        <v>7624.5043675592369</v>
      </c>
      <c r="H253" s="36">
        <f t="shared" si="18"/>
        <v>79.62290235056571</v>
      </c>
      <c r="I253" s="36">
        <f t="shared" si="19"/>
        <v>6339.8065787277228</v>
      </c>
    </row>
    <row r="254" spans="3:9" x14ac:dyDescent="0.25">
      <c r="C254" s="41">
        <v>1197.54</v>
      </c>
      <c r="D254" s="41">
        <v>3919.82</v>
      </c>
      <c r="E254" s="34">
        <f t="shared" si="15"/>
        <v>7134.7826086959276</v>
      </c>
      <c r="F254" s="35">
        <f t="shared" si="16"/>
        <v>4000.5784391989514</v>
      </c>
      <c r="G254" s="35">
        <f t="shared" si="17"/>
        <v>7632.4855879632523</v>
      </c>
      <c r="H254" s="36">
        <f t="shared" si="18"/>
        <v>80.758439198951237</v>
      </c>
      <c r="I254" s="36">
        <f t="shared" si="19"/>
        <v>6521.9255018507038</v>
      </c>
    </row>
    <row r="255" spans="3:9" x14ac:dyDescent="0.25">
      <c r="C255" s="41">
        <v>1202.1300000000001</v>
      </c>
      <c r="D255" s="41">
        <v>3936.22</v>
      </c>
      <c r="E255" s="34">
        <f t="shared" si="15"/>
        <v>7145.9694989102909</v>
      </c>
      <c r="F255" s="35">
        <f t="shared" si="16"/>
        <v>4018.104140128039</v>
      </c>
      <c r="G255" s="35">
        <f t="shared" si="17"/>
        <v>7640.4577852837792</v>
      </c>
      <c r="H255" s="36">
        <f t="shared" si="18"/>
        <v>81.884140128039235</v>
      </c>
      <c r="I255" s="36">
        <f t="shared" si="19"/>
        <v>6705.0124045083649</v>
      </c>
    </row>
    <row r="256" spans="3:9" x14ac:dyDescent="0.25">
      <c r="C256" s="41">
        <v>1206.73</v>
      </c>
      <c r="D256" s="41">
        <v>3952.62</v>
      </c>
      <c r="E256" s="34">
        <f t="shared" si="15"/>
        <v>7130.434782608876</v>
      </c>
      <c r="F256" s="35">
        <f t="shared" si="16"/>
        <v>4035.6863890386194</v>
      </c>
      <c r="G256" s="35">
        <f t="shared" si="17"/>
        <v>7648.4557054936995</v>
      </c>
      <c r="H256" s="36">
        <f t="shared" si="18"/>
        <v>83.066389038619491</v>
      </c>
      <c r="I256" s="36">
        <f t="shared" si="19"/>
        <v>6900.0249879152843</v>
      </c>
    </row>
    <row r="257" spans="3:9" x14ac:dyDescent="0.25">
      <c r="C257" s="41">
        <v>1211.32</v>
      </c>
      <c r="D257" s="41">
        <v>3969.02</v>
      </c>
      <c r="E257" s="34">
        <f t="shared" si="15"/>
        <v>7145.969498910843</v>
      </c>
      <c r="F257" s="35">
        <f t="shared" si="16"/>
        <v>4053.2487605254692</v>
      </c>
      <c r="G257" s="35">
        <f t="shared" si="17"/>
        <v>7656.4445837403418</v>
      </c>
      <c r="H257" s="36">
        <f t="shared" si="18"/>
        <v>84.22876052546917</v>
      </c>
      <c r="I257" s="36">
        <f t="shared" si="19"/>
        <v>7094.4840996568337</v>
      </c>
    </row>
    <row r="258" spans="3:9" x14ac:dyDescent="0.25">
      <c r="C258" s="41">
        <v>1215.92</v>
      </c>
      <c r="D258" s="41">
        <v>3985.42</v>
      </c>
      <c r="E258" s="34">
        <f t="shared" si="15"/>
        <v>7130.4347826085241</v>
      </c>
      <c r="F258" s="35">
        <f t="shared" si="16"/>
        <v>4070.8677983141042</v>
      </c>
      <c r="G258" s="35">
        <f t="shared" si="17"/>
        <v>7664.4592386986315</v>
      </c>
      <c r="H258" s="36">
        <f t="shared" si="18"/>
        <v>85.447798314104148</v>
      </c>
      <c r="I258" s="36">
        <f t="shared" si="19"/>
        <v>7301.3262367278194</v>
      </c>
    </row>
    <row r="259" spans="3:9" x14ac:dyDescent="0.25">
      <c r="C259" s="41">
        <v>1220.47</v>
      </c>
      <c r="D259" s="41">
        <v>4001.83</v>
      </c>
      <c r="E259" s="34">
        <f t="shared" si="15"/>
        <v>7213.1868131868214</v>
      </c>
      <c r="F259" s="35">
        <f t="shared" si="16"/>
        <v>4088.3134684891015</v>
      </c>
      <c r="G259" s="35">
        <f t="shared" si="17"/>
        <v>7672.395031143491</v>
      </c>
      <c r="H259" s="36">
        <f t="shared" si="18"/>
        <v>86.483468489101597</v>
      </c>
      <c r="I259" s="36">
        <f t="shared" si="19"/>
        <v>7479.3903219054291</v>
      </c>
    </row>
    <row r="260" spans="3:9" x14ac:dyDescent="0.25">
      <c r="C260" s="41">
        <v>1224.6500000000001</v>
      </c>
      <c r="D260" s="41">
        <v>4018.23</v>
      </c>
      <c r="E260" s="34">
        <f t="shared" si="15"/>
        <v>7846.8899521530338</v>
      </c>
      <c r="F260" s="35">
        <f t="shared" si="16"/>
        <v>4104.3563989982795</v>
      </c>
      <c r="G260" s="35">
        <f t="shared" si="17"/>
        <v>7679.6927368464558</v>
      </c>
      <c r="H260" s="36">
        <f t="shared" si="18"/>
        <v>86.126398998279456</v>
      </c>
      <c r="I260" s="36">
        <f t="shared" si="19"/>
        <v>7417.7566044108326</v>
      </c>
    </row>
    <row r="261" spans="3:9" x14ac:dyDescent="0.25">
      <c r="C261" s="41">
        <v>1228.83</v>
      </c>
      <c r="D261" s="41">
        <v>4034.63</v>
      </c>
      <c r="E261" s="34">
        <f t="shared" si="15"/>
        <v>7846.8899521534604</v>
      </c>
      <c r="F261" s="35">
        <f t="shared" si="16"/>
        <v>4120.4145889649026</v>
      </c>
      <c r="G261" s="35">
        <f t="shared" si="17"/>
        <v>7686.9973838641363</v>
      </c>
      <c r="H261" s="36">
        <f t="shared" si="18"/>
        <v>85.784588964902468</v>
      </c>
      <c r="I261" s="36">
        <f t="shared" si="19"/>
        <v>7358.9957038772664</v>
      </c>
    </row>
    <row r="262" spans="3:9" x14ac:dyDescent="0.25">
      <c r="C262" s="41">
        <v>1233.02</v>
      </c>
      <c r="D262" s="41">
        <v>4051.03</v>
      </c>
      <c r="E262" s="34">
        <f t="shared" si="15"/>
        <v>7828.1622911693921</v>
      </c>
      <c r="F262" s="35">
        <f t="shared" si="16"/>
        <v>4136.5265244918592</v>
      </c>
      <c r="G262" s="35">
        <f t="shared" si="17"/>
        <v>7694.3264789888472</v>
      </c>
      <c r="H262" s="36">
        <f t="shared" si="18"/>
        <v>85.496524491858963</v>
      </c>
      <c r="I262" s="36">
        <f t="shared" si="19"/>
        <v>7309.6557001870397</v>
      </c>
    </row>
    <row r="263" spans="3:9" x14ac:dyDescent="0.25">
      <c r="C263" s="41">
        <v>1237.2</v>
      </c>
      <c r="D263" s="41">
        <v>4067.44</v>
      </c>
      <c r="E263" s="34">
        <f t="shared" si="15"/>
        <v>7851.6746411481354</v>
      </c>
      <c r="F263" s="35">
        <f t="shared" si="16"/>
        <v>4152.6153135226996</v>
      </c>
      <c r="G263" s="35">
        <f t="shared" si="17"/>
        <v>7701.6450450947714</v>
      </c>
      <c r="H263" s="36">
        <f t="shared" si="18"/>
        <v>85.175313522699525</v>
      </c>
      <c r="I263" s="36">
        <f t="shared" si="19"/>
        <v>7254.834033690161</v>
      </c>
    </row>
    <row r="264" spans="3:9" x14ac:dyDescent="0.25">
      <c r="C264" s="41">
        <v>1241.3900000000001</v>
      </c>
      <c r="D264" s="41">
        <v>4083.84</v>
      </c>
      <c r="E264" s="34">
        <f t="shared" si="15"/>
        <v>7828.1622911693921</v>
      </c>
      <c r="F264" s="35">
        <f t="shared" si="16"/>
        <v>4168.7579505266576</v>
      </c>
      <c r="G264" s="35">
        <f t="shared" si="17"/>
        <v>7708.9881058938745</v>
      </c>
      <c r="H264" s="36">
        <f t="shared" si="18"/>
        <v>84.917950526657478</v>
      </c>
      <c r="I264" s="36">
        <f t="shared" si="19"/>
        <v>7211.0583216478472</v>
      </c>
    </row>
    <row r="265" spans="3:9" x14ac:dyDescent="0.25">
      <c r="C265" s="41">
        <v>1245.57</v>
      </c>
      <c r="D265" s="41">
        <v>4100.24</v>
      </c>
      <c r="E265" s="34">
        <f t="shared" ref="E265:E328" si="20">IF(C265="","",2*(D265-D264)/((C265-C264)/1000))</f>
        <v>7846.889952153243</v>
      </c>
      <c r="F265" s="35">
        <f t="shared" ref="F265:F328" si="21">IF(C265="","",F$7+(F$9/F$10)*(EXP(F$10*(C265-F$8)/2000)-1))</f>
        <v>4184.877396928583</v>
      </c>
      <c r="G265" s="35">
        <f t="shared" ref="G265:G328" si="22">IF(E265="","",F$9+(F265-F$7)*F$10)</f>
        <v>7716.3206176110252</v>
      </c>
      <c r="H265" s="36">
        <f t="shared" ref="H265:H328" si="23">IF(F265="","",F265-D265)</f>
        <v>84.637396928583257</v>
      </c>
      <c r="I265" s="36">
        <f t="shared" ref="I265:I328" si="24">IF(H265="","",H265^2)</f>
        <v>7163.4889588465549</v>
      </c>
    </row>
    <row r="266" spans="3:9" x14ac:dyDescent="0.25">
      <c r="C266" s="41">
        <v>1249.76</v>
      </c>
      <c r="D266" s="41">
        <v>4116.6499999999996</v>
      </c>
      <c r="E266" s="34">
        <f t="shared" si="20"/>
        <v>7832.9355608590167</v>
      </c>
      <c r="F266" s="35">
        <f t="shared" si="21"/>
        <v>4201.0507939115505</v>
      </c>
      <c r="G266" s="35">
        <f t="shared" si="22"/>
        <v>7723.6776706962701</v>
      </c>
      <c r="H266" s="36">
        <f t="shared" si="23"/>
        <v>84.400793911550863</v>
      </c>
      <c r="I266" s="36">
        <f t="shared" si="24"/>
        <v>7123.4940129000815</v>
      </c>
    </row>
    <row r="267" spans="3:9" x14ac:dyDescent="0.25">
      <c r="C267" s="41">
        <v>1253.94</v>
      </c>
      <c r="D267" s="41">
        <v>4133.05</v>
      </c>
      <c r="E267" s="34">
        <f t="shared" si="20"/>
        <v>7846.8899521532512</v>
      </c>
      <c r="F267" s="35">
        <f t="shared" si="21"/>
        <v>4217.2009561025352</v>
      </c>
      <c r="G267" s="35">
        <f t="shared" si="22"/>
        <v>7731.0241545981689</v>
      </c>
      <c r="H267" s="36">
        <f t="shared" si="23"/>
        <v>84.150956102535019</v>
      </c>
      <c r="I267" s="36">
        <f t="shared" si="24"/>
        <v>7081.3834129707757</v>
      </c>
    </row>
    <row r="268" spans="3:9" x14ac:dyDescent="0.25">
      <c r="C268" s="41">
        <v>1258.1199999999999</v>
      </c>
      <c r="D268" s="41">
        <v>4149.45</v>
      </c>
      <c r="E268" s="34">
        <f t="shared" si="20"/>
        <v>7846.889952153243</v>
      </c>
      <c r="F268" s="35">
        <f t="shared" si="21"/>
        <v>4233.3664797458787</v>
      </c>
      <c r="G268" s="35">
        <f t="shared" si="22"/>
        <v>7738.3776262108495</v>
      </c>
      <c r="H268" s="36">
        <f t="shared" si="23"/>
        <v>83.91647974587886</v>
      </c>
      <c r="I268" s="36">
        <f t="shared" si="24"/>
        <v>7041.9755729404969</v>
      </c>
    </row>
    <row r="269" spans="3:9" x14ac:dyDescent="0.25">
      <c r="C269" s="41">
        <v>1262.31</v>
      </c>
      <c r="D269" s="41">
        <v>4165.8500000000004</v>
      </c>
      <c r="E269" s="34">
        <f t="shared" si="20"/>
        <v>7828.1622911696095</v>
      </c>
      <c r="F269" s="35">
        <f t="shared" si="21"/>
        <v>4249.5861081873354</v>
      </c>
      <c r="G269" s="35">
        <f t="shared" si="22"/>
        <v>7745.755709342824</v>
      </c>
      <c r="H269" s="36">
        <f t="shared" si="23"/>
        <v>83.736108187335049</v>
      </c>
      <c r="I269" s="36">
        <f t="shared" si="24"/>
        <v>7011.73581436108</v>
      </c>
    </row>
    <row r="270" spans="3:9" x14ac:dyDescent="0.25">
      <c r="C270" s="41">
        <v>1266.49</v>
      </c>
      <c r="D270" s="41">
        <v>4182.26</v>
      </c>
      <c r="E270" s="34">
        <f t="shared" si="20"/>
        <v>7851.6746411481354</v>
      </c>
      <c r="F270" s="35">
        <f t="shared" si="21"/>
        <v>4265.782435420444</v>
      </c>
      <c r="G270" s="35">
        <f t="shared" si="22"/>
        <v>7753.123193079572</v>
      </c>
      <c r="H270" s="36">
        <f t="shared" si="23"/>
        <v>83.522435420443799</v>
      </c>
      <c r="I270" s="36">
        <f t="shared" si="24"/>
        <v>6975.9972185622046</v>
      </c>
    </row>
    <row r="271" spans="3:9" x14ac:dyDescent="0.25">
      <c r="C271" s="41">
        <v>1270.68</v>
      </c>
      <c r="D271" s="41">
        <v>4198.66</v>
      </c>
      <c r="E271" s="34">
        <f t="shared" si="20"/>
        <v>7828.1622911691748</v>
      </c>
      <c r="F271" s="35">
        <f t="shared" si="21"/>
        <v>4282.0329705489803</v>
      </c>
      <c r="G271" s="35">
        <f t="shared" si="22"/>
        <v>7760.5153352331463</v>
      </c>
      <c r="H271" s="36">
        <f t="shared" si="23"/>
        <v>83.372970548980447</v>
      </c>
      <c r="I271" s="36">
        <f t="shared" si="24"/>
        <v>6951.0522181611614</v>
      </c>
    </row>
    <row r="272" spans="3:9" x14ac:dyDescent="0.25">
      <c r="C272" s="41">
        <v>1274.8599999999999</v>
      </c>
      <c r="D272" s="41">
        <v>4215.0600000000004</v>
      </c>
      <c r="E272" s="34">
        <f t="shared" si="20"/>
        <v>7846.8899521536778</v>
      </c>
      <c r="F272" s="35">
        <f t="shared" si="21"/>
        <v>4298.2601600684447</v>
      </c>
      <c r="G272" s="35">
        <f t="shared" si="22"/>
        <v>7767.8968577942233</v>
      </c>
      <c r="H272" s="36">
        <f t="shared" si="23"/>
        <v>83.200160068444347</v>
      </c>
      <c r="I272" s="36">
        <f t="shared" si="24"/>
        <v>6922.2666354147614</v>
      </c>
    </row>
    <row r="273" spans="3:9" x14ac:dyDescent="0.25">
      <c r="C273" s="41">
        <v>1279.05</v>
      </c>
      <c r="D273" s="41">
        <v>4231.46</v>
      </c>
      <c r="E273" s="34">
        <f t="shared" si="20"/>
        <v>7828.1622911691748</v>
      </c>
      <c r="F273" s="35">
        <f t="shared" si="21"/>
        <v>4314.5416607771003</v>
      </c>
      <c r="G273" s="35">
        <f t="shared" si="22"/>
        <v>7775.303085759022</v>
      </c>
      <c r="H273" s="36">
        <f t="shared" si="23"/>
        <v>83.081660777100296</v>
      </c>
      <c r="I273" s="36">
        <f t="shared" si="24"/>
        <v>6902.5623574811661</v>
      </c>
    </row>
    <row r="274" spans="3:9" x14ac:dyDescent="0.25">
      <c r="C274" s="41">
        <v>1283.23</v>
      </c>
      <c r="D274" s="41">
        <v>4247.87</v>
      </c>
      <c r="E274" s="34">
        <f t="shared" si="20"/>
        <v>7851.6746411481354</v>
      </c>
      <c r="F274" s="35">
        <f t="shared" si="21"/>
        <v>4330.7997713913619</v>
      </c>
      <c r="G274" s="35">
        <f t="shared" si="22"/>
        <v>7782.6986738955693</v>
      </c>
      <c r="H274" s="36">
        <f t="shared" si="23"/>
        <v>82.92977139136201</v>
      </c>
      <c r="I274" s="36">
        <f t="shared" si="24"/>
        <v>6877.3469830235645</v>
      </c>
    </row>
    <row r="275" spans="3:9" x14ac:dyDescent="0.25">
      <c r="C275" s="41">
        <v>1287.4100000000001</v>
      </c>
      <c r="D275" s="41">
        <v>4264.2700000000004</v>
      </c>
      <c r="E275" s="34">
        <f t="shared" si="20"/>
        <v>7846.8899521532512</v>
      </c>
      <c r="F275" s="35">
        <f t="shared" si="21"/>
        <v>4347.0733461346281</v>
      </c>
      <c r="G275" s="35">
        <f t="shared" si="22"/>
        <v>7790.1012964490747</v>
      </c>
      <c r="H275" s="36">
        <f t="shared" si="23"/>
        <v>82.803346134627645</v>
      </c>
      <c r="I275" s="36">
        <f t="shared" si="24"/>
        <v>6856.3941310909549</v>
      </c>
    </row>
    <row r="276" spans="3:9" x14ac:dyDescent="0.25">
      <c r="C276" s="41">
        <v>1291.5999999999999</v>
      </c>
      <c r="D276" s="41">
        <v>4280.67</v>
      </c>
      <c r="E276" s="34">
        <f t="shared" si="20"/>
        <v>7828.1622911695995</v>
      </c>
      <c r="F276" s="35">
        <f t="shared" si="21"/>
        <v>4363.4013873149588</v>
      </c>
      <c r="G276" s="35">
        <f t="shared" si="22"/>
        <v>7797.5286950263981</v>
      </c>
      <c r="H276" s="36">
        <f t="shared" si="23"/>
        <v>82.731387314958738</v>
      </c>
      <c r="I276" s="36">
        <f t="shared" si="24"/>
        <v>6844.4824470577159</v>
      </c>
    </row>
    <row r="277" spans="3:9" x14ac:dyDescent="0.25">
      <c r="C277" s="41">
        <v>1295.78</v>
      </c>
      <c r="D277" s="41">
        <v>4297.07</v>
      </c>
      <c r="E277" s="34">
        <f t="shared" si="20"/>
        <v>7846.8899521528165</v>
      </c>
      <c r="F277" s="35">
        <f t="shared" si="21"/>
        <v>4379.7059715405976</v>
      </c>
      <c r="G277" s="35">
        <f t="shared" si="22"/>
        <v>7804.9454233616507</v>
      </c>
      <c r="H277" s="36">
        <f t="shared" si="23"/>
        <v>82.635971540597893</v>
      </c>
      <c r="I277" s="36">
        <f t="shared" si="24"/>
        <v>6828.7037924585047</v>
      </c>
    </row>
    <row r="278" spans="3:9" x14ac:dyDescent="0.25">
      <c r="C278" s="41">
        <v>1299.97</v>
      </c>
      <c r="D278" s="41">
        <v>4313.47</v>
      </c>
      <c r="E278" s="34">
        <f t="shared" si="20"/>
        <v>7828.1622911696095</v>
      </c>
      <c r="F278" s="35">
        <f t="shared" si="21"/>
        <v>4396.0651259897186</v>
      </c>
      <c r="G278" s="35">
        <f t="shared" si="22"/>
        <v>7812.3869749317173</v>
      </c>
      <c r="H278" s="36">
        <f t="shared" si="23"/>
        <v>82.595125989718326</v>
      </c>
      <c r="I278" s="36">
        <f t="shared" si="24"/>
        <v>6821.9548372574436</v>
      </c>
    </row>
    <row r="279" spans="3:9" x14ac:dyDescent="0.25">
      <c r="C279" s="41">
        <v>1304.1500000000001</v>
      </c>
      <c r="D279" s="41">
        <v>4329.87</v>
      </c>
      <c r="E279" s="34">
        <f t="shared" si="20"/>
        <v>7846.8899521528165</v>
      </c>
      <c r="F279" s="35">
        <f t="shared" si="21"/>
        <v>4412.4007787866485</v>
      </c>
      <c r="G279" s="35">
        <f t="shared" si="22"/>
        <v>7819.8178359274443</v>
      </c>
      <c r="H279" s="36">
        <f t="shared" si="23"/>
        <v>82.530778786648625</v>
      </c>
      <c r="I279" s="36">
        <f t="shared" si="24"/>
        <v>6811.3294471307308</v>
      </c>
    </row>
    <row r="280" spans="3:9" x14ac:dyDescent="0.25">
      <c r="C280" s="41">
        <v>1308.33</v>
      </c>
      <c r="D280" s="41">
        <v>4346.2700000000004</v>
      </c>
      <c r="E280" s="34">
        <f t="shared" si="20"/>
        <v>7846.8899521536778</v>
      </c>
      <c r="F280" s="35">
        <f t="shared" si="21"/>
        <v>4428.7519694679122</v>
      </c>
      <c r="G280" s="35">
        <f t="shared" si="22"/>
        <v>7827.2557648904021</v>
      </c>
      <c r="H280" s="36">
        <f t="shared" si="23"/>
        <v>82.481969467911767</v>
      </c>
      <c r="I280" s="36">
        <f t="shared" si="24"/>
        <v>6803.2752873055288</v>
      </c>
    </row>
    <row r="281" spans="3:9" x14ac:dyDescent="0.25">
      <c r="C281" s="41">
        <v>1312.52</v>
      </c>
      <c r="D281" s="41">
        <v>4362.68</v>
      </c>
      <c r="E281" s="34">
        <f t="shared" si="20"/>
        <v>7832.9355608590167</v>
      </c>
      <c r="F281" s="35">
        <f t="shared" si="21"/>
        <v>4445.1578863609793</v>
      </c>
      <c r="G281" s="35">
        <f t="shared" si="22"/>
        <v>7834.7185880450879</v>
      </c>
      <c r="H281" s="36">
        <f t="shared" si="23"/>
        <v>82.477886360979028</v>
      </c>
      <c r="I281" s="36">
        <f t="shared" si="24"/>
        <v>6802.6017385745699</v>
      </c>
    </row>
    <row r="282" spans="3:9" x14ac:dyDescent="0.25">
      <c r="C282" s="41">
        <v>1316.7</v>
      </c>
      <c r="D282" s="41">
        <v>4379.08</v>
      </c>
      <c r="E282" s="34">
        <f t="shared" si="20"/>
        <v>7846.8899521528165</v>
      </c>
      <c r="F282" s="35">
        <f t="shared" si="21"/>
        <v>4461.5402344226704</v>
      </c>
      <c r="G282" s="35">
        <f t="shared" si="22"/>
        <v>7842.1706900665595</v>
      </c>
      <c r="H282" s="36">
        <f t="shared" si="23"/>
        <v>82.46023442267051</v>
      </c>
      <c r="I282" s="36">
        <f t="shared" si="24"/>
        <v>6799.6902610417746</v>
      </c>
    </row>
    <row r="283" spans="3:9" x14ac:dyDescent="0.25">
      <c r="C283" s="41">
        <v>1320.88</v>
      </c>
      <c r="D283" s="41">
        <v>4395.4799999999996</v>
      </c>
      <c r="E283" s="34">
        <f t="shared" si="20"/>
        <v>7846.8899521528165</v>
      </c>
      <c r="F283" s="35">
        <f t="shared" si="21"/>
        <v>4477.9381647835507</v>
      </c>
      <c r="G283" s="35">
        <f t="shared" si="22"/>
        <v>7849.6298802589599</v>
      </c>
      <c r="H283" s="36">
        <f t="shared" si="23"/>
        <v>82.458164783551183</v>
      </c>
      <c r="I283" s="36">
        <f t="shared" si="24"/>
        <v>6799.3489394712806</v>
      </c>
    </row>
    <row r="284" spans="3:9" x14ac:dyDescent="0.25">
      <c r="C284" s="41">
        <v>1325.06</v>
      </c>
      <c r="D284" s="41">
        <v>4411.88</v>
      </c>
      <c r="E284" s="34">
        <f t="shared" si="20"/>
        <v>7846.8899521536778</v>
      </c>
      <c r="F284" s="35">
        <f t="shared" si="21"/>
        <v>4494.3516922649424</v>
      </c>
      <c r="G284" s="35">
        <f t="shared" si="22"/>
        <v>7857.0961653643026</v>
      </c>
      <c r="H284" s="36">
        <f t="shared" si="23"/>
        <v>82.471692264942249</v>
      </c>
      <c r="I284" s="36">
        <f t="shared" si="24"/>
        <v>6801.5800250433349</v>
      </c>
    </row>
    <row r="285" spans="3:9" x14ac:dyDescent="0.25">
      <c r="C285" s="41">
        <v>1329.23</v>
      </c>
      <c r="D285" s="41">
        <v>4428.28</v>
      </c>
      <c r="E285" s="34">
        <f t="shared" si="20"/>
        <v>7865.7074340524459</v>
      </c>
      <c r="F285" s="35">
        <f t="shared" si="21"/>
        <v>4510.741508899222</v>
      </c>
      <c r="G285" s="35">
        <f t="shared" si="22"/>
        <v>7864.5516647354507</v>
      </c>
      <c r="H285" s="36">
        <f t="shared" si="23"/>
        <v>82.461508899222281</v>
      </c>
      <c r="I285" s="36">
        <f t="shared" si="24"/>
        <v>6799.9004499365155</v>
      </c>
    </row>
    <row r="286" spans="3:9" x14ac:dyDescent="0.25">
      <c r="C286" s="41">
        <v>1333.4</v>
      </c>
      <c r="D286" s="41">
        <v>4444.68</v>
      </c>
      <c r="E286" s="34">
        <f t="shared" si="20"/>
        <v>7865.7074340528816</v>
      </c>
      <c r="F286" s="35">
        <f t="shared" si="21"/>
        <v>4527.1468776236188</v>
      </c>
      <c r="G286" s="35">
        <f t="shared" si="22"/>
        <v>7872.0142385358413</v>
      </c>
      <c r="H286" s="36">
        <f t="shared" si="23"/>
        <v>82.466877623618529</v>
      </c>
      <c r="I286" s="36">
        <f t="shared" si="24"/>
        <v>6800.7859049888748</v>
      </c>
    </row>
    <row r="287" spans="3:9" x14ac:dyDescent="0.25">
      <c r="C287" s="41">
        <v>1337.58</v>
      </c>
      <c r="D287" s="41">
        <v>4461.08</v>
      </c>
      <c r="E287" s="34">
        <f t="shared" si="20"/>
        <v>7846.889952153243</v>
      </c>
      <c r="F287" s="35">
        <f t="shared" si="21"/>
        <v>4543.6072106595793</v>
      </c>
      <c r="G287" s="35">
        <f t="shared" si="22"/>
        <v>7879.5018148362251</v>
      </c>
      <c r="H287" s="36">
        <f t="shared" si="23"/>
        <v>82.527210659579396</v>
      </c>
      <c r="I287" s="36">
        <f t="shared" si="24"/>
        <v>6810.7404992505953</v>
      </c>
    </row>
    <row r="288" spans="3:9" x14ac:dyDescent="0.25">
      <c r="C288" s="41">
        <v>1341.75</v>
      </c>
      <c r="D288" s="41">
        <v>4477.46</v>
      </c>
      <c r="E288" s="34">
        <f t="shared" si="20"/>
        <v>7856.1151079135843</v>
      </c>
      <c r="F288" s="35">
        <f t="shared" si="21"/>
        <v>4560.0437652335122</v>
      </c>
      <c r="G288" s="35">
        <f t="shared" si="22"/>
        <v>7886.9785746453308</v>
      </c>
      <c r="H288" s="36">
        <f t="shared" si="23"/>
        <v>82.583765233512167</v>
      </c>
      <c r="I288" s="36">
        <f t="shared" si="24"/>
        <v>6820.0782801438527</v>
      </c>
    </row>
    <row r="289" spans="3:9" x14ac:dyDescent="0.25">
      <c r="C289" s="41">
        <v>1345.91</v>
      </c>
      <c r="D289" s="41">
        <v>4493.84</v>
      </c>
      <c r="E289" s="34">
        <f t="shared" si="20"/>
        <v>7874.9999999998972</v>
      </c>
      <c r="F289" s="35">
        <f t="shared" si="21"/>
        <v>4576.4564439793457</v>
      </c>
      <c r="G289" s="35">
        <f t="shared" si="22"/>
        <v>7894.4444736726864</v>
      </c>
      <c r="H289" s="36">
        <f t="shared" si="23"/>
        <v>82.616443979345604</v>
      </c>
      <c r="I289" s="36">
        <f t="shared" si="24"/>
        <v>6825.4768157923509</v>
      </c>
    </row>
    <row r="290" spans="3:9" x14ac:dyDescent="0.25">
      <c r="C290" s="41">
        <v>1350.08</v>
      </c>
      <c r="D290" s="41">
        <v>4510.22</v>
      </c>
      <c r="E290" s="34">
        <f t="shared" si="20"/>
        <v>7856.1151079140118</v>
      </c>
      <c r="F290" s="35">
        <f t="shared" si="21"/>
        <v>4592.9241687761159</v>
      </c>
      <c r="G290" s="35">
        <f t="shared" si="22"/>
        <v>7901.9354123821386</v>
      </c>
      <c r="H290" s="36">
        <f t="shared" si="23"/>
        <v>82.704168776115694</v>
      </c>
      <c r="I290" s="36">
        <f t="shared" si="24"/>
        <v>6839.9795329482304</v>
      </c>
    </row>
    <row r="291" spans="3:9" x14ac:dyDescent="0.25">
      <c r="C291" s="41">
        <v>1354.25</v>
      </c>
      <c r="D291" s="41">
        <v>4526.59</v>
      </c>
      <c r="E291" s="34">
        <f t="shared" si="20"/>
        <v>7851.3189448439352</v>
      </c>
      <c r="F291" s="35">
        <f t="shared" si="21"/>
        <v>4609.4075195890755</v>
      </c>
      <c r="G291" s="35">
        <f t="shared" si="22"/>
        <v>7909.433459148775</v>
      </c>
      <c r="H291" s="36">
        <f t="shared" si="23"/>
        <v>82.817519589075346</v>
      </c>
      <c r="I291" s="36">
        <f t="shared" si="24"/>
        <v>6858.7415508868789</v>
      </c>
    </row>
    <row r="292" spans="3:9" x14ac:dyDescent="0.25">
      <c r="C292" s="41">
        <v>1358.41</v>
      </c>
      <c r="D292" s="41">
        <v>4542.97</v>
      </c>
      <c r="E292" s="34">
        <f t="shared" si="20"/>
        <v>7874.9999999998972</v>
      </c>
      <c r="F292" s="35">
        <f t="shared" si="21"/>
        <v>4625.8669265974668</v>
      </c>
      <c r="G292" s="35">
        <f t="shared" si="22"/>
        <v>7916.920614212112</v>
      </c>
      <c r="H292" s="36">
        <f t="shared" si="23"/>
        <v>82.896926597466518</v>
      </c>
      <c r="I292" s="36">
        <f t="shared" si="24"/>
        <v>6871.9004393057521</v>
      </c>
    </row>
    <row r="293" spans="3:9" x14ac:dyDescent="0.25">
      <c r="C293" s="41">
        <v>1362.58</v>
      </c>
      <c r="D293" s="41">
        <v>4559.34</v>
      </c>
      <c r="E293" s="34">
        <f t="shared" si="20"/>
        <v>7851.3189448443627</v>
      </c>
      <c r="F293" s="35">
        <f t="shared" si="21"/>
        <v>4642.3815363774884</v>
      </c>
      <c r="G293" s="35">
        <f t="shared" si="22"/>
        <v>7924.4328802476075</v>
      </c>
      <c r="H293" s="36">
        <f t="shared" si="23"/>
        <v>83.041536377488228</v>
      </c>
      <c r="I293" s="36">
        <f t="shared" si="24"/>
        <v>6895.8967639337006</v>
      </c>
    </row>
    <row r="294" spans="3:9" x14ac:dyDescent="0.25">
      <c r="C294" s="41">
        <v>1366.74</v>
      </c>
      <c r="D294" s="41">
        <v>4575.6899999999996</v>
      </c>
      <c r="E294" s="34">
        <f t="shared" si="20"/>
        <v>7860.5769230765054</v>
      </c>
      <c r="F294" s="35">
        <f t="shared" si="21"/>
        <v>4658.8721569459931</v>
      </c>
      <c r="G294" s="35">
        <f t="shared" si="22"/>
        <v>7931.934233924816</v>
      </c>
      <c r="H294" s="36">
        <f t="shared" si="23"/>
        <v>83.182156945993484</v>
      </c>
      <c r="I294" s="36">
        <f t="shared" si="24"/>
        <v>6919.2712341878923</v>
      </c>
    </row>
    <row r="295" spans="3:9" x14ac:dyDescent="0.25">
      <c r="C295" s="41">
        <v>1370.89</v>
      </c>
      <c r="D295" s="41">
        <v>4592</v>
      </c>
      <c r="E295" s="34">
        <f t="shared" si="20"/>
        <v>7860.2409638554418</v>
      </c>
      <c r="F295" s="35">
        <f t="shared" si="21"/>
        <v>4675.3386905455809</v>
      </c>
      <c r="G295" s="35">
        <f t="shared" si="22"/>
        <v>7939.4246307752564</v>
      </c>
      <c r="H295" s="36">
        <f t="shared" si="23"/>
        <v>83.338690545580903</v>
      </c>
      <c r="I295" s="36">
        <f t="shared" si="24"/>
        <v>6945.337341852096</v>
      </c>
    </row>
    <row r="296" spans="3:9" x14ac:dyDescent="0.25">
      <c r="C296" s="41">
        <v>1375.04</v>
      </c>
      <c r="D296" s="41">
        <v>4608.32</v>
      </c>
      <c r="E296" s="34">
        <f t="shared" si="20"/>
        <v>7865.0602409639732</v>
      </c>
      <c r="F296" s="35">
        <f t="shared" si="21"/>
        <v>4691.8207740561702</v>
      </c>
      <c r="G296" s="35">
        <f t="shared" si="22"/>
        <v>7946.9221010636902</v>
      </c>
      <c r="H296" s="36">
        <f t="shared" si="23"/>
        <v>83.500774056170485</v>
      </c>
      <c r="I296" s="36">
        <f t="shared" si="24"/>
        <v>6972.3792679796343</v>
      </c>
    </row>
    <row r="297" spans="3:9" x14ac:dyDescent="0.25">
      <c r="C297" s="41">
        <v>1379.19</v>
      </c>
      <c r="D297" s="41">
        <v>4624.6400000000003</v>
      </c>
      <c r="E297" s="34">
        <f t="shared" si="20"/>
        <v>7865.0602409639805</v>
      </c>
      <c r="F297" s="35">
        <f t="shared" si="21"/>
        <v>4708.3184221620777</v>
      </c>
      <c r="G297" s="35">
        <f t="shared" si="22"/>
        <v>7954.4266514698093</v>
      </c>
      <c r="H297" s="36">
        <f t="shared" si="23"/>
        <v>83.678422162077368</v>
      </c>
      <c r="I297" s="36">
        <f t="shared" si="24"/>
        <v>7002.0783355348412</v>
      </c>
    </row>
    <row r="298" spans="3:9" x14ac:dyDescent="0.25">
      <c r="C298" s="41">
        <v>1383.35</v>
      </c>
      <c r="D298" s="41">
        <v>4640.95</v>
      </c>
      <c r="E298" s="34">
        <f t="shared" si="20"/>
        <v>7841.3461538461825</v>
      </c>
      <c r="F298" s="35">
        <f t="shared" si="21"/>
        <v>4724.8714592981905</v>
      </c>
      <c r="G298" s="35">
        <f t="shared" si="22"/>
        <v>7961.9563975745186</v>
      </c>
      <c r="H298" s="36">
        <f t="shared" si="23"/>
        <v>83.921459298190712</v>
      </c>
      <c r="I298" s="36">
        <f t="shared" si="24"/>
        <v>7042.8113307378799</v>
      </c>
    </row>
    <row r="299" spans="3:9" x14ac:dyDescent="0.25">
      <c r="C299" s="41">
        <v>1387.5</v>
      </c>
      <c r="D299" s="41">
        <v>4657.2700000000004</v>
      </c>
      <c r="E299" s="34">
        <f t="shared" si="20"/>
        <v>7865.0602409639805</v>
      </c>
      <c r="F299" s="35">
        <f t="shared" si="21"/>
        <v>4741.4003182968418</v>
      </c>
      <c r="G299" s="35">
        <f t="shared" si="22"/>
        <v>7969.4751453811587</v>
      </c>
      <c r="H299" s="36">
        <f t="shared" si="23"/>
        <v>84.130318296841324</v>
      </c>
      <c r="I299" s="36">
        <f t="shared" si="24"/>
        <v>7077.9104567278337</v>
      </c>
    </row>
    <row r="300" spans="3:9" x14ac:dyDescent="0.25">
      <c r="C300" s="41">
        <v>1391.64</v>
      </c>
      <c r="D300" s="41">
        <v>4673.55</v>
      </c>
      <c r="E300" s="34">
        <f t="shared" si="20"/>
        <v>7864.7342995165945</v>
      </c>
      <c r="F300" s="35">
        <f t="shared" si="21"/>
        <v>4757.9049011028937</v>
      </c>
      <c r="G300" s="35">
        <f t="shared" si="22"/>
        <v>7976.9828502858145</v>
      </c>
      <c r="H300" s="36">
        <f t="shared" si="23"/>
        <v>84.354901102893564</v>
      </c>
      <c r="I300" s="36">
        <f t="shared" si="24"/>
        <v>7115.7493400789535</v>
      </c>
    </row>
    <row r="301" spans="3:9" x14ac:dyDescent="0.25">
      <c r="C301" s="41">
        <v>1395.78</v>
      </c>
      <c r="D301" s="41">
        <v>4689.8100000000004</v>
      </c>
      <c r="E301" s="34">
        <f t="shared" si="20"/>
        <v>7855.0724637684625</v>
      </c>
      <c r="F301" s="35">
        <f t="shared" si="21"/>
        <v>4774.4250321771842</v>
      </c>
      <c r="G301" s="35">
        <f t="shared" si="22"/>
        <v>7984.4976278811919</v>
      </c>
      <c r="H301" s="36">
        <f t="shared" si="23"/>
        <v>84.615032177183821</v>
      </c>
      <c r="I301" s="36">
        <f t="shared" si="24"/>
        <v>7159.7036703458534</v>
      </c>
    </row>
    <row r="302" spans="3:9" x14ac:dyDescent="0.25">
      <c r="C302" s="41">
        <v>1399.91</v>
      </c>
      <c r="D302" s="41">
        <v>4706.0600000000004</v>
      </c>
      <c r="E302" s="34">
        <f t="shared" si="20"/>
        <v>7869.2493946729155</v>
      </c>
      <c r="F302" s="35">
        <f t="shared" si="21"/>
        <v>4790.9207661150949</v>
      </c>
      <c r="G302" s="35">
        <f t="shared" si="22"/>
        <v>7992.0013075589432</v>
      </c>
      <c r="H302" s="36">
        <f t="shared" si="23"/>
        <v>84.860766115094521</v>
      </c>
      <c r="I302" s="36">
        <f t="shared" si="24"/>
        <v>7201.3496256407743</v>
      </c>
    </row>
    <row r="303" spans="3:9" x14ac:dyDescent="0.25">
      <c r="C303" s="41">
        <v>1404.05</v>
      </c>
      <c r="D303" s="41">
        <v>4722.32</v>
      </c>
      <c r="E303" s="34">
        <f t="shared" si="20"/>
        <v>7855.0724637680232</v>
      </c>
      <c r="F303" s="35">
        <f t="shared" si="21"/>
        <v>4807.4720000370826</v>
      </c>
      <c r="G303" s="35">
        <f t="shared" si="22"/>
        <v>7999.5302334066555</v>
      </c>
      <c r="H303" s="36">
        <f t="shared" si="23"/>
        <v>85.152000037082871</v>
      </c>
      <c r="I303" s="36">
        <f t="shared" si="24"/>
        <v>7250.8631103153612</v>
      </c>
    </row>
    <row r="304" spans="3:9" x14ac:dyDescent="0.25">
      <c r="C304" s="41">
        <v>1408.19</v>
      </c>
      <c r="D304" s="41">
        <v>4738.57</v>
      </c>
      <c r="E304" s="34">
        <f t="shared" si="20"/>
        <v>7850.2415458935302</v>
      </c>
      <c r="F304" s="35">
        <f t="shared" si="21"/>
        <v>4824.0388261753496</v>
      </c>
      <c r="G304" s="35">
        <f t="shared" si="22"/>
        <v>8007.0662519364432</v>
      </c>
      <c r="H304" s="36">
        <f t="shared" si="23"/>
        <v>85.468826175349932</v>
      </c>
      <c r="I304" s="36">
        <f t="shared" si="24"/>
        <v>7304.9202477921817</v>
      </c>
    </row>
    <row r="305" spans="3:9" x14ac:dyDescent="0.25">
      <c r="C305" s="41">
        <v>1412.32</v>
      </c>
      <c r="D305" s="41">
        <v>4754.83</v>
      </c>
      <c r="E305" s="34">
        <f t="shared" si="20"/>
        <v>7874.0920096855607</v>
      </c>
      <c r="F305" s="35">
        <f t="shared" si="21"/>
        <v>4840.5811862173823</v>
      </c>
      <c r="G305" s="35">
        <f t="shared" si="22"/>
        <v>8014.591141179726</v>
      </c>
      <c r="H305" s="36">
        <f t="shared" si="23"/>
        <v>85.751186217382383</v>
      </c>
      <c r="I305" s="36">
        <f t="shared" si="24"/>
        <v>7353.2659376881902</v>
      </c>
    </row>
    <row r="306" spans="3:9" x14ac:dyDescent="0.25">
      <c r="C306" s="41">
        <v>1416.45</v>
      </c>
      <c r="D306" s="41">
        <v>4771.05</v>
      </c>
      <c r="E306" s="34">
        <f t="shared" si="20"/>
        <v>7854.7215496367189</v>
      </c>
      <c r="F306" s="35">
        <f t="shared" si="21"/>
        <v>4857.1390924561429</v>
      </c>
      <c r="G306" s="35">
        <f t="shared" si="22"/>
        <v>8022.123102171432</v>
      </c>
      <c r="H306" s="36">
        <f t="shared" si="23"/>
        <v>86.08909245614268</v>
      </c>
      <c r="I306" s="36">
        <f t="shared" si="24"/>
        <v>7411.3318399222826</v>
      </c>
    </row>
    <row r="307" spans="3:9" x14ac:dyDescent="0.25">
      <c r="C307" s="41">
        <v>1420.56</v>
      </c>
      <c r="D307" s="41">
        <v>4787.24</v>
      </c>
      <c r="E307" s="34">
        <f t="shared" si="20"/>
        <v>7878.3454987834511</v>
      </c>
      <c r="F307" s="35">
        <f t="shared" si="21"/>
        <v>4873.6322630628574</v>
      </c>
      <c r="G307" s="35">
        <f t="shared" si="22"/>
        <v>8029.6256158255137</v>
      </c>
      <c r="H307" s="36">
        <f t="shared" si="23"/>
        <v>86.392263062857637</v>
      </c>
      <c r="I307" s="36">
        <f t="shared" si="24"/>
        <v>7463.6231171219961</v>
      </c>
    </row>
    <row r="308" spans="3:9" x14ac:dyDescent="0.25">
      <c r="C308" s="41">
        <v>1424.63</v>
      </c>
      <c r="D308" s="41">
        <v>4803.43</v>
      </c>
      <c r="E308" s="34">
        <f t="shared" si="20"/>
        <v>7955.773955773886</v>
      </c>
      <c r="F308" s="35">
        <f t="shared" si="21"/>
        <v>4889.9801165718018</v>
      </c>
      <c r="G308" s="35">
        <f t="shared" si="22"/>
        <v>8037.0620267552513</v>
      </c>
      <c r="H308" s="36">
        <f t="shared" si="23"/>
        <v>86.550116571801482</v>
      </c>
      <c r="I308" s="36">
        <f t="shared" si="24"/>
        <v>7490.9226785924257</v>
      </c>
    </row>
    <row r="309" spans="3:9" x14ac:dyDescent="0.25">
      <c r="C309" s="41">
        <v>1428.7</v>
      </c>
      <c r="D309" s="41">
        <v>4819.63</v>
      </c>
      <c r="E309" s="34">
        <f t="shared" si="20"/>
        <v>7960.6879606879957</v>
      </c>
      <c r="F309" s="35">
        <f t="shared" si="21"/>
        <v>4906.3431101834503</v>
      </c>
      <c r="G309" s="35">
        <f t="shared" si="22"/>
        <v>8044.5053247068936</v>
      </c>
      <c r="H309" s="36">
        <f t="shared" si="23"/>
        <v>86.713110183450226</v>
      </c>
      <c r="I309" s="36">
        <f t="shared" si="24"/>
        <v>7519.1634776871797</v>
      </c>
    </row>
    <row r="310" spans="3:9" x14ac:dyDescent="0.25">
      <c r="C310" s="41">
        <v>1432.77</v>
      </c>
      <c r="D310" s="41">
        <v>4835.82</v>
      </c>
      <c r="E310" s="34">
        <f t="shared" si="20"/>
        <v>7955.7739557738832</v>
      </c>
      <c r="F310" s="35">
        <f t="shared" si="21"/>
        <v>4922.7212579193811</v>
      </c>
      <c r="G310" s="35">
        <f t="shared" si="22"/>
        <v>8051.9555160586624</v>
      </c>
      <c r="H310" s="36">
        <f t="shared" si="23"/>
        <v>86.901257919381351</v>
      </c>
      <c r="I310" s="36">
        <f t="shared" si="24"/>
        <v>7551.82862797084</v>
      </c>
    </row>
    <row r="311" spans="3:9" x14ac:dyDescent="0.25">
      <c r="C311" s="41">
        <v>1436.84</v>
      </c>
      <c r="D311" s="41">
        <v>4852.01</v>
      </c>
      <c r="E311" s="34">
        <f t="shared" si="20"/>
        <v>7955.7739557743298</v>
      </c>
      <c r="F311" s="35">
        <f t="shared" si="21"/>
        <v>4939.1145738141622</v>
      </c>
      <c r="G311" s="35">
        <f t="shared" si="22"/>
        <v>8059.4126071946876</v>
      </c>
      <c r="H311" s="36">
        <f t="shared" si="23"/>
        <v>87.104573814161995</v>
      </c>
      <c r="I311" s="36">
        <f t="shared" si="24"/>
        <v>7587.2067793467959</v>
      </c>
    </row>
    <row r="312" spans="3:9" x14ac:dyDescent="0.25">
      <c r="C312" s="41">
        <v>1440.89</v>
      </c>
      <c r="D312" s="41">
        <v>4868.16</v>
      </c>
      <c r="E312" s="34">
        <f t="shared" si="20"/>
        <v>7975.3086419747706</v>
      </c>
      <c r="F312" s="35">
        <f t="shared" si="21"/>
        <v>4955.4424033327814</v>
      </c>
      <c r="G312" s="35">
        <f t="shared" si="22"/>
        <v>8066.8399094900451</v>
      </c>
      <c r="H312" s="36">
        <f t="shared" si="23"/>
        <v>87.282403332781541</v>
      </c>
      <c r="I312" s="36">
        <f t="shared" si="24"/>
        <v>7618.2179315463545</v>
      </c>
    </row>
    <row r="313" spans="3:9" x14ac:dyDescent="0.25">
      <c r="C313" s="41">
        <v>1444.93</v>
      </c>
      <c r="D313" s="41">
        <v>4884.2299999999996</v>
      </c>
      <c r="E313" s="34">
        <f t="shared" si="20"/>
        <v>7955.4455445543826</v>
      </c>
      <c r="F313" s="35">
        <f t="shared" si="21"/>
        <v>4971.7449087434443</v>
      </c>
      <c r="G313" s="35">
        <f t="shared" si="22"/>
        <v>8074.2556922013118</v>
      </c>
      <c r="H313" s="36">
        <f t="shared" si="23"/>
        <v>87.514908743444721</v>
      </c>
      <c r="I313" s="36">
        <f t="shared" si="24"/>
        <v>7658.8592523734569</v>
      </c>
    </row>
    <row r="314" spans="3:9" x14ac:dyDescent="0.25">
      <c r="C314" s="41">
        <v>1448.97</v>
      </c>
      <c r="D314" s="41">
        <v>4900.3100000000004</v>
      </c>
      <c r="E314" s="34">
        <f t="shared" si="20"/>
        <v>7960.3960396044458</v>
      </c>
      <c r="F314" s="35">
        <f t="shared" si="21"/>
        <v>4988.0624009195717</v>
      </c>
      <c r="G314" s="35">
        <f t="shared" si="22"/>
        <v>8081.6782921835093</v>
      </c>
      <c r="H314" s="36">
        <f t="shared" si="23"/>
        <v>87.752400919571301</v>
      </c>
      <c r="I314" s="36">
        <f t="shared" si="24"/>
        <v>7700.483867149178</v>
      </c>
    </row>
    <row r="315" spans="3:9" x14ac:dyDescent="0.25">
      <c r="C315" s="41">
        <v>1453.01</v>
      </c>
      <c r="D315" s="41">
        <v>4916.38</v>
      </c>
      <c r="E315" s="34">
        <f t="shared" si="20"/>
        <v>7955.4455445543826</v>
      </c>
      <c r="F315" s="35">
        <f t="shared" si="21"/>
        <v>5004.3948936383813</v>
      </c>
      <c r="G315" s="35">
        <f t="shared" si="22"/>
        <v>8089.1077157037007</v>
      </c>
      <c r="H315" s="36">
        <f t="shared" si="23"/>
        <v>88.014893638381182</v>
      </c>
      <c r="I315" s="36">
        <f t="shared" si="24"/>
        <v>7746.6215021755525</v>
      </c>
    </row>
    <row r="316" spans="3:9" x14ac:dyDescent="0.25">
      <c r="C316" s="41">
        <v>1457.05</v>
      </c>
      <c r="D316" s="41">
        <v>4932.46</v>
      </c>
      <c r="E316" s="34">
        <f t="shared" si="20"/>
        <v>7960.3960396039956</v>
      </c>
      <c r="F316" s="35">
        <f t="shared" si="21"/>
        <v>5020.7424006897527</v>
      </c>
      <c r="G316" s="35">
        <f t="shared" si="22"/>
        <v>8096.5439690347121</v>
      </c>
      <c r="H316" s="36">
        <f t="shared" si="23"/>
        <v>88.282400689752649</v>
      </c>
      <c r="I316" s="36">
        <f t="shared" si="24"/>
        <v>7793.7822715460388</v>
      </c>
    </row>
    <row r="317" spans="3:9" x14ac:dyDescent="0.25">
      <c r="C317" s="41">
        <v>1461.09</v>
      </c>
      <c r="D317" s="41">
        <v>4948.53</v>
      </c>
      <c r="E317" s="34">
        <f t="shared" si="20"/>
        <v>7955.4455445543826</v>
      </c>
      <c r="F317" s="35">
        <f t="shared" si="21"/>
        <v>5037.1049358762475</v>
      </c>
      <c r="G317" s="35">
        <f t="shared" si="22"/>
        <v>8103.9870584551354</v>
      </c>
      <c r="H317" s="36">
        <f t="shared" si="23"/>
        <v>88.574935876247764</v>
      </c>
      <c r="I317" s="36">
        <f t="shared" si="24"/>
        <v>7845.5192654814036</v>
      </c>
    </row>
    <row r="318" spans="3:9" x14ac:dyDescent="0.25">
      <c r="C318" s="41">
        <v>1465.12</v>
      </c>
      <c r="D318" s="41">
        <v>4964.57</v>
      </c>
      <c r="E318" s="34">
        <f t="shared" si="20"/>
        <v>7960.2977667494151</v>
      </c>
      <c r="F318" s="35">
        <f t="shared" si="21"/>
        <v>5053.4419558742802</v>
      </c>
      <c r="G318" s="35">
        <f t="shared" si="22"/>
        <v>8111.4185413716077</v>
      </c>
      <c r="H318" s="36">
        <f t="shared" si="23"/>
        <v>88.871955874280502</v>
      </c>
      <c r="I318" s="36">
        <f t="shared" si="24"/>
        <v>7898.2245409200605</v>
      </c>
    </row>
    <row r="319" spans="3:9" x14ac:dyDescent="0.25">
      <c r="C319" s="41">
        <v>1469.12</v>
      </c>
      <c r="D319" s="41">
        <v>4980.51</v>
      </c>
      <c r="E319" s="34">
        <f t="shared" si="20"/>
        <v>7970.0000000002547</v>
      </c>
      <c r="F319" s="35">
        <f t="shared" si="21"/>
        <v>5069.6721747381307</v>
      </c>
      <c r="G319" s="35">
        <f t="shared" si="22"/>
        <v>8118.8014419392648</v>
      </c>
      <c r="H319" s="36">
        <f t="shared" si="23"/>
        <v>89.162174738130489</v>
      </c>
      <c r="I319" s="36">
        <f t="shared" si="24"/>
        <v>7949.893404032915</v>
      </c>
    </row>
    <row r="320" spans="3:9" x14ac:dyDescent="0.25">
      <c r="C320" s="41">
        <v>1473.13</v>
      </c>
      <c r="D320" s="41">
        <v>4996.4399999999996</v>
      </c>
      <c r="E320" s="34">
        <f t="shared" si="20"/>
        <v>7945.137157106491</v>
      </c>
      <c r="F320" s="35">
        <f t="shared" si="21"/>
        <v>5085.9577971234321</v>
      </c>
      <c r="G320" s="35">
        <f t="shared" si="22"/>
        <v>8126.2095447973779</v>
      </c>
      <c r="H320" s="36">
        <f t="shared" si="23"/>
        <v>89.517797123432501</v>
      </c>
      <c r="I320" s="36">
        <f t="shared" si="24"/>
        <v>8013.4360018320203</v>
      </c>
    </row>
    <row r="321" spans="3:9" x14ac:dyDescent="0.25">
      <c r="C321" s="41">
        <v>1477.13</v>
      </c>
      <c r="D321" s="41">
        <v>5012.38</v>
      </c>
      <c r="E321" s="34">
        <f t="shared" si="20"/>
        <v>7970.0000000002547</v>
      </c>
      <c r="F321" s="35">
        <f t="shared" si="21"/>
        <v>5102.2176114546601</v>
      </c>
      <c r="G321" s="35">
        <f t="shared" si="22"/>
        <v>8133.6059079310508</v>
      </c>
      <c r="H321" s="36">
        <f t="shared" si="23"/>
        <v>89.837611454659964</v>
      </c>
      <c r="I321" s="36">
        <f t="shared" si="24"/>
        <v>8070.7964318784516</v>
      </c>
    </row>
    <row r="322" spans="3:9" x14ac:dyDescent="0.25">
      <c r="C322" s="41">
        <v>1481.13</v>
      </c>
      <c r="D322" s="41">
        <v>5028.3100000000004</v>
      </c>
      <c r="E322" s="34">
        <f t="shared" si="20"/>
        <v>7965.0000000001455</v>
      </c>
      <c r="F322" s="35">
        <f t="shared" si="21"/>
        <v>5118.4922252431998</v>
      </c>
      <c r="G322" s="35">
        <f t="shared" si="22"/>
        <v>8141.0090031317832</v>
      </c>
      <c r="H322" s="36">
        <f t="shared" si="23"/>
        <v>90.182225243199355</v>
      </c>
      <c r="I322" s="36">
        <f t="shared" si="24"/>
        <v>8132.8337498151432</v>
      </c>
    </row>
    <row r="323" spans="3:9" x14ac:dyDescent="0.25">
      <c r="C323" s="41">
        <v>1485.14</v>
      </c>
      <c r="D323" s="41">
        <v>5044.24</v>
      </c>
      <c r="E323" s="34">
        <f t="shared" si="20"/>
        <v>7945.1371571069412</v>
      </c>
      <c r="F323" s="35">
        <f t="shared" si="21"/>
        <v>5134.8223940998314</v>
      </c>
      <c r="G323" s="35">
        <f t="shared" si="22"/>
        <v>8148.4373695594295</v>
      </c>
      <c r="H323" s="36">
        <f t="shared" si="23"/>
        <v>90.582394099831617</v>
      </c>
      <c r="I323" s="36">
        <f t="shared" si="24"/>
        <v>8205.1701208572103</v>
      </c>
    </row>
    <row r="324" spans="3:9" x14ac:dyDescent="0.25">
      <c r="C324" s="41">
        <v>1489.14</v>
      </c>
      <c r="D324" s="41">
        <v>5060.16</v>
      </c>
      <c r="E324" s="34">
        <f t="shared" si="20"/>
        <v>7960.0000000000364</v>
      </c>
      <c r="F324" s="35">
        <f t="shared" si="21"/>
        <v>5151.1266843089716</v>
      </c>
      <c r="G324" s="35">
        <f t="shared" si="22"/>
        <v>8155.8539641506713</v>
      </c>
      <c r="H324" s="36">
        <f t="shared" si="23"/>
        <v>90.966684308971708</v>
      </c>
      <c r="I324" s="36">
        <f t="shared" si="24"/>
        <v>8274.9376541681195</v>
      </c>
    </row>
    <row r="325" spans="3:9" x14ac:dyDescent="0.25">
      <c r="C325" s="41">
        <v>1493.11</v>
      </c>
      <c r="D325" s="41">
        <v>5075.96</v>
      </c>
      <c r="E325" s="34">
        <f t="shared" si="20"/>
        <v>7959.6977329979736</v>
      </c>
      <c r="F325" s="35">
        <f t="shared" si="21"/>
        <v>5167.3233657148685</v>
      </c>
      <c r="G325" s="35">
        <f t="shared" si="22"/>
        <v>8163.2216089956892</v>
      </c>
      <c r="H325" s="36">
        <f t="shared" si="23"/>
        <v>91.363365714868451</v>
      </c>
      <c r="I325" s="36">
        <f t="shared" si="24"/>
        <v>8347.2645947487999</v>
      </c>
    </row>
    <row r="326" spans="3:9" x14ac:dyDescent="0.25">
      <c r="C326" s="41">
        <v>1497.07</v>
      </c>
      <c r="D326" s="41">
        <v>5091.76</v>
      </c>
      <c r="E326" s="34">
        <f t="shared" si="20"/>
        <v>7979.7979797979979</v>
      </c>
      <c r="F326" s="35">
        <f t="shared" si="21"/>
        <v>5183.4938255673906</v>
      </c>
      <c r="G326" s="35">
        <f t="shared" si="22"/>
        <v>8170.5773260211918</v>
      </c>
      <c r="H326" s="36">
        <f t="shared" si="23"/>
        <v>91.73382556739034</v>
      </c>
      <c r="I326" s="36">
        <f t="shared" si="24"/>
        <v>8415.0947532283972</v>
      </c>
    </row>
    <row r="327" spans="3:9" x14ac:dyDescent="0.25">
      <c r="C327" s="41">
        <v>1501.04</v>
      </c>
      <c r="D327" s="41">
        <v>5107.55</v>
      </c>
      <c r="E327" s="34">
        <f t="shared" si="20"/>
        <v>7954.6599496220933</v>
      </c>
      <c r="F327" s="35">
        <f t="shared" si="21"/>
        <v>5199.7197460453071</v>
      </c>
      <c r="G327" s="35">
        <f t="shared" si="22"/>
        <v>8177.9582713129403</v>
      </c>
      <c r="H327" s="36">
        <f t="shared" si="23"/>
        <v>92.169746045306965</v>
      </c>
      <c r="I327" s="36">
        <f t="shared" si="24"/>
        <v>8495.2620860563784</v>
      </c>
    </row>
    <row r="328" spans="3:9" x14ac:dyDescent="0.25">
      <c r="C328" s="41">
        <v>1505.01</v>
      </c>
      <c r="D328" s="41">
        <v>5123.3500000000004</v>
      </c>
      <c r="E328" s="34">
        <f t="shared" si="20"/>
        <v>7959.697732997518</v>
      </c>
      <c r="F328" s="35">
        <f t="shared" si="21"/>
        <v>5215.9603243162492</v>
      </c>
      <c r="G328" s="35">
        <f t="shared" si="22"/>
        <v>8185.3458842306363</v>
      </c>
      <c r="H328" s="36">
        <f t="shared" si="23"/>
        <v>92.610324316248807</v>
      </c>
      <c r="I328" s="36">
        <f t="shared" si="24"/>
        <v>8576.6721699607842</v>
      </c>
    </row>
    <row r="329" spans="3:9" x14ac:dyDescent="0.25">
      <c r="C329" s="41">
        <v>1508.98</v>
      </c>
      <c r="D329" s="41">
        <v>5139.1499999999996</v>
      </c>
      <c r="E329" s="34">
        <f t="shared" ref="E329:E392" si="25">IF(C329="","",2*(D329-D328)/((C329-C328)/1000))</f>
        <v>7959.6977329970596</v>
      </c>
      <c r="F329" s="35">
        <f t="shared" ref="F329:F392" si="26">IF(C329="","",F$7+(F$9/F$10)*(EXP(F$10*(C329-F$8)/2000)-1))</f>
        <v>5232.2155736214327</v>
      </c>
      <c r="G329" s="35">
        <f t="shared" ref="G329:G392" si="27">IF(E329="","",F$9+(F329-F$7)*F$10)</f>
        <v>8192.7401707975259</v>
      </c>
      <c r="H329" s="36">
        <f t="shared" ref="H329:H392" si="28">IF(F329="","",F329-D329)</f>
        <v>93.065573621433032</v>
      </c>
      <c r="I329" s="36">
        <f t="shared" ref="I329:I392" si="29">IF(H329="","",H329^2)</f>
        <v>8661.2009934863709</v>
      </c>
    </row>
    <row r="330" spans="3:9" x14ac:dyDescent="0.25">
      <c r="C330" s="41">
        <v>1512.95</v>
      </c>
      <c r="D330" s="41">
        <v>5154.95</v>
      </c>
      <c r="E330" s="34">
        <f t="shared" si="25"/>
        <v>7959.697732997518</v>
      </c>
      <c r="F330" s="35">
        <f t="shared" si="26"/>
        <v>5248.4855072140354</v>
      </c>
      <c r="G330" s="35">
        <f t="shared" si="27"/>
        <v>8200.1411370422938</v>
      </c>
      <c r="H330" s="36">
        <f t="shared" si="28"/>
        <v>93.535507214035533</v>
      </c>
      <c r="I330" s="36">
        <f t="shared" si="29"/>
        <v>8748.8911097868931</v>
      </c>
    </row>
    <row r="331" spans="3:9" x14ac:dyDescent="0.25">
      <c r="C331" s="41">
        <v>1516.89</v>
      </c>
      <c r="D331" s="41">
        <v>5170.6400000000003</v>
      </c>
      <c r="E331" s="34">
        <f t="shared" si="25"/>
        <v>7964.4670050762907</v>
      </c>
      <c r="F331" s="35">
        <f t="shared" si="26"/>
        <v>5264.6470255473869</v>
      </c>
      <c r="G331" s="35">
        <f t="shared" si="27"/>
        <v>8207.4927866952312</v>
      </c>
      <c r="H331" s="36">
        <f t="shared" si="28"/>
        <v>94.007025547386547</v>
      </c>
      <c r="I331" s="36">
        <f t="shared" si="29"/>
        <v>8837.3208522669865</v>
      </c>
    </row>
    <row r="332" spans="3:9" x14ac:dyDescent="0.25">
      <c r="C332" s="41">
        <v>1520.8</v>
      </c>
      <c r="D332" s="41">
        <v>5186.34</v>
      </c>
      <c r="E332" s="34">
        <f t="shared" si="25"/>
        <v>8030.6905370846043</v>
      </c>
      <c r="F332" s="35">
        <f t="shared" si="26"/>
        <v>5280.6998107766576</v>
      </c>
      <c r="G332" s="35">
        <f t="shared" si="27"/>
        <v>8214.7949751731467</v>
      </c>
      <c r="H332" s="36">
        <f t="shared" si="28"/>
        <v>94.359810776657469</v>
      </c>
      <c r="I332" s="36">
        <f t="shared" si="29"/>
        <v>8903.7738898066036</v>
      </c>
    </row>
    <row r="333" spans="3:9" x14ac:dyDescent="0.25">
      <c r="C333" s="41">
        <v>1524.57</v>
      </c>
      <c r="D333" s="41">
        <v>5202.04</v>
      </c>
      <c r="E333" s="34">
        <f t="shared" si="25"/>
        <v>8328.9124668434451</v>
      </c>
      <c r="F333" s="35">
        <f t="shared" si="26"/>
        <v>5296.1913400409958</v>
      </c>
      <c r="G333" s="35">
        <f t="shared" si="27"/>
        <v>8221.8418561276794</v>
      </c>
      <c r="H333" s="36">
        <f t="shared" si="28"/>
        <v>94.151340040995819</v>
      </c>
      <c r="I333" s="36">
        <f t="shared" si="29"/>
        <v>8864.4748315152228</v>
      </c>
    </row>
    <row r="334" spans="3:9" x14ac:dyDescent="0.25">
      <c r="C334" s="41">
        <v>1528.33</v>
      </c>
      <c r="D334" s="41">
        <v>5217.74</v>
      </c>
      <c r="E334" s="34">
        <f t="shared" si="25"/>
        <v>8351.0638297871574</v>
      </c>
      <c r="F334" s="35">
        <f t="shared" si="26"/>
        <v>5311.6550139454203</v>
      </c>
      <c r="G334" s="35">
        <f t="shared" si="27"/>
        <v>8228.8760660668522</v>
      </c>
      <c r="H334" s="36">
        <f t="shared" si="28"/>
        <v>93.915013945420469</v>
      </c>
      <c r="I334" s="36">
        <f t="shared" si="29"/>
        <v>8820.0298443685206</v>
      </c>
    </row>
    <row r="335" spans="3:9" x14ac:dyDescent="0.25">
      <c r="C335" s="41">
        <v>1532.09</v>
      </c>
      <c r="D335" s="41">
        <v>5233.43</v>
      </c>
      <c r="E335" s="34">
        <f t="shared" si="25"/>
        <v>8345.744680851356</v>
      </c>
      <c r="F335" s="35">
        <f t="shared" si="26"/>
        <v>5327.1319178207668</v>
      </c>
      <c r="G335" s="35">
        <f t="shared" si="27"/>
        <v>8235.9162941355789</v>
      </c>
      <c r="H335" s="36">
        <f t="shared" si="28"/>
        <v>93.701917820766539</v>
      </c>
      <c r="I335" s="36">
        <f t="shared" si="29"/>
        <v>8780.0494032896859</v>
      </c>
    </row>
    <row r="336" spans="3:9" x14ac:dyDescent="0.25">
      <c r="C336" s="41">
        <v>1535.86</v>
      </c>
      <c r="D336" s="41">
        <v>5249.13</v>
      </c>
      <c r="E336" s="34">
        <f t="shared" si="25"/>
        <v>8328.9124668434451</v>
      </c>
      <c r="F336" s="35">
        <f t="shared" si="26"/>
        <v>5342.663277845556</v>
      </c>
      <c r="G336" s="35">
        <f t="shared" si="27"/>
        <v>8242.9812935484279</v>
      </c>
      <c r="H336" s="36">
        <f t="shared" si="28"/>
        <v>93.533277845555858</v>
      </c>
      <c r="I336" s="36">
        <f t="shared" si="29"/>
        <v>8748.4740645339498</v>
      </c>
    </row>
    <row r="337" spans="3:9" x14ac:dyDescent="0.25">
      <c r="C337" s="41">
        <v>1539.62</v>
      </c>
      <c r="D337" s="41">
        <v>5264.8</v>
      </c>
      <c r="E337" s="34">
        <f t="shared" si="25"/>
        <v>8335.1063829787818</v>
      </c>
      <c r="F337" s="35">
        <f t="shared" si="26"/>
        <v>5358.1667108906358</v>
      </c>
      <c r="G337" s="35">
        <f t="shared" si="27"/>
        <v>8250.033589367069</v>
      </c>
      <c r="H337" s="36">
        <f t="shared" si="28"/>
        <v>93.366710890635659</v>
      </c>
      <c r="I337" s="36">
        <f t="shared" si="29"/>
        <v>8717.3427025355431</v>
      </c>
    </row>
    <row r="338" spans="3:9" x14ac:dyDescent="0.25">
      <c r="C338" s="41">
        <v>1543.37</v>
      </c>
      <c r="D338" s="41">
        <v>5280.47</v>
      </c>
      <c r="E338" s="34">
        <f t="shared" si="25"/>
        <v>8357.3333333333721</v>
      </c>
      <c r="F338" s="35">
        <f t="shared" si="26"/>
        <v>5373.6421225099912</v>
      </c>
      <c r="G338" s="35">
        <f t="shared" si="27"/>
        <v>8257.0731386293246</v>
      </c>
      <c r="H338" s="36">
        <f t="shared" si="28"/>
        <v>93.172122509990913</v>
      </c>
      <c r="I338" s="36">
        <f t="shared" si="29"/>
        <v>8681.0444130167562</v>
      </c>
    </row>
    <row r="339" spans="3:9" x14ac:dyDescent="0.25">
      <c r="C339" s="41">
        <v>1547.13</v>
      </c>
      <c r="D339" s="41">
        <v>5296.13</v>
      </c>
      <c r="E339" s="34">
        <f t="shared" si="25"/>
        <v>8329.7872340419926</v>
      </c>
      <c r="F339" s="35">
        <f t="shared" si="26"/>
        <v>5389.1720595551305</v>
      </c>
      <c r="G339" s="35">
        <f t="shared" si="27"/>
        <v>8264.1374907485442</v>
      </c>
      <c r="H339" s="36">
        <f t="shared" si="28"/>
        <v>93.042059555130436</v>
      </c>
      <c r="I339" s="36">
        <f t="shared" si="29"/>
        <v>8656.8248462604388</v>
      </c>
    </row>
    <row r="340" spans="3:9" x14ac:dyDescent="0.25">
      <c r="C340" s="41">
        <v>1550.89</v>
      </c>
      <c r="D340" s="41">
        <v>5311.8</v>
      </c>
      <c r="E340" s="34">
        <f t="shared" si="25"/>
        <v>8335.1063829787818</v>
      </c>
      <c r="F340" s="35">
        <f t="shared" si="26"/>
        <v>5404.7152832627262</v>
      </c>
      <c r="G340" s="35">
        <f t="shared" si="27"/>
        <v>8271.2078867855089</v>
      </c>
      <c r="H340" s="36">
        <f t="shared" si="28"/>
        <v>92.915283262726007</v>
      </c>
      <c r="I340" s="36">
        <f t="shared" si="29"/>
        <v>8633.249863792611</v>
      </c>
    </row>
    <row r="341" spans="3:9" x14ac:dyDescent="0.25">
      <c r="C341" s="41">
        <v>1554.64</v>
      </c>
      <c r="D341" s="41">
        <v>5327.47</v>
      </c>
      <c r="E341" s="34">
        <f t="shared" si="25"/>
        <v>8357.3333333333721</v>
      </c>
      <c r="F341" s="35">
        <f t="shared" si="26"/>
        <v>5420.2304136256171</v>
      </c>
      <c r="G341" s="35">
        <f t="shared" si="27"/>
        <v>8278.2655035511452</v>
      </c>
      <c r="H341" s="36">
        <f t="shared" si="28"/>
        <v>92.76041362561682</v>
      </c>
      <c r="I341" s="36">
        <f t="shared" si="29"/>
        <v>8604.4943359955178</v>
      </c>
    </row>
    <row r="342" spans="3:9" x14ac:dyDescent="0.25">
      <c r="C342" s="41">
        <v>1558.4</v>
      </c>
      <c r="D342" s="41">
        <v>5343.13</v>
      </c>
      <c r="E342" s="34">
        <f t="shared" si="25"/>
        <v>8329.7872340424965</v>
      </c>
      <c r="F342" s="35">
        <f t="shared" si="26"/>
        <v>5435.8002093576733</v>
      </c>
      <c r="G342" s="35">
        <f t="shared" si="27"/>
        <v>8285.347986832041</v>
      </c>
      <c r="H342" s="36">
        <f t="shared" si="28"/>
        <v>92.67020935767323</v>
      </c>
      <c r="I342" s="36">
        <f t="shared" si="29"/>
        <v>8587.7677023949873</v>
      </c>
    </row>
    <row r="343" spans="3:9" x14ac:dyDescent="0.25">
      <c r="C343" s="41">
        <v>1562.14</v>
      </c>
      <c r="D343" s="41">
        <v>5358.73</v>
      </c>
      <c r="E343" s="34">
        <f t="shared" si="25"/>
        <v>8342.2459893045016</v>
      </c>
      <c r="F343" s="35">
        <f t="shared" si="26"/>
        <v>5451.3004016766581</v>
      </c>
      <c r="G343" s="35">
        <f t="shared" si="27"/>
        <v>8292.3988084895063</v>
      </c>
      <c r="H343" s="36">
        <f t="shared" si="28"/>
        <v>92.570401676658548</v>
      </c>
      <c r="I343" s="36">
        <f t="shared" si="29"/>
        <v>8569.279266577907</v>
      </c>
    </row>
    <row r="344" spans="3:9" x14ac:dyDescent="0.25">
      <c r="C344" s="41">
        <v>1565.88</v>
      </c>
      <c r="D344" s="41">
        <v>5374.31</v>
      </c>
      <c r="E344" s="34">
        <f t="shared" si="25"/>
        <v>8331.5508021394653</v>
      </c>
      <c r="F344" s="35">
        <f t="shared" si="26"/>
        <v>5466.8137846415739</v>
      </c>
      <c r="G344" s="35">
        <f t="shared" si="27"/>
        <v>8299.4556303881345</v>
      </c>
      <c r="H344" s="36">
        <f t="shared" si="28"/>
        <v>92.503784641573475</v>
      </c>
      <c r="I344" s="36">
        <f t="shared" si="29"/>
        <v>8556.9501730146039</v>
      </c>
    </row>
    <row r="345" spans="3:9" x14ac:dyDescent="0.25">
      <c r="C345" s="41">
        <v>1569.61</v>
      </c>
      <c r="D345" s="41">
        <v>5389.89</v>
      </c>
      <c r="E345" s="34">
        <f t="shared" si="25"/>
        <v>8353.8873994642363</v>
      </c>
      <c r="F345" s="35">
        <f t="shared" si="26"/>
        <v>5482.298836932584</v>
      </c>
      <c r="G345" s="35">
        <f t="shared" si="27"/>
        <v>8306.4995650576875</v>
      </c>
      <c r="H345" s="36">
        <f t="shared" si="28"/>
        <v>92.408836932583654</v>
      </c>
      <c r="I345" s="36">
        <f t="shared" si="29"/>
        <v>8539.3931432328372</v>
      </c>
    </row>
    <row r="346" spans="3:9" x14ac:dyDescent="0.25">
      <c r="C346" s="41">
        <v>1573.35</v>
      </c>
      <c r="D346" s="41">
        <v>5405.46</v>
      </c>
      <c r="E346" s="34">
        <f t="shared" si="25"/>
        <v>8326.2032085559749</v>
      </c>
      <c r="F346" s="35">
        <f t="shared" si="26"/>
        <v>5497.8385995304379</v>
      </c>
      <c r="G346" s="35">
        <f t="shared" si="27"/>
        <v>8313.5683866840227</v>
      </c>
      <c r="H346" s="36">
        <f t="shared" si="28"/>
        <v>92.378599530437896</v>
      </c>
      <c r="I346" s="36">
        <f t="shared" si="29"/>
        <v>8533.8056512050207</v>
      </c>
    </row>
    <row r="347" spans="3:9" x14ac:dyDescent="0.25">
      <c r="C347" s="41">
        <v>1577.08</v>
      </c>
      <c r="D347" s="41">
        <v>5421.04</v>
      </c>
      <c r="E347" s="34">
        <f t="shared" si="25"/>
        <v>8353.887399463727</v>
      </c>
      <c r="F347" s="35">
        <f t="shared" si="26"/>
        <v>5513.3499832796733</v>
      </c>
      <c r="G347" s="35">
        <f t="shared" si="27"/>
        <v>8320.6242991672771</v>
      </c>
      <c r="H347" s="36">
        <f t="shared" si="28"/>
        <v>92.309983279673361</v>
      </c>
      <c r="I347" s="36">
        <f t="shared" si="29"/>
        <v>8521.1330130935748</v>
      </c>
    </row>
    <row r="348" spans="3:9" x14ac:dyDescent="0.25">
      <c r="C348" s="41">
        <v>1580.82</v>
      </c>
      <c r="D348" s="41">
        <v>5436.62</v>
      </c>
      <c r="E348" s="34">
        <f t="shared" si="25"/>
        <v>8331.5508021389778</v>
      </c>
      <c r="F348" s="35">
        <f t="shared" si="26"/>
        <v>5528.9161703675409</v>
      </c>
      <c r="G348" s="35">
        <f t="shared" si="27"/>
        <v>8327.7051409261803</v>
      </c>
      <c r="H348" s="36">
        <f t="shared" si="28"/>
        <v>92.296170367540981</v>
      </c>
      <c r="I348" s="36">
        <f t="shared" si="29"/>
        <v>8518.5830645141505</v>
      </c>
    </row>
    <row r="349" spans="3:9" x14ac:dyDescent="0.25">
      <c r="C349" s="41">
        <v>1584.52</v>
      </c>
      <c r="D349" s="41">
        <v>5452.06</v>
      </c>
      <c r="E349" s="34">
        <f t="shared" si="25"/>
        <v>8345.9459459461195</v>
      </c>
      <c r="F349" s="35">
        <f t="shared" si="26"/>
        <v>5544.3289091809165</v>
      </c>
      <c r="G349" s="35">
        <f t="shared" si="27"/>
        <v>8334.7161812016675</v>
      </c>
      <c r="H349" s="36">
        <f t="shared" si="28"/>
        <v>92.268909180916125</v>
      </c>
      <c r="I349" s="36">
        <f t="shared" si="29"/>
        <v>8513.5516014361474</v>
      </c>
    </row>
    <row r="350" spans="3:9" x14ac:dyDescent="0.25">
      <c r="C350" s="41">
        <v>1588.21</v>
      </c>
      <c r="D350" s="41">
        <v>5467.45</v>
      </c>
      <c r="E350" s="34">
        <f t="shared" si="25"/>
        <v>8341.4634146337066</v>
      </c>
      <c r="F350" s="35">
        <f t="shared" si="26"/>
        <v>5559.7129152597063</v>
      </c>
      <c r="G350" s="35">
        <f t="shared" si="27"/>
        <v>8341.714151356271</v>
      </c>
      <c r="H350" s="36">
        <f t="shared" si="28"/>
        <v>92.26291525970646</v>
      </c>
      <c r="I350" s="36">
        <f t="shared" si="29"/>
        <v>8512.4455322197755</v>
      </c>
    </row>
    <row r="351" spans="3:9" x14ac:dyDescent="0.25">
      <c r="C351" s="41">
        <v>1591.9</v>
      </c>
      <c r="D351" s="41">
        <v>5482.84</v>
      </c>
      <c r="E351" s="34">
        <f t="shared" si="25"/>
        <v>8341.4634146341996</v>
      </c>
      <c r="F351" s="35">
        <f t="shared" si="26"/>
        <v>5575.109838012927</v>
      </c>
      <c r="G351" s="35">
        <f t="shared" si="27"/>
        <v>8348.7179971262212</v>
      </c>
      <c r="H351" s="36">
        <f t="shared" si="28"/>
        <v>92.269838012926812</v>
      </c>
      <c r="I351" s="36">
        <f t="shared" si="29"/>
        <v>8513.7230069317538</v>
      </c>
    </row>
    <row r="352" spans="3:9" x14ac:dyDescent="0.25">
      <c r="C352" s="41">
        <v>1595.59</v>
      </c>
      <c r="D352" s="41">
        <v>5498.23</v>
      </c>
      <c r="E352" s="34">
        <f t="shared" si="25"/>
        <v>8341.4634146342214</v>
      </c>
      <c r="F352" s="35">
        <f t="shared" si="26"/>
        <v>5590.519688285638</v>
      </c>
      <c r="G352" s="35">
        <f t="shared" si="27"/>
        <v>8355.7277234447811</v>
      </c>
      <c r="H352" s="36">
        <f t="shared" si="28"/>
        <v>92.289688285638476</v>
      </c>
      <c r="I352" s="36">
        <f t="shared" si="29"/>
        <v>8517.3865638603165</v>
      </c>
    </row>
    <row r="353" spans="3:9" x14ac:dyDescent="0.25">
      <c r="C353" s="41">
        <v>1599.29</v>
      </c>
      <c r="D353" s="41">
        <v>5513.62</v>
      </c>
      <c r="E353" s="34">
        <f t="shared" si="25"/>
        <v>8318.9189189189947</v>
      </c>
      <c r="F353" s="35">
        <f t="shared" si="26"/>
        <v>5605.9842906962367</v>
      </c>
      <c r="G353" s="35">
        <f t="shared" si="27"/>
        <v>8362.762355748484</v>
      </c>
      <c r="H353" s="36">
        <f t="shared" si="28"/>
        <v>92.364290696236822</v>
      </c>
      <c r="I353" s="36">
        <f t="shared" si="29"/>
        <v>8531.1621958189407</v>
      </c>
    </row>
    <row r="354" spans="3:9" x14ac:dyDescent="0.25">
      <c r="C354" s="41">
        <v>1602.98</v>
      </c>
      <c r="D354" s="41">
        <v>5529.01</v>
      </c>
      <c r="E354" s="34">
        <f t="shared" si="25"/>
        <v>8341.4634146341996</v>
      </c>
      <c r="F354" s="35">
        <f t="shared" si="26"/>
        <v>5621.4200636870992</v>
      </c>
      <c r="G354" s="35">
        <f t="shared" si="27"/>
        <v>8369.7838739505751</v>
      </c>
      <c r="H354" s="36">
        <f t="shared" si="28"/>
        <v>92.410063687098955</v>
      </c>
      <c r="I354" s="36">
        <f t="shared" si="29"/>
        <v>8539.6198706536852</v>
      </c>
    </row>
    <row r="355" spans="3:9" x14ac:dyDescent="0.25">
      <c r="C355" s="41">
        <v>1606.64</v>
      </c>
      <c r="D355" s="41">
        <v>5544.28</v>
      </c>
      <c r="E355" s="34">
        <f t="shared" si="25"/>
        <v>8344.2622950815221</v>
      </c>
      <c r="F355" s="35">
        <f t="shared" si="26"/>
        <v>5636.7431450761451</v>
      </c>
      <c r="G355" s="35">
        <f t="shared" si="27"/>
        <v>8376.754130312147</v>
      </c>
      <c r="H355" s="36">
        <f t="shared" si="28"/>
        <v>92.463145076145338</v>
      </c>
      <c r="I355" s="36">
        <f t="shared" si="29"/>
        <v>8549.4331973723001</v>
      </c>
    </row>
    <row r="356" spans="3:9" x14ac:dyDescent="0.25">
      <c r="C356" s="41">
        <v>1610.28</v>
      </c>
      <c r="D356" s="41">
        <v>5559.48</v>
      </c>
      <c r="E356" s="34">
        <f t="shared" si="25"/>
        <v>8351.6483516485441</v>
      </c>
      <c r="F356" s="35">
        <f t="shared" si="26"/>
        <v>5651.9951502337053</v>
      </c>
      <c r="G356" s="35">
        <f t="shared" si="27"/>
        <v>8383.6920550856976</v>
      </c>
      <c r="H356" s="36">
        <f t="shared" si="28"/>
        <v>92.515150233705754</v>
      </c>
      <c r="I356" s="36">
        <f t="shared" si="29"/>
        <v>8559.0530227651452</v>
      </c>
    </row>
    <row r="357" spans="3:9" x14ac:dyDescent="0.25">
      <c r="C357" s="41">
        <v>1613.93</v>
      </c>
      <c r="D357" s="41">
        <v>5574.67</v>
      </c>
      <c r="E357" s="34">
        <f t="shared" si="25"/>
        <v>8323.2876712329489</v>
      </c>
      <c r="F357" s="35">
        <f t="shared" si="26"/>
        <v>5667.3017408690457</v>
      </c>
      <c r="G357" s="35">
        <f t="shared" si="27"/>
        <v>8390.6548100330292</v>
      </c>
      <c r="H357" s="36">
        <f t="shared" si="28"/>
        <v>92.631740869045643</v>
      </c>
      <c r="I357" s="36">
        <f t="shared" si="29"/>
        <v>8580.63941643002</v>
      </c>
    </row>
    <row r="358" spans="3:9" x14ac:dyDescent="0.25">
      <c r="C358" s="41">
        <v>1617.57</v>
      </c>
      <c r="D358" s="41">
        <v>5589.87</v>
      </c>
      <c r="E358" s="34">
        <f t="shared" si="25"/>
        <v>8351.6483516485441</v>
      </c>
      <c r="F358" s="35">
        <f t="shared" si="26"/>
        <v>5682.5790557391147</v>
      </c>
      <c r="G358" s="35">
        <f t="shared" si="27"/>
        <v>8397.6042478423824</v>
      </c>
      <c r="H358" s="36">
        <f t="shared" si="28"/>
        <v>92.709055739114774</v>
      </c>
      <c r="I358" s="36">
        <f t="shared" si="29"/>
        <v>8594.9690160382906</v>
      </c>
    </row>
    <row r="359" spans="3:9" x14ac:dyDescent="0.25">
      <c r="C359" s="41">
        <v>1621.14</v>
      </c>
      <c r="D359" s="41">
        <v>5605.06</v>
      </c>
      <c r="E359" s="34">
        <f t="shared" si="25"/>
        <v>8509.8039215685221</v>
      </c>
      <c r="F359" s="35">
        <f t="shared" si="26"/>
        <v>5697.5748665842248</v>
      </c>
      <c r="G359" s="35">
        <f t="shared" si="27"/>
        <v>8404.4256333905105</v>
      </c>
      <c r="H359" s="36">
        <f t="shared" si="28"/>
        <v>92.514866584224364</v>
      </c>
      <c r="I359" s="36">
        <f t="shared" si="29"/>
        <v>8559.0005390968345</v>
      </c>
    </row>
    <row r="360" spans="3:9" x14ac:dyDescent="0.25">
      <c r="C360" s="41">
        <v>1624.56</v>
      </c>
      <c r="D360" s="41">
        <v>5620.26</v>
      </c>
      <c r="E360" s="34">
        <f t="shared" si="25"/>
        <v>8888.8888888891834</v>
      </c>
      <c r="F360" s="35">
        <f t="shared" si="26"/>
        <v>5711.9520253661876</v>
      </c>
      <c r="G360" s="35">
        <f t="shared" si="27"/>
        <v>8410.9656027293768</v>
      </c>
      <c r="H360" s="36">
        <f t="shared" si="28"/>
        <v>91.692025366187409</v>
      </c>
      <c r="I360" s="36">
        <f t="shared" si="29"/>
        <v>8407.4275157535558</v>
      </c>
    </row>
    <row r="361" spans="3:9" x14ac:dyDescent="0.25">
      <c r="C361" s="41">
        <v>1627.97</v>
      </c>
      <c r="D361" s="41">
        <v>5635.41</v>
      </c>
      <c r="E361" s="34">
        <f t="shared" si="25"/>
        <v>8885.6304985332972</v>
      </c>
      <c r="F361" s="35">
        <f t="shared" si="26"/>
        <v>5726.2982843409191</v>
      </c>
      <c r="G361" s="35">
        <f t="shared" si="27"/>
        <v>8417.4915161761892</v>
      </c>
      <c r="H361" s="36">
        <f t="shared" si="28"/>
        <v>90.888284340919199</v>
      </c>
      <c r="I361" s="36">
        <f t="shared" si="29"/>
        <v>8260.6802304357789</v>
      </c>
    </row>
    <row r="362" spans="3:9" x14ac:dyDescent="0.25">
      <c r="C362" s="41">
        <v>1631.38</v>
      </c>
      <c r="D362" s="41">
        <v>5650.53</v>
      </c>
      <c r="E362" s="34">
        <f t="shared" si="25"/>
        <v>8868.0351906155593</v>
      </c>
      <c r="F362" s="35">
        <f t="shared" si="26"/>
        <v>5740.6556743140136</v>
      </c>
      <c r="G362" s="35">
        <f t="shared" si="27"/>
        <v>8424.0224929591641</v>
      </c>
      <c r="H362" s="36">
        <f t="shared" si="28"/>
        <v>90.12567431401385</v>
      </c>
      <c r="I362" s="36">
        <f t="shared" si="29"/>
        <v>8122.6371705556958</v>
      </c>
    </row>
    <row r="363" spans="3:9" x14ac:dyDescent="0.25">
      <c r="C363" s="41">
        <v>1634.78</v>
      </c>
      <c r="D363" s="41">
        <v>5665.64</v>
      </c>
      <c r="E363" s="34">
        <f t="shared" si="25"/>
        <v>8888.2352941183453</v>
      </c>
      <c r="F363" s="35">
        <f t="shared" si="26"/>
        <v>5754.9820511770558</v>
      </c>
      <c r="G363" s="35">
        <f t="shared" si="27"/>
        <v>8430.5393623102136</v>
      </c>
      <c r="H363" s="36">
        <f t="shared" si="28"/>
        <v>89.342051177055509</v>
      </c>
      <c r="I363" s="36">
        <f t="shared" si="29"/>
        <v>7982.0021085236058</v>
      </c>
    </row>
    <row r="364" spans="3:9" x14ac:dyDescent="0.25">
      <c r="C364" s="41">
        <v>1638.19</v>
      </c>
      <c r="D364" s="41">
        <v>5680.75</v>
      </c>
      <c r="E364" s="34">
        <f t="shared" si="25"/>
        <v>8862.1700879761356</v>
      </c>
      <c r="F364" s="35">
        <f t="shared" si="26"/>
        <v>5769.3616963570466</v>
      </c>
      <c r="G364" s="35">
        <f t="shared" si="27"/>
        <v>8437.0804626769204</v>
      </c>
      <c r="H364" s="36">
        <f t="shared" si="28"/>
        <v>88.61169635704664</v>
      </c>
      <c r="I364" s="36">
        <f t="shared" si="29"/>
        <v>7852.0327312734325</v>
      </c>
    </row>
    <row r="365" spans="3:9" x14ac:dyDescent="0.25">
      <c r="C365" s="41">
        <v>1641.59</v>
      </c>
      <c r="D365" s="41">
        <v>5695.87</v>
      </c>
      <c r="E365" s="34">
        <f t="shared" si="25"/>
        <v>8894.1176470591163</v>
      </c>
      <c r="F365" s="35">
        <f t="shared" si="26"/>
        <v>5783.7102803539628</v>
      </c>
      <c r="G365" s="35">
        <f t="shared" si="27"/>
        <v>8443.6074337439495</v>
      </c>
      <c r="H365" s="36">
        <f t="shared" si="28"/>
        <v>87.840280353962953</v>
      </c>
      <c r="I365" s="36">
        <f t="shared" si="29"/>
        <v>7715.9148526628096</v>
      </c>
    </row>
    <row r="366" spans="3:9" x14ac:dyDescent="0.25">
      <c r="C366" s="41">
        <v>1645</v>
      </c>
      <c r="D366" s="41">
        <v>5710.98</v>
      </c>
      <c r="E366" s="34">
        <f t="shared" si="25"/>
        <v>8862.1700879761356</v>
      </c>
      <c r="F366" s="35">
        <f t="shared" si="26"/>
        <v>5798.1122152383641</v>
      </c>
      <c r="G366" s="35">
        <f t="shared" si="27"/>
        <v>8450.1586733868244</v>
      </c>
      <c r="H366" s="36">
        <f t="shared" si="28"/>
        <v>87.132215238364552</v>
      </c>
      <c r="I366" s="36">
        <f t="shared" si="29"/>
        <v>7592.0229323446874</v>
      </c>
    </row>
    <row r="367" spans="3:9" x14ac:dyDescent="0.25">
      <c r="C367" s="41">
        <v>1648.41</v>
      </c>
      <c r="D367" s="41">
        <v>5726.14</v>
      </c>
      <c r="E367" s="34">
        <f t="shared" si="25"/>
        <v>8891.4956011732556</v>
      </c>
      <c r="F367" s="35">
        <f t="shared" si="26"/>
        <v>5812.5253243190427</v>
      </c>
      <c r="G367" s="35">
        <f t="shared" si="27"/>
        <v>8456.714996015995</v>
      </c>
      <c r="H367" s="36">
        <f t="shared" si="28"/>
        <v>86.385324319042411</v>
      </c>
      <c r="I367" s="36">
        <f t="shared" si="29"/>
        <v>7462.4242577061405</v>
      </c>
    </row>
    <row r="368" spans="3:9" x14ac:dyDescent="0.25">
      <c r="C368" s="41">
        <v>1651.83</v>
      </c>
      <c r="D368" s="41">
        <v>5741.35</v>
      </c>
      <c r="E368" s="34">
        <f t="shared" si="25"/>
        <v>8894.7368421056872</v>
      </c>
      <c r="F368" s="35">
        <f t="shared" si="26"/>
        <v>5826.9919326960016</v>
      </c>
      <c r="G368" s="35">
        <f t="shared" si="27"/>
        <v>8463.2956547301055</v>
      </c>
      <c r="H368" s="36">
        <f t="shared" si="28"/>
        <v>85.641932696001277</v>
      </c>
      <c r="I368" s="36">
        <f t="shared" si="29"/>
        <v>7334.5406359064127</v>
      </c>
    </row>
    <row r="369" spans="3:9" x14ac:dyDescent="0.25">
      <c r="C369" s="41">
        <v>1655.26</v>
      </c>
      <c r="D369" s="41">
        <v>5756.56</v>
      </c>
      <c r="E369" s="34">
        <f t="shared" si="25"/>
        <v>8868.8046647228894</v>
      </c>
      <c r="F369" s="35">
        <f t="shared" si="26"/>
        <v>5841.5121478324027</v>
      </c>
      <c r="G369" s="35">
        <f t="shared" si="27"/>
        <v>8469.9006984126536</v>
      </c>
      <c r="H369" s="36">
        <f t="shared" si="28"/>
        <v>84.952147832402261</v>
      </c>
      <c r="I369" s="36">
        <f t="shared" si="29"/>
        <v>7216.8674213383283</v>
      </c>
    </row>
    <row r="370" spans="3:9" x14ac:dyDescent="0.25">
      <c r="C370" s="41">
        <v>1658.69</v>
      </c>
      <c r="D370" s="41">
        <v>5771.77</v>
      </c>
      <c r="E370" s="34">
        <f t="shared" si="25"/>
        <v>8868.8046647228894</v>
      </c>
      <c r="F370" s="35">
        <f t="shared" si="26"/>
        <v>5856.0436950383846</v>
      </c>
      <c r="G370" s="35">
        <f t="shared" si="27"/>
        <v>8476.510896895863</v>
      </c>
      <c r="H370" s="36">
        <f t="shared" si="28"/>
        <v>84.273695038384176</v>
      </c>
      <c r="I370" s="36">
        <f t="shared" si="29"/>
        <v>7102.0556754225772</v>
      </c>
    </row>
    <row r="371" spans="3:9" x14ac:dyDescent="0.25">
      <c r="C371" s="41">
        <v>1662.11</v>
      </c>
      <c r="D371" s="41">
        <v>5786.98</v>
      </c>
      <c r="E371" s="34">
        <f t="shared" si="25"/>
        <v>8894.7368421051542</v>
      </c>
      <c r="F371" s="35">
        <f t="shared" si="26"/>
        <v>5870.5441675748489</v>
      </c>
      <c r="G371" s="35">
        <f t="shared" si="27"/>
        <v>8483.1069599446</v>
      </c>
      <c r="H371" s="36">
        <f t="shared" si="28"/>
        <v>83.564167574849307</v>
      </c>
      <c r="I371" s="36">
        <f t="shared" si="29"/>
        <v>6982.9701024774968</v>
      </c>
    </row>
    <row r="372" spans="3:9" x14ac:dyDescent="0.25">
      <c r="C372" s="41">
        <v>1665.54</v>
      </c>
      <c r="D372" s="41">
        <v>5802.19</v>
      </c>
      <c r="E372" s="34">
        <f t="shared" si="25"/>
        <v>8868.8046647228894</v>
      </c>
      <c r="F372" s="35">
        <f t="shared" si="26"/>
        <v>5885.0983723561321</v>
      </c>
      <c r="G372" s="35">
        <f t="shared" si="27"/>
        <v>8489.7274650433246</v>
      </c>
      <c r="H372" s="36">
        <f t="shared" si="28"/>
        <v>82.908372356132531</v>
      </c>
      <c r="I372" s="36">
        <f t="shared" si="29"/>
        <v>6873.7982067431212</v>
      </c>
    </row>
    <row r="373" spans="3:9" x14ac:dyDescent="0.25">
      <c r="C373" s="41">
        <v>1668.97</v>
      </c>
      <c r="D373" s="41">
        <v>5817.42</v>
      </c>
      <c r="E373" s="34">
        <f t="shared" si="25"/>
        <v>8880.4664723033184</v>
      </c>
      <c r="F373" s="35">
        <f t="shared" si="26"/>
        <v>5899.6639357336726</v>
      </c>
      <c r="G373" s="35">
        <f t="shared" si="27"/>
        <v>8496.353137009326</v>
      </c>
      <c r="H373" s="36">
        <f t="shared" si="28"/>
        <v>82.243935733672515</v>
      </c>
      <c r="I373" s="36">
        <f t="shared" si="29"/>
        <v>6764.0649649644547</v>
      </c>
    </row>
    <row r="374" spans="3:9" x14ac:dyDescent="0.25">
      <c r="C374" s="41">
        <v>1672.41</v>
      </c>
      <c r="D374" s="41">
        <v>5832.71</v>
      </c>
      <c r="E374" s="34">
        <f t="shared" si="25"/>
        <v>8889.5348837207675</v>
      </c>
      <c r="F374" s="35">
        <f t="shared" si="26"/>
        <v>5914.2833815403528</v>
      </c>
      <c r="G374" s="35">
        <f t="shared" si="27"/>
        <v>8503.0033193420732</v>
      </c>
      <c r="H374" s="36">
        <f t="shared" si="28"/>
        <v>81.573381540352784</v>
      </c>
      <c r="I374" s="36">
        <f t="shared" si="29"/>
        <v>6654.2165759279687</v>
      </c>
    </row>
    <row r="375" spans="3:9" x14ac:dyDescent="0.25">
      <c r="C375" s="41">
        <v>1675.86</v>
      </c>
      <c r="D375" s="41">
        <v>5848</v>
      </c>
      <c r="E375" s="34">
        <f t="shared" si="25"/>
        <v>8863.7681159424756</v>
      </c>
      <c r="F375" s="35">
        <f t="shared" si="26"/>
        <v>5928.9568184784239</v>
      </c>
      <c r="G375" s="35">
        <f t="shared" si="27"/>
        <v>8509.678061488703</v>
      </c>
      <c r="H375" s="36">
        <f t="shared" si="28"/>
        <v>80.956818478423884</v>
      </c>
      <c r="I375" s="36">
        <f t="shared" si="29"/>
        <v>6554.0064581484748</v>
      </c>
    </row>
    <row r="376" spans="3:9" x14ac:dyDescent="0.25">
      <c r="C376" s="41">
        <v>1679.3</v>
      </c>
      <c r="D376" s="41">
        <v>5863.29</v>
      </c>
      <c r="E376" s="34">
        <f t="shared" si="25"/>
        <v>8889.5348837207675</v>
      </c>
      <c r="F376" s="35">
        <f t="shared" si="26"/>
        <v>5943.5991921234572</v>
      </c>
      <c r="G376" s="35">
        <f t="shared" si="27"/>
        <v>8516.3386733758616</v>
      </c>
      <c r="H376" s="36">
        <f t="shared" si="28"/>
        <v>80.309192123457251</v>
      </c>
      <c r="I376" s="36">
        <f t="shared" si="29"/>
        <v>6449.5663395223683</v>
      </c>
    </row>
    <row r="377" spans="3:9" x14ac:dyDescent="0.25">
      <c r="C377" s="41">
        <v>1682.74</v>
      </c>
      <c r="D377" s="41">
        <v>5878.58</v>
      </c>
      <c r="E377" s="34">
        <f t="shared" si="25"/>
        <v>8889.5348837207675</v>
      </c>
      <c r="F377" s="35">
        <f t="shared" si="26"/>
        <v>5958.2530265038113</v>
      </c>
      <c r="G377" s="35">
        <f t="shared" si="27"/>
        <v>8523.0044985919376</v>
      </c>
      <c r="H377" s="36">
        <f t="shared" si="28"/>
        <v>79.673026503811343</v>
      </c>
      <c r="I377" s="36">
        <f t="shared" si="29"/>
        <v>6347.7911522770246</v>
      </c>
    </row>
    <row r="378" spans="3:9" x14ac:dyDescent="0.25">
      <c r="C378" s="41">
        <v>1686.19</v>
      </c>
      <c r="D378" s="41">
        <v>5893.87</v>
      </c>
      <c r="E378" s="34">
        <f t="shared" si="25"/>
        <v>8863.7681159418917</v>
      </c>
      <c r="F378" s="35">
        <f t="shared" si="26"/>
        <v>5972.9609790161358</v>
      </c>
      <c r="G378" s="35">
        <f t="shared" si="27"/>
        <v>8529.6949413926923</v>
      </c>
      <c r="H378" s="36">
        <f t="shared" si="28"/>
        <v>79.090979016135861</v>
      </c>
      <c r="I378" s="36">
        <f t="shared" si="29"/>
        <v>6255.3829617308429</v>
      </c>
    </row>
    <row r="379" spans="3:9" x14ac:dyDescent="0.25">
      <c r="C379" s="41">
        <v>1689.63</v>
      </c>
      <c r="D379" s="41">
        <v>5909.16</v>
      </c>
      <c r="E379" s="34">
        <f t="shared" si="25"/>
        <v>8889.5348837207675</v>
      </c>
      <c r="F379" s="35">
        <f t="shared" si="26"/>
        <v>5987.6377951668219</v>
      </c>
      <c r="G379" s="35">
        <f t="shared" si="27"/>
        <v>8536.3712206960863</v>
      </c>
      <c r="H379" s="36">
        <f t="shared" si="28"/>
        <v>78.477795166822034</v>
      </c>
      <c r="I379" s="36">
        <f t="shared" si="29"/>
        <v>6158.7643342456759</v>
      </c>
    </row>
    <row r="380" spans="3:9" x14ac:dyDescent="0.25">
      <c r="C380" s="41">
        <v>1693.07</v>
      </c>
      <c r="D380" s="41">
        <v>5924.44</v>
      </c>
      <c r="E380" s="34">
        <f t="shared" si="25"/>
        <v>8883.7209302328556</v>
      </c>
      <c r="F380" s="35">
        <f t="shared" si="26"/>
        <v>6002.3260990113331</v>
      </c>
      <c r="G380" s="35">
        <f t="shared" si="27"/>
        <v>8543.0527255914458</v>
      </c>
      <c r="H380" s="36">
        <f t="shared" si="28"/>
        <v>77.886099011333499</v>
      </c>
      <c r="I380" s="36">
        <f t="shared" si="29"/>
        <v>6066.2444192032453</v>
      </c>
    </row>
    <row r="381" spans="3:9" x14ac:dyDescent="0.25">
      <c r="C381" s="41">
        <v>1696.52</v>
      </c>
      <c r="D381" s="41">
        <v>5939.73</v>
      </c>
      <c r="E381" s="34">
        <f t="shared" si="25"/>
        <v>8863.7681159418917</v>
      </c>
      <c r="F381" s="35">
        <f t="shared" si="26"/>
        <v>6017.0686482871224</v>
      </c>
      <c r="G381" s="35">
        <f t="shared" si="27"/>
        <v>8549.7589059781676</v>
      </c>
      <c r="H381" s="36">
        <f t="shared" si="28"/>
        <v>77.338648287122851</v>
      </c>
      <c r="I381" s="36">
        <f t="shared" si="29"/>
        <v>5981.2665188792898</v>
      </c>
    </row>
    <row r="382" spans="3:9" x14ac:dyDescent="0.25">
      <c r="C382" s="41">
        <v>1699.96</v>
      </c>
      <c r="D382" s="41">
        <v>5955.02</v>
      </c>
      <c r="E382" s="34">
        <f t="shared" si="25"/>
        <v>8889.5348837212969</v>
      </c>
      <c r="F382" s="35">
        <f t="shared" si="26"/>
        <v>6031.7799879608101</v>
      </c>
      <c r="G382" s="35">
        <f t="shared" si="27"/>
        <v>8556.4508895514609</v>
      </c>
      <c r="H382" s="36">
        <f t="shared" si="28"/>
        <v>76.759987960809667</v>
      </c>
      <c r="I382" s="36">
        <f t="shared" si="29"/>
        <v>5892.0957517436455</v>
      </c>
    </row>
    <row r="383" spans="3:9" x14ac:dyDescent="0.25">
      <c r="C383" s="41">
        <v>1703.4</v>
      </c>
      <c r="D383" s="41">
        <v>5970.31</v>
      </c>
      <c r="E383" s="34">
        <f t="shared" si="25"/>
        <v>8889.5348837207675</v>
      </c>
      <c r="F383" s="35">
        <f t="shared" si="26"/>
        <v>6046.5028423502335</v>
      </c>
      <c r="G383" s="35">
        <f t="shared" si="27"/>
        <v>8563.1481110086097</v>
      </c>
      <c r="H383" s="36">
        <f t="shared" si="28"/>
        <v>76.19284235023315</v>
      </c>
      <c r="I383" s="36">
        <f t="shared" si="29"/>
        <v>5805.3492254074827</v>
      </c>
    </row>
    <row r="384" spans="3:9" x14ac:dyDescent="0.25">
      <c r="C384" s="41">
        <v>1706.85</v>
      </c>
      <c r="D384" s="41">
        <v>5985.6</v>
      </c>
      <c r="E384" s="34">
        <f t="shared" si="25"/>
        <v>8863.7681159424756</v>
      </c>
      <c r="F384" s="35">
        <f t="shared" si="26"/>
        <v>6061.2800697696839</v>
      </c>
      <c r="G384" s="35">
        <f t="shared" si="27"/>
        <v>8569.8700660000159</v>
      </c>
      <c r="H384" s="36">
        <f t="shared" si="28"/>
        <v>75.680069769683541</v>
      </c>
      <c r="I384" s="36">
        <f t="shared" si="29"/>
        <v>5727.4729603441683</v>
      </c>
    </row>
    <row r="385" spans="3:9" x14ac:dyDescent="0.25">
      <c r="C385" s="41">
        <v>1710.29</v>
      </c>
      <c r="D385" s="41">
        <v>6000.88</v>
      </c>
      <c r="E385" s="34">
        <f t="shared" si="25"/>
        <v>8883.7209302322699</v>
      </c>
      <c r="F385" s="35">
        <f t="shared" si="26"/>
        <v>6076.026014174281</v>
      </c>
      <c r="G385" s="35">
        <f t="shared" si="27"/>
        <v>8576.5777907835563</v>
      </c>
      <c r="H385" s="36">
        <f t="shared" si="28"/>
        <v>75.146014174280936</v>
      </c>
      <c r="I385" s="36">
        <f t="shared" si="29"/>
        <v>5646.923446281231</v>
      </c>
    </row>
    <row r="386" spans="3:9" x14ac:dyDescent="0.25">
      <c r="C386" s="41">
        <v>1713.72</v>
      </c>
      <c r="D386" s="41">
        <v>6016.12</v>
      </c>
      <c r="E386" s="34">
        <f t="shared" si="25"/>
        <v>8886.2973760930017</v>
      </c>
      <c r="F386" s="35">
        <f t="shared" si="26"/>
        <v>6090.7405839750718</v>
      </c>
      <c r="G386" s="35">
        <f t="shared" si="27"/>
        <v>8583.271243696694</v>
      </c>
      <c r="H386" s="36">
        <f t="shared" si="28"/>
        <v>74.620583975071895</v>
      </c>
      <c r="I386" s="36">
        <f t="shared" si="29"/>
        <v>5568.2315527807568</v>
      </c>
    </row>
    <row r="387" spans="3:9" x14ac:dyDescent="0.25">
      <c r="C387" s="41">
        <v>1717.15</v>
      </c>
      <c r="D387" s="41">
        <v>6031.35</v>
      </c>
      <c r="E387" s="34">
        <f t="shared" si="25"/>
        <v>8880.4664723033184</v>
      </c>
      <c r="F387" s="35">
        <f t="shared" si="26"/>
        <v>6105.4666375264342</v>
      </c>
      <c r="G387" s="35">
        <f t="shared" si="27"/>
        <v>8589.9699204080644</v>
      </c>
      <c r="H387" s="36">
        <f t="shared" si="28"/>
        <v>74.116637526433806</v>
      </c>
      <c r="I387" s="36">
        <f t="shared" si="29"/>
        <v>5493.2759582247754</v>
      </c>
    </row>
    <row r="388" spans="3:9" x14ac:dyDescent="0.25">
      <c r="C388" s="41">
        <v>1720.48</v>
      </c>
      <c r="D388" s="41">
        <v>6046.59</v>
      </c>
      <c r="E388" s="34">
        <f t="shared" si="25"/>
        <v>9153.1531531532219</v>
      </c>
      <c r="F388" s="35">
        <f t="shared" si="26"/>
        <v>6119.7743549875213</v>
      </c>
      <c r="G388" s="35">
        <f t="shared" si="27"/>
        <v>8596.4783018569797</v>
      </c>
      <c r="H388" s="36">
        <f t="shared" si="28"/>
        <v>73.184354987521147</v>
      </c>
      <c r="I388" s="36">
        <f t="shared" si="29"/>
        <v>5355.9498149395113</v>
      </c>
    </row>
    <row r="389" spans="3:9" x14ac:dyDescent="0.25">
      <c r="C389" s="41">
        <v>1723.31</v>
      </c>
      <c r="D389" s="41">
        <v>6061.83</v>
      </c>
      <c r="E389" s="34">
        <f t="shared" si="25"/>
        <v>10770.318021201536</v>
      </c>
      <c r="F389" s="35">
        <f t="shared" si="26"/>
        <v>6131.9422873933345</v>
      </c>
      <c r="G389" s="35">
        <f t="shared" si="27"/>
        <v>8602.013324879139</v>
      </c>
      <c r="H389" s="36">
        <f t="shared" si="28"/>
        <v>70.112287393334555</v>
      </c>
      <c r="I389" s="36">
        <f t="shared" si="29"/>
        <v>4915.7328435255395</v>
      </c>
    </row>
    <row r="390" spans="3:9" x14ac:dyDescent="0.25">
      <c r="C390" s="41">
        <v>1726.14</v>
      </c>
      <c r="D390" s="41">
        <v>6077.06</v>
      </c>
      <c r="E390" s="34">
        <f t="shared" si="25"/>
        <v>10763.250883391973</v>
      </c>
      <c r="F390" s="35">
        <f t="shared" si="26"/>
        <v>6144.1180543778755</v>
      </c>
      <c r="G390" s="35">
        <f t="shared" si="27"/>
        <v>8607.5519117420699</v>
      </c>
      <c r="H390" s="36">
        <f t="shared" si="28"/>
        <v>67.058054377875123</v>
      </c>
      <c r="I390" s="36">
        <f t="shared" si="29"/>
        <v>4496.7826569460567</v>
      </c>
    </row>
    <row r="391" spans="3:9" x14ac:dyDescent="0.25">
      <c r="C391" s="41">
        <v>1728.98</v>
      </c>
      <c r="D391" s="41">
        <v>6092.3</v>
      </c>
      <c r="E391" s="34">
        <f t="shared" si="25"/>
        <v>10732.394366197339</v>
      </c>
      <c r="F391" s="35">
        <f t="shared" si="26"/>
        <v>6156.3447265048908</v>
      </c>
      <c r="G391" s="35">
        <f t="shared" si="27"/>
        <v>8613.1136546454982</v>
      </c>
      <c r="H391" s="36">
        <f t="shared" si="28"/>
        <v>64.044726504890605</v>
      </c>
      <c r="I391" s="36">
        <f t="shared" si="29"/>
        <v>4101.7269930862367</v>
      </c>
    </row>
    <row r="392" spans="3:9" x14ac:dyDescent="0.25">
      <c r="C392" s="41">
        <v>1731.79</v>
      </c>
      <c r="D392" s="41">
        <v>6107.45</v>
      </c>
      <c r="E392" s="34">
        <f t="shared" si="25"/>
        <v>10782.918149466142</v>
      </c>
      <c r="F392" s="35">
        <f t="shared" si="26"/>
        <v>6168.4500191142752</v>
      </c>
      <c r="G392" s="35">
        <f t="shared" si="27"/>
        <v>8618.6201836964738</v>
      </c>
      <c r="H392" s="36">
        <f t="shared" si="28"/>
        <v>61.000019114275347</v>
      </c>
      <c r="I392" s="36">
        <f t="shared" si="29"/>
        <v>3721.0023319419574</v>
      </c>
    </row>
    <row r="393" spans="3:9" x14ac:dyDescent="0.25">
      <c r="C393" s="41">
        <v>1734.61</v>
      </c>
      <c r="D393" s="41">
        <v>6122.61</v>
      </c>
      <c r="E393" s="34">
        <f t="shared" ref="E393:E456" si="30">IF(C393="","",2*(D393-D392)/((C393-C392)/1000))</f>
        <v>10751.77304964553</v>
      </c>
      <c r="F393" s="35">
        <f t="shared" ref="F393:F456" si="31">IF(C393="","",F$7+(F$9/F$10)*(EXP(F$10*(C393-F$8)/2000)-1))</f>
        <v>6180.6061715700162</v>
      </c>
      <c r="G393" s="35">
        <f t="shared" ref="G393:G456" si="32">IF(E393="","",F$9+(F393-F$7)*F$10)</f>
        <v>8624.1498481833733</v>
      </c>
      <c r="H393" s="36">
        <f t="shared" ref="H393:H456" si="33">IF(F393="","",F393-D393)</f>
        <v>57.996171570016486</v>
      </c>
      <c r="I393" s="36">
        <f t="shared" ref="I393:I456" si="34">IF(H393="","",H393^2)</f>
        <v>3363.5559167787883</v>
      </c>
    </row>
    <row r="394" spans="3:9" x14ac:dyDescent="0.25">
      <c r="C394" s="41">
        <v>1737.43</v>
      </c>
      <c r="D394" s="41">
        <v>6137.76</v>
      </c>
      <c r="E394" s="34">
        <f t="shared" si="30"/>
        <v>10744.680851063593</v>
      </c>
      <c r="F394" s="35">
        <f t="shared" si="31"/>
        <v>6192.7701233536218</v>
      </c>
      <c r="G394" s="35">
        <f t="shared" si="32"/>
        <v>8629.6830604759161</v>
      </c>
      <c r="H394" s="36">
        <f t="shared" si="33"/>
        <v>55.010123353621566</v>
      </c>
      <c r="I394" s="36">
        <f t="shared" si="34"/>
        <v>3026.1136713806609</v>
      </c>
    </row>
    <row r="395" spans="3:9" x14ac:dyDescent="0.25">
      <c r="C395" s="41">
        <v>1740.24</v>
      </c>
      <c r="D395" s="41">
        <v>6152.92</v>
      </c>
      <c r="E395" s="34">
        <f t="shared" si="30"/>
        <v>10790.035587188719</v>
      </c>
      <c r="F395" s="35">
        <f t="shared" si="31"/>
        <v>6204.8987034190841</v>
      </c>
      <c r="G395" s="35">
        <f t="shared" si="32"/>
        <v>8635.2001826664018</v>
      </c>
      <c r="H395" s="36">
        <f t="shared" si="33"/>
        <v>51.978703419084013</v>
      </c>
      <c r="I395" s="36">
        <f t="shared" si="34"/>
        <v>2701.785609129096</v>
      </c>
    </row>
    <row r="396" spans="3:9" x14ac:dyDescent="0.25">
      <c r="C396" s="41">
        <v>1743.06</v>
      </c>
      <c r="D396" s="41">
        <v>6168.07</v>
      </c>
      <c r="E396" s="34">
        <f t="shared" si="30"/>
        <v>10744.680851063815</v>
      </c>
      <c r="F396" s="35">
        <f t="shared" si="31"/>
        <v>6217.0782411721111</v>
      </c>
      <c r="G396" s="35">
        <f t="shared" si="32"/>
        <v>8640.7404847994112</v>
      </c>
      <c r="H396" s="36">
        <f t="shared" si="33"/>
        <v>49.008241172111411</v>
      </c>
      <c r="I396" s="36">
        <f t="shared" si="34"/>
        <v>2401.8077027838362</v>
      </c>
    </row>
    <row r="397" spans="3:9" x14ac:dyDescent="0.25">
      <c r="C397" s="41">
        <v>1745.88</v>
      </c>
      <c r="D397" s="41">
        <v>6183.23</v>
      </c>
      <c r="E397" s="34">
        <f t="shared" si="30"/>
        <v>10751.773049644664</v>
      </c>
      <c r="F397" s="35">
        <f t="shared" si="31"/>
        <v>6229.2655932568941</v>
      </c>
      <c r="G397" s="35">
        <f t="shared" si="32"/>
        <v>8646.2843415631305</v>
      </c>
      <c r="H397" s="36">
        <f t="shared" si="33"/>
        <v>46.035593256894572</v>
      </c>
      <c r="I397" s="36">
        <f t="shared" si="34"/>
        <v>2119.2758465142369</v>
      </c>
    </row>
    <row r="398" spans="3:9" x14ac:dyDescent="0.25">
      <c r="C398" s="41">
        <v>1748.69</v>
      </c>
      <c r="D398" s="41">
        <v>6198.33</v>
      </c>
      <c r="E398" s="34">
        <f t="shared" si="30"/>
        <v>10747.330960854561</v>
      </c>
      <c r="F398" s="35">
        <f t="shared" si="31"/>
        <v>6241.4175055774876</v>
      </c>
      <c r="G398" s="35">
        <f t="shared" si="32"/>
        <v>8651.8120772715902</v>
      </c>
      <c r="H398" s="36">
        <f t="shared" si="33"/>
        <v>43.087505577487718</v>
      </c>
      <c r="I398" s="36">
        <f t="shared" si="34"/>
        <v>1856.5331368900352</v>
      </c>
    </row>
    <row r="399" spans="3:9" x14ac:dyDescent="0.25">
      <c r="C399" s="41">
        <v>1751.49</v>
      </c>
      <c r="D399" s="41">
        <v>6213.43</v>
      </c>
      <c r="E399" s="34">
        <f t="shared" si="30"/>
        <v>10785.714285714721</v>
      </c>
      <c r="F399" s="35">
        <f t="shared" si="31"/>
        <v>6253.5339001816037</v>
      </c>
      <c r="G399" s="35">
        <f t="shared" si="32"/>
        <v>8657.3236564653816</v>
      </c>
      <c r="H399" s="36">
        <f t="shared" si="33"/>
        <v>40.103900181603422</v>
      </c>
      <c r="I399" s="36">
        <f t="shared" si="34"/>
        <v>1608.3228097760109</v>
      </c>
    </row>
    <row r="400" spans="3:9" x14ac:dyDescent="0.25">
      <c r="C400" s="41">
        <v>1754.3</v>
      </c>
      <c r="D400" s="41">
        <v>6228.53</v>
      </c>
      <c r="E400" s="34">
        <f t="shared" si="30"/>
        <v>10747.330960853913</v>
      </c>
      <c r="F400" s="35">
        <f t="shared" si="31"/>
        <v>6265.701327697102</v>
      </c>
      <c r="G400" s="35">
        <f t="shared" si="32"/>
        <v>8662.8584498199671</v>
      </c>
      <c r="H400" s="36">
        <f t="shared" si="33"/>
        <v>37.171327697102242</v>
      </c>
      <c r="I400" s="36">
        <f t="shared" si="34"/>
        <v>1381.7076027653602</v>
      </c>
    </row>
    <row r="401" spans="3:9" x14ac:dyDescent="0.25">
      <c r="C401" s="41">
        <v>1757.11</v>
      </c>
      <c r="D401" s="41">
        <v>6243.63</v>
      </c>
      <c r="E401" s="34">
        <f t="shared" si="30"/>
        <v>10747.330960854561</v>
      </c>
      <c r="F401" s="35">
        <f t="shared" si="31"/>
        <v>6277.8765340827949</v>
      </c>
      <c r="G401" s="35">
        <f t="shared" si="32"/>
        <v>8668.3967816742897</v>
      </c>
      <c r="H401" s="36">
        <f t="shared" si="33"/>
        <v>34.246534082794824</v>
      </c>
      <c r="I401" s="36">
        <f t="shared" si="34"/>
        <v>1172.8250966840276</v>
      </c>
    </row>
    <row r="402" spans="3:9" x14ac:dyDescent="0.25">
      <c r="C402" s="41">
        <v>1759.91</v>
      </c>
      <c r="D402" s="41">
        <v>6258.73</v>
      </c>
      <c r="E402" s="34">
        <f t="shared" si="30"/>
        <v>10785.714285713197</v>
      </c>
      <c r="F402" s="35">
        <f t="shared" si="31"/>
        <v>6290.0161546679128</v>
      </c>
      <c r="G402" s="35">
        <f t="shared" si="32"/>
        <v>8673.9189260434359</v>
      </c>
      <c r="H402" s="36">
        <f t="shared" si="33"/>
        <v>31.286154667913252</v>
      </c>
      <c r="I402" s="36">
        <f t="shared" si="34"/>
        <v>978.82347390459017</v>
      </c>
    </row>
    <row r="403" spans="3:9" x14ac:dyDescent="0.25">
      <c r="C403" s="41">
        <v>1762.72</v>
      </c>
      <c r="D403" s="41">
        <v>6273.83</v>
      </c>
      <c r="E403" s="34">
        <f t="shared" si="30"/>
        <v>10747.330960854561</v>
      </c>
      <c r="F403" s="35">
        <f t="shared" si="31"/>
        <v>6302.2069059896694</v>
      </c>
      <c r="G403" s="35">
        <f t="shared" si="32"/>
        <v>8679.4643290727199</v>
      </c>
      <c r="H403" s="36">
        <f t="shared" si="33"/>
        <v>28.376905989669467</v>
      </c>
      <c r="I403" s="36">
        <f t="shared" si="34"/>
        <v>805.24879354653888</v>
      </c>
    </row>
    <row r="404" spans="3:9" x14ac:dyDescent="0.25">
      <c r="C404" s="41">
        <v>1765.53</v>
      </c>
      <c r="D404" s="41">
        <v>6288.93</v>
      </c>
      <c r="E404" s="34">
        <f t="shared" si="30"/>
        <v>10747.330960854561</v>
      </c>
      <c r="F404" s="35">
        <f t="shared" si="31"/>
        <v>6314.4054510929818</v>
      </c>
      <c r="G404" s="35">
        <f t="shared" si="32"/>
        <v>8685.0132773847145</v>
      </c>
      <c r="H404" s="36">
        <f t="shared" si="33"/>
        <v>25.47545109298153</v>
      </c>
      <c r="I404" s="36">
        <f t="shared" si="34"/>
        <v>648.99860839089376</v>
      </c>
    </row>
    <row r="405" spans="3:9" x14ac:dyDescent="0.25">
      <c r="C405" s="41">
        <v>1768.33</v>
      </c>
      <c r="D405" s="41">
        <v>6304.04</v>
      </c>
      <c r="E405" s="34">
        <f t="shared" si="30"/>
        <v>10792.857142857085</v>
      </c>
      <c r="F405" s="35">
        <f t="shared" si="31"/>
        <v>6326.5683421811063</v>
      </c>
      <c r="G405" s="35">
        <f t="shared" si="32"/>
        <v>8690.5460071816524</v>
      </c>
      <c r="H405" s="36">
        <f t="shared" si="33"/>
        <v>22.528342181106382</v>
      </c>
      <c r="I405" s="36">
        <f t="shared" si="34"/>
        <v>507.52620142901702</v>
      </c>
    </row>
    <row r="406" spans="3:9" x14ac:dyDescent="0.25">
      <c r="C406" s="41">
        <v>1771.14</v>
      </c>
      <c r="D406" s="41">
        <v>6319.14</v>
      </c>
      <c r="E406" s="34">
        <f t="shared" si="30"/>
        <v>10747.330960853691</v>
      </c>
      <c r="F406" s="35">
        <f t="shared" si="31"/>
        <v>6338.782462018652</v>
      </c>
      <c r="G406" s="35">
        <f t="shared" si="32"/>
        <v>8696.1020402233808</v>
      </c>
      <c r="H406" s="36">
        <f t="shared" si="33"/>
        <v>19.642462018651713</v>
      </c>
      <c r="I406" s="36">
        <f t="shared" si="34"/>
        <v>385.82631415417512</v>
      </c>
    </row>
    <row r="407" spans="3:9" x14ac:dyDescent="0.25">
      <c r="C407" s="41">
        <v>1773.95</v>
      </c>
      <c r="D407" s="41">
        <v>6334.24</v>
      </c>
      <c r="E407" s="34">
        <f t="shared" si="30"/>
        <v>10747.330960853913</v>
      </c>
      <c r="F407" s="35">
        <f t="shared" si="31"/>
        <v>6351.0043905776902</v>
      </c>
      <c r="G407" s="35">
        <f t="shared" si="32"/>
        <v>8701.6616253437878</v>
      </c>
      <c r="H407" s="36">
        <f t="shared" si="33"/>
        <v>16.764390577690392</v>
      </c>
      <c r="I407" s="36">
        <f t="shared" si="34"/>
        <v>281.04479144135439</v>
      </c>
    </row>
    <row r="408" spans="3:9" x14ac:dyDescent="0.25">
      <c r="C408" s="41">
        <v>1776.75</v>
      </c>
      <c r="D408" s="41">
        <v>6349.34</v>
      </c>
      <c r="E408" s="34">
        <f t="shared" si="30"/>
        <v>10785.714285714721</v>
      </c>
      <c r="F408" s="35">
        <f t="shared" si="31"/>
        <v>6363.1905967761732</v>
      </c>
      <c r="G408" s="35">
        <f t="shared" si="32"/>
        <v>8707.2049608597827</v>
      </c>
      <c r="H408" s="36">
        <f t="shared" si="33"/>
        <v>13.850596776173006</v>
      </c>
      <c r="I408" s="36">
        <f t="shared" si="34"/>
        <v>191.83903105613408</v>
      </c>
    </row>
    <row r="409" spans="3:9" x14ac:dyDescent="0.25">
      <c r="C409" s="41">
        <v>1779.56</v>
      </c>
      <c r="D409" s="41">
        <v>6364.44</v>
      </c>
      <c r="E409" s="34">
        <f t="shared" si="30"/>
        <v>10747.330960853913</v>
      </c>
      <c r="F409" s="35">
        <f t="shared" si="31"/>
        <v>6375.4281299247386</v>
      </c>
      <c r="G409" s="35">
        <f t="shared" si="32"/>
        <v>8712.7716442906822</v>
      </c>
      <c r="H409" s="36">
        <f t="shared" si="33"/>
        <v>10.988129924739042</v>
      </c>
      <c r="I409" s="36">
        <f t="shared" si="34"/>
        <v>120.73899924294561</v>
      </c>
    </row>
    <row r="410" spans="3:9" x14ac:dyDescent="0.25">
      <c r="C410" s="41">
        <v>1782.37</v>
      </c>
      <c r="D410" s="41">
        <v>6379.55</v>
      </c>
      <c r="E410" s="34">
        <f t="shared" si="30"/>
        <v>10754.448398577137</v>
      </c>
      <c r="F410" s="35">
        <f t="shared" si="31"/>
        <v>6387.673486763375</v>
      </c>
      <c r="G410" s="35">
        <f t="shared" si="32"/>
        <v>8718.3418866092561</v>
      </c>
      <c r="H410" s="36">
        <f t="shared" si="33"/>
        <v>8.1234867633747854</v>
      </c>
      <c r="I410" s="36">
        <f t="shared" si="34"/>
        <v>65.991037194725351</v>
      </c>
    </row>
    <row r="411" spans="3:9" x14ac:dyDescent="0.25">
      <c r="C411" s="41">
        <v>1785.18</v>
      </c>
      <c r="D411" s="41">
        <v>6394.67</v>
      </c>
      <c r="E411" s="34">
        <f t="shared" si="30"/>
        <v>10761.565836298194</v>
      </c>
      <c r="F411" s="35">
        <f t="shared" si="31"/>
        <v>6399.9266722939228</v>
      </c>
      <c r="G411" s="35">
        <f t="shared" si="32"/>
        <v>8723.9156900907728</v>
      </c>
      <c r="H411" s="36">
        <f t="shared" si="33"/>
        <v>5.2566722939227475</v>
      </c>
      <c r="I411" s="36">
        <f t="shared" si="34"/>
        <v>27.632603605695039</v>
      </c>
    </row>
    <row r="412" spans="3:9" x14ac:dyDescent="0.25">
      <c r="C412" s="41">
        <v>1787.99</v>
      </c>
      <c r="D412" s="41">
        <v>6409.78</v>
      </c>
      <c r="E412" s="34">
        <f t="shared" si="30"/>
        <v>10754.448398576489</v>
      </c>
      <c r="F412" s="35">
        <f t="shared" si="31"/>
        <v>6412.1876915214079</v>
      </c>
      <c r="G412" s="35">
        <f t="shared" si="32"/>
        <v>8729.4930570119468</v>
      </c>
      <c r="H412" s="36">
        <f t="shared" si="33"/>
        <v>2.4076915214081964</v>
      </c>
      <c r="I412" s="36">
        <f t="shared" si="34"/>
        <v>5.796978462260916</v>
      </c>
    </row>
    <row r="413" spans="3:9" x14ac:dyDescent="0.25">
      <c r="C413" s="41">
        <v>1790.8</v>
      </c>
      <c r="D413" s="41">
        <v>6424.9</v>
      </c>
      <c r="E413" s="34">
        <f t="shared" si="30"/>
        <v>10761.565836299063</v>
      </c>
      <c r="F413" s="35">
        <f t="shared" si="31"/>
        <v>6424.4565494540693</v>
      </c>
      <c r="G413" s="35">
        <f t="shared" si="32"/>
        <v>8735.0739896509567</v>
      </c>
      <c r="H413" s="36">
        <f t="shared" si="33"/>
        <v>-0.44345054593031819</v>
      </c>
      <c r="I413" s="36">
        <f t="shared" si="34"/>
        <v>0.19664838668589724</v>
      </c>
    </row>
    <row r="414" spans="3:9" x14ac:dyDescent="0.25">
      <c r="C414" s="41">
        <v>1793.61</v>
      </c>
      <c r="D414" s="41">
        <v>6440.01</v>
      </c>
      <c r="E414" s="34">
        <f t="shared" si="30"/>
        <v>10754.448398577137</v>
      </c>
      <c r="F414" s="35">
        <f t="shared" si="31"/>
        <v>6436.7332511033383</v>
      </c>
      <c r="G414" s="35">
        <f t="shared" si="32"/>
        <v>8740.6584902874347</v>
      </c>
      <c r="H414" s="36">
        <f t="shared" si="33"/>
        <v>-3.2767488966619567</v>
      </c>
      <c r="I414" s="36">
        <f t="shared" si="34"/>
        <v>10.73708333177535</v>
      </c>
    </row>
    <row r="415" spans="3:9" x14ac:dyDescent="0.25">
      <c r="C415" s="41">
        <v>1796.42</v>
      </c>
      <c r="D415" s="41">
        <v>6455.13</v>
      </c>
      <c r="E415" s="34">
        <f t="shared" si="30"/>
        <v>10761.565836298194</v>
      </c>
      <c r="F415" s="35">
        <f t="shared" si="31"/>
        <v>6449.0178014838575</v>
      </c>
      <c r="G415" s="35">
        <f t="shared" si="32"/>
        <v>8746.2465612024716</v>
      </c>
      <c r="H415" s="36">
        <f t="shared" si="33"/>
        <v>-6.1121985161425982</v>
      </c>
      <c r="I415" s="36">
        <f t="shared" si="34"/>
        <v>37.358970700735782</v>
      </c>
    </row>
    <row r="416" spans="3:9" x14ac:dyDescent="0.25">
      <c r="C416" s="41">
        <v>1799.23</v>
      </c>
      <c r="D416" s="41">
        <v>6470.25</v>
      </c>
      <c r="E416" s="34">
        <f t="shared" si="30"/>
        <v>10761.565836299063</v>
      </c>
      <c r="F416" s="35">
        <f t="shared" si="31"/>
        <v>6461.3102056134694</v>
      </c>
      <c r="G416" s="35">
        <f t="shared" si="32"/>
        <v>8751.8382046786119</v>
      </c>
      <c r="H416" s="36">
        <f t="shared" si="33"/>
        <v>-8.9397943865305933</v>
      </c>
      <c r="I416" s="36">
        <f t="shared" si="34"/>
        <v>79.919923673443904</v>
      </c>
    </row>
    <row r="417" spans="3:9" x14ac:dyDescent="0.25">
      <c r="C417" s="41">
        <v>1802.04</v>
      </c>
      <c r="D417" s="41">
        <v>6485.38</v>
      </c>
      <c r="E417" s="34">
        <f t="shared" si="30"/>
        <v>10768.68327402164</v>
      </c>
      <c r="F417" s="35">
        <f t="shared" si="31"/>
        <v>6473.6104685132241</v>
      </c>
      <c r="G417" s="35">
        <f t="shared" si="32"/>
        <v>8757.4334229998622</v>
      </c>
      <c r="H417" s="36">
        <f t="shared" si="33"/>
        <v>-11.769531486776032</v>
      </c>
      <c r="I417" s="36">
        <f t="shared" si="34"/>
        <v>138.52187141821241</v>
      </c>
    </row>
    <row r="418" spans="3:9" x14ac:dyDescent="0.25">
      <c r="C418" s="41">
        <v>1804.85</v>
      </c>
      <c r="D418" s="41">
        <v>6500.5</v>
      </c>
      <c r="E418" s="34">
        <f t="shared" si="30"/>
        <v>10761.565836299063</v>
      </c>
      <c r="F418" s="35">
        <f t="shared" si="31"/>
        <v>6485.9185952073876</v>
      </c>
      <c r="G418" s="35">
        <f t="shared" si="32"/>
        <v>8763.0322184516936</v>
      </c>
      <c r="H418" s="36">
        <f t="shared" si="33"/>
        <v>-14.581404792612375</v>
      </c>
      <c r="I418" s="36">
        <f t="shared" si="34"/>
        <v>212.61736572601913</v>
      </c>
    </row>
    <row r="419" spans="3:9" x14ac:dyDescent="0.25">
      <c r="C419" s="41">
        <v>1807.66</v>
      </c>
      <c r="D419" s="41">
        <v>6515.63</v>
      </c>
      <c r="E419" s="34">
        <f t="shared" si="30"/>
        <v>10768.683274020768</v>
      </c>
      <c r="F419" s="35">
        <f t="shared" si="31"/>
        <v>6498.2345907234348</v>
      </c>
      <c r="G419" s="35">
        <f t="shared" si="32"/>
        <v>8768.6345933210305</v>
      </c>
      <c r="H419" s="36">
        <f t="shared" si="33"/>
        <v>-17.39540927656526</v>
      </c>
      <c r="I419" s="36">
        <f t="shared" si="34"/>
        <v>302.60026389921273</v>
      </c>
    </row>
    <row r="420" spans="3:9" x14ac:dyDescent="0.25">
      <c r="C420" s="41">
        <v>1810.48</v>
      </c>
      <c r="D420" s="41">
        <v>6530.76</v>
      </c>
      <c r="E420" s="34">
        <f t="shared" si="30"/>
        <v>10730.496453901029</v>
      </c>
      <c r="F420" s="35">
        <f t="shared" si="31"/>
        <v>6510.6023313446922</v>
      </c>
      <c r="G420" s="35">
        <f t="shared" si="32"/>
        <v>8774.2605063182164</v>
      </c>
      <c r="H420" s="36">
        <f t="shared" si="33"/>
        <v>-20.157668655308044</v>
      </c>
      <c r="I420" s="36">
        <f t="shared" si="34"/>
        <v>406.33160561718842</v>
      </c>
    </row>
    <row r="421" spans="3:9" x14ac:dyDescent="0.25">
      <c r="C421" s="41">
        <v>1813.29</v>
      </c>
      <c r="D421" s="41">
        <v>6545.89</v>
      </c>
      <c r="E421" s="34">
        <f t="shared" si="30"/>
        <v>10768.68327402164</v>
      </c>
      <c r="F421" s="35">
        <f t="shared" si="31"/>
        <v>6522.9341076475221</v>
      </c>
      <c r="G421" s="35">
        <f t="shared" si="32"/>
        <v>8779.8700596477265</v>
      </c>
      <c r="H421" s="36">
        <f t="shared" si="33"/>
        <v>-22.955892352478259</v>
      </c>
      <c r="I421" s="36">
        <f t="shared" si="34"/>
        <v>526.97299369856978</v>
      </c>
    </row>
    <row r="422" spans="3:9" x14ac:dyDescent="0.25">
      <c r="C422" s="41">
        <v>1816.1</v>
      </c>
      <c r="D422" s="41">
        <v>6561.03</v>
      </c>
      <c r="E422" s="34">
        <f t="shared" si="30"/>
        <v>10775.800711743568</v>
      </c>
      <c r="F422" s="35">
        <f t="shared" si="31"/>
        <v>6535.2737678918829</v>
      </c>
      <c r="G422" s="35">
        <f t="shared" si="32"/>
        <v>8785.4831992724612</v>
      </c>
      <c r="H422" s="36">
        <f t="shared" si="33"/>
        <v>-25.756232108116819</v>
      </c>
      <c r="I422" s="36">
        <f t="shared" si="34"/>
        <v>663.38349240718776</v>
      </c>
    </row>
    <row r="423" spans="3:9" x14ac:dyDescent="0.25">
      <c r="C423" s="41">
        <v>1818.92</v>
      </c>
      <c r="D423" s="41">
        <v>6576.19</v>
      </c>
      <c r="E423" s="34">
        <f t="shared" si="30"/>
        <v>10751.773049644664</v>
      </c>
      <c r="F423" s="35">
        <f t="shared" si="31"/>
        <v>6547.6652726677576</v>
      </c>
      <c r="G423" s="35">
        <f t="shared" si="32"/>
        <v>8791.1199222526848</v>
      </c>
      <c r="H423" s="36">
        <f t="shared" si="33"/>
        <v>-28.524727332242037</v>
      </c>
      <c r="I423" s="36">
        <f t="shared" si="34"/>
        <v>813.66006937875591</v>
      </c>
    </row>
    <row r="424" spans="3:9" x14ac:dyDescent="0.25">
      <c r="C424" s="41">
        <v>1821.94</v>
      </c>
      <c r="D424" s="41">
        <v>6591.34</v>
      </c>
      <c r="E424" s="34">
        <f t="shared" si="30"/>
        <v>10033.112582781878</v>
      </c>
      <c r="F424" s="35">
        <f t="shared" si="31"/>
        <v>6560.9444238064843</v>
      </c>
      <c r="G424" s="35">
        <f t="shared" si="32"/>
        <v>8797.1604232035679</v>
      </c>
      <c r="H424" s="36">
        <f t="shared" si="33"/>
        <v>-30.395576193515808</v>
      </c>
      <c r="I424" s="36">
        <f t="shared" si="34"/>
        <v>923.89105213582491</v>
      </c>
    </row>
    <row r="425" spans="3:9" x14ac:dyDescent="0.25">
      <c r="C425" s="41">
        <v>1825.08</v>
      </c>
      <c r="D425" s="41">
        <v>6606.5</v>
      </c>
      <c r="E425" s="34">
        <f t="shared" si="30"/>
        <v>9656.0509554143118</v>
      </c>
      <c r="F425" s="35">
        <f t="shared" si="31"/>
        <v>6574.7608987474887</v>
      </c>
      <c r="G425" s="35">
        <f t="shared" si="32"/>
        <v>8803.4453452702783</v>
      </c>
      <c r="H425" s="36">
        <f t="shared" si="33"/>
        <v>-31.739101252511318</v>
      </c>
      <c r="I425" s="36">
        <f t="shared" si="34"/>
        <v>1007.3705483171656</v>
      </c>
    </row>
    <row r="426" spans="3:9" x14ac:dyDescent="0.25">
      <c r="C426" s="41">
        <v>1828.23</v>
      </c>
      <c r="D426" s="41">
        <v>6621.65</v>
      </c>
      <c r="E426" s="34">
        <f t="shared" si="30"/>
        <v>9619.047619047109</v>
      </c>
      <c r="F426" s="35">
        <f t="shared" si="31"/>
        <v>6588.6312932643368</v>
      </c>
      <c r="G426" s="35">
        <f t="shared" si="32"/>
        <v>8809.7547946012528</v>
      </c>
      <c r="H426" s="36">
        <f t="shared" si="33"/>
        <v>-33.018706735662818</v>
      </c>
      <c r="I426" s="36">
        <f t="shared" si="34"/>
        <v>1090.2349944957052</v>
      </c>
    </row>
    <row r="427" spans="3:9" x14ac:dyDescent="0.25">
      <c r="C427" s="41">
        <v>1831.37</v>
      </c>
      <c r="D427" s="41">
        <v>6636.81</v>
      </c>
      <c r="E427" s="34">
        <f t="shared" si="30"/>
        <v>9656.0509554148921</v>
      </c>
      <c r="F427" s="35">
        <f t="shared" si="31"/>
        <v>6602.4675484308291</v>
      </c>
      <c r="G427" s="35">
        <f t="shared" si="32"/>
        <v>8816.0487144171129</v>
      </c>
      <c r="H427" s="36">
        <f t="shared" si="33"/>
        <v>-34.342451569171317</v>
      </c>
      <c r="I427" s="36">
        <f t="shared" si="34"/>
        <v>1179.4039797808775</v>
      </c>
    </row>
    <row r="428" spans="3:9" x14ac:dyDescent="0.25">
      <c r="C428" s="41">
        <v>1834.51</v>
      </c>
      <c r="D428" s="41">
        <v>6651.96</v>
      </c>
      <c r="E428" s="34">
        <f t="shared" si="30"/>
        <v>9649.6815286618803</v>
      </c>
      <c r="F428" s="35">
        <f t="shared" si="31"/>
        <v>6616.3136885807971</v>
      </c>
      <c r="G428" s="35">
        <f t="shared" si="32"/>
        <v>8822.3471307743166</v>
      </c>
      <c r="H428" s="36">
        <f t="shared" si="33"/>
        <v>-35.646311419202902</v>
      </c>
      <c r="I428" s="36">
        <f t="shared" si="34"/>
        <v>1270.6595177947952</v>
      </c>
    </row>
    <row r="429" spans="3:9" x14ac:dyDescent="0.25">
      <c r="C429" s="41">
        <v>1837.66</v>
      </c>
      <c r="D429" s="41">
        <v>6667.1</v>
      </c>
      <c r="E429" s="34">
        <f t="shared" si="30"/>
        <v>9612.6984126983425</v>
      </c>
      <c r="F429" s="35">
        <f t="shared" si="31"/>
        <v>6630.213864076768</v>
      </c>
      <c r="G429" s="35">
        <f t="shared" si="32"/>
        <v>8828.6701270580143</v>
      </c>
      <c r="H429" s="36">
        <f t="shared" si="33"/>
        <v>-36.886135923232359</v>
      </c>
      <c r="I429" s="36">
        <f t="shared" si="34"/>
        <v>1360.5870233471728</v>
      </c>
    </row>
    <row r="430" spans="3:9" x14ac:dyDescent="0.25">
      <c r="C430" s="41">
        <v>1840.8</v>
      </c>
      <c r="D430" s="41">
        <v>6682.24</v>
      </c>
      <c r="E430" s="34">
        <f t="shared" si="30"/>
        <v>9643.3121019108494</v>
      </c>
      <c r="F430" s="35">
        <f t="shared" si="31"/>
        <v>6644.0798269221368</v>
      </c>
      <c r="G430" s="35">
        <f t="shared" si="32"/>
        <v>8834.9775604833394</v>
      </c>
      <c r="H430" s="36">
        <f t="shared" si="33"/>
        <v>-38.160173077862964</v>
      </c>
      <c r="I430" s="36">
        <f t="shared" si="34"/>
        <v>1456.1988093324574</v>
      </c>
    </row>
    <row r="431" spans="3:9" x14ac:dyDescent="0.25">
      <c r="C431" s="41">
        <v>1843.94</v>
      </c>
      <c r="D431" s="41">
        <v>6697.38</v>
      </c>
      <c r="E431" s="34">
        <f t="shared" si="30"/>
        <v>9643.3121019107293</v>
      </c>
      <c r="F431" s="35">
        <f t="shared" si="31"/>
        <v>6657.9556959749279</v>
      </c>
      <c r="G431" s="35">
        <f t="shared" si="32"/>
        <v>8841.2895001044835</v>
      </c>
      <c r="H431" s="36">
        <f t="shared" si="33"/>
        <v>-39.424304025072161</v>
      </c>
      <c r="I431" s="36">
        <f t="shared" si="34"/>
        <v>1554.275747861321</v>
      </c>
    </row>
    <row r="432" spans="3:9" x14ac:dyDescent="0.25">
      <c r="C432" s="41">
        <v>1847.08</v>
      </c>
      <c r="D432" s="41">
        <v>6712.53</v>
      </c>
      <c r="E432" s="34">
        <f t="shared" si="30"/>
        <v>9649.6815286625806</v>
      </c>
      <c r="F432" s="35">
        <f t="shared" si="31"/>
        <v>6671.8414783123926</v>
      </c>
      <c r="G432" s="35">
        <f t="shared" si="32"/>
        <v>8847.6059491407905</v>
      </c>
      <c r="H432" s="36">
        <f t="shared" si="33"/>
        <v>-40.688521687607135</v>
      </c>
      <c r="I432" s="36">
        <f t="shared" si="34"/>
        <v>1655.5557971228761</v>
      </c>
    </row>
    <row r="433" spans="3:9" x14ac:dyDescent="0.25">
      <c r="C433" s="41">
        <v>1850.22</v>
      </c>
      <c r="D433" s="41">
        <v>6727.67</v>
      </c>
      <c r="E433" s="34">
        <f t="shared" si="30"/>
        <v>9643.3121019107293</v>
      </c>
      <c r="F433" s="35">
        <f t="shared" si="31"/>
        <v>6685.7371810168434</v>
      </c>
      <c r="G433" s="35">
        <f t="shared" si="32"/>
        <v>8853.9269108139088</v>
      </c>
      <c r="H433" s="36">
        <f t="shared" si="33"/>
        <v>-41.932818983156722</v>
      </c>
      <c r="I433" s="36">
        <f t="shared" si="34"/>
        <v>1758.3613078741887</v>
      </c>
    </row>
    <row r="434" spans="3:9" x14ac:dyDescent="0.25">
      <c r="C434" s="41">
        <v>1853.36</v>
      </c>
      <c r="D434" s="41">
        <v>6742.79</v>
      </c>
      <c r="E434" s="34">
        <f t="shared" si="30"/>
        <v>9630.5732484079654</v>
      </c>
      <c r="F434" s="35">
        <f t="shared" si="31"/>
        <v>6699.6428111756477</v>
      </c>
      <c r="G434" s="35">
        <f t="shared" si="32"/>
        <v>8860.252388347777</v>
      </c>
      <c r="H434" s="36">
        <f t="shared" si="33"/>
        <v>-43.14718882435227</v>
      </c>
      <c r="I434" s="36">
        <f t="shared" si="34"/>
        <v>1861.6799034443095</v>
      </c>
    </row>
    <row r="435" spans="3:9" x14ac:dyDescent="0.25">
      <c r="C435" s="41">
        <v>1856.49</v>
      </c>
      <c r="D435" s="41">
        <v>6757.89</v>
      </c>
      <c r="E435" s="34">
        <f t="shared" si="30"/>
        <v>9648.562300319385</v>
      </c>
      <c r="F435" s="35">
        <f t="shared" si="31"/>
        <v>6713.5140430197353</v>
      </c>
      <c r="G435" s="35">
        <f t="shared" si="32"/>
        <v>8866.5622185672528</v>
      </c>
      <c r="H435" s="36">
        <f t="shared" si="33"/>
        <v>-44.375956980265073</v>
      </c>
      <c r="I435" s="36">
        <f t="shared" si="34"/>
        <v>1969.2255579143364</v>
      </c>
    </row>
    <row r="436" spans="3:9" x14ac:dyDescent="0.25">
      <c r="C436" s="41">
        <v>1859.63</v>
      </c>
      <c r="D436" s="41">
        <v>6772.99</v>
      </c>
      <c r="E436" s="34">
        <f t="shared" si="30"/>
        <v>9617.8343949038044</v>
      </c>
      <c r="F436" s="35">
        <f t="shared" si="31"/>
        <v>6727.4395176970611</v>
      </c>
      <c r="G436" s="35">
        <f t="shared" si="32"/>
        <v>8872.8967230962771</v>
      </c>
      <c r="H436" s="36">
        <f t="shared" si="33"/>
        <v>-45.55048230293869</v>
      </c>
      <c r="I436" s="36">
        <f t="shared" si="34"/>
        <v>2074.8464380303308</v>
      </c>
    </row>
    <row r="437" spans="3:9" x14ac:dyDescent="0.25">
      <c r="C437" s="41">
        <v>1862.76</v>
      </c>
      <c r="D437" s="41">
        <v>6788.09</v>
      </c>
      <c r="E437" s="34">
        <f t="shared" si="30"/>
        <v>9648.5623003200872</v>
      </c>
      <c r="F437" s="35">
        <f t="shared" si="31"/>
        <v>6741.3305449703448</v>
      </c>
      <c r="G437" s="35">
        <f t="shared" si="32"/>
        <v>8879.2155579808568</v>
      </c>
      <c r="H437" s="36">
        <f t="shared" si="33"/>
        <v>-46.759455029655328</v>
      </c>
      <c r="I437" s="36">
        <f t="shared" si="34"/>
        <v>2186.4466346703589</v>
      </c>
    </row>
    <row r="438" spans="3:9" x14ac:dyDescent="0.25">
      <c r="C438" s="41">
        <v>1865.89</v>
      </c>
      <c r="D438" s="41">
        <v>6803.19</v>
      </c>
      <c r="E438" s="34">
        <f t="shared" si="30"/>
        <v>9648.562300318803</v>
      </c>
      <c r="F438" s="35">
        <f t="shared" si="31"/>
        <v>6755.2314647410194</v>
      </c>
      <c r="G438" s="35">
        <f t="shared" si="32"/>
        <v>8885.5388928247557</v>
      </c>
      <c r="H438" s="36">
        <f t="shared" si="33"/>
        <v>-47.958535258980191</v>
      </c>
      <c r="I438" s="36">
        <f t="shared" si="34"/>
        <v>2300.0211041868461</v>
      </c>
    </row>
    <row r="439" spans="3:9" x14ac:dyDescent="0.25">
      <c r="C439" s="41">
        <v>1869.02</v>
      </c>
      <c r="D439" s="41">
        <v>6818.29</v>
      </c>
      <c r="E439" s="34">
        <f t="shared" si="30"/>
        <v>9648.5623003200872</v>
      </c>
      <c r="F439" s="35">
        <f t="shared" si="31"/>
        <v>6769.1422840540354</v>
      </c>
      <c r="G439" s="35">
        <f t="shared" si="32"/>
        <v>8891.8667308326203</v>
      </c>
      <c r="H439" s="36">
        <f t="shared" si="33"/>
        <v>-49.147715945964592</v>
      </c>
      <c r="I439" s="36">
        <f t="shared" si="34"/>
        <v>2415.4979827052221</v>
      </c>
    </row>
    <row r="440" spans="3:9" x14ac:dyDescent="0.25">
      <c r="C440" s="41">
        <v>1872.16</v>
      </c>
      <c r="D440" s="41">
        <v>6833.41</v>
      </c>
      <c r="E440" s="34">
        <f t="shared" si="30"/>
        <v>9630.5732484072669</v>
      </c>
      <c r="F440" s="35">
        <f t="shared" si="31"/>
        <v>6783.107501005321</v>
      </c>
      <c r="G440" s="35">
        <f t="shared" si="32"/>
        <v>8898.2193135686884</v>
      </c>
      <c r="H440" s="36">
        <f t="shared" si="33"/>
        <v>-50.302498994678899</v>
      </c>
      <c r="I440" s="36">
        <f t="shared" si="34"/>
        <v>2530.3414051096715</v>
      </c>
    </row>
    <row r="441" spans="3:9" x14ac:dyDescent="0.25">
      <c r="C441" s="41">
        <v>1875.3</v>
      </c>
      <c r="D441" s="41">
        <v>6848.57</v>
      </c>
      <c r="E441" s="34">
        <f t="shared" si="30"/>
        <v>9656.0509554143118</v>
      </c>
      <c r="F441" s="35">
        <f t="shared" si="31"/>
        <v>6797.0826950737646</v>
      </c>
      <c r="G441" s="35">
        <f t="shared" si="32"/>
        <v>8904.5764347564273</v>
      </c>
      <c r="H441" s="36">
        <f t="shared" si="33"/>
        <v>-51.487304926235083</v>
      </c>
      <c r="I441" s="36">
        <f t="shared" si="34"/>
        <v>2650.9425685671113</v>
      </c>
    </row>
    <row r="442" spans="3:9" x14ac:dyDescent="0.25">
      <c r="C442" s="41">
        <v>1878.45</v>
      </c>
      <c r="D442" s="41">
        <v>6863.72</v>
      </c>
      <c r="E442" s="34">
        <f t="shared" si="30"/>
        <v>9619.0476190476875</v>
      </c>
      <c r="F442" s="35">
        <f t="shared" si="31"/>
        <v>6811.1124281284328</v>
      </c>
      <c r="G442" s="35">
        <f t="shared" si="32"/>
        <v>8910.9583649695869</v>
      </c>
      <c r="H442" s="36">
        <f t="shared" si="33"/>
        <v>-52.607571871567416</v>
      </c>
      <c r="I442" s="36">
        <f t="shared" si="34"/>
        <v>2767.556618222131</v>
      </c>
    </row>
    <row r="443" spans="3:9" x14ac:dyDescent="0.25">
      <c r="C443" s="41">
        <v>1881.59</v>
      </c>
      <c r="D443" s="41">
        <v>6878.88</v>
      </c>
      <c r="E443" s="34">
        <f t="shared" si="30"/>
        <v>9656.0509554143118</v>
      </c>
      <c r="F443" s="35">
        <f t="shared" si="31"/>
        <v>6825.1076296510964</v>
      </c>
      <c r="G443" s="35">
        <f t="shared" si="32"/>
        <v>8917.3245872696625</v>
      </c>
      <c r="H443" s="36">
        <f t="shared" si="33"/>
        <v>-53.772370348903678</v>
      </c>
      <c r="I443" s="36">
        <f t="shared" si="34"/>
        <v>2891.4678129396552</v>
      </c>
    </row>
    <row r="444" spans="3:9" x14ac:dyDescent="0.25">
      <c r="C444" s="41">
        <v>1884.74</v>
      </c>
      <c r="D444" s="41">
        <v>6894.03</v>
      </c>
      <c r="E444" s="34">
        <f t="shared" si="30"/>
        <v>9619.047619047109</v>
      </c>
      <c r="F444" s="35">
        <f t="shared" si="31"/>
        <v>6839.1574482402111</v>
      </c>
      <c r="G444" s="35">
        <f t="shared" si="32"/>
        <v>8923.7156541127642</v>
      </c>
      <c r="H444" s="36">
        <f t="shared" si="33"/>
        <v>-54.872551759788621</v>
      </c>
      <c r="I444" s="36">
        <f t="shared" si="34"/>
        <v>3010.9969366306814</v>
      </c>
    </row>
    <row r="445" spans="3:9" x14ac:dyDescent="0.25">
      <c r="C445" s="41">
        <v>1887.88</v>
      </c>
      <c r="D445" s="41">
        <v>6909.19</v>
      </c>
      <c r="E445" s="34">
        <f t="shared" si="30"/>
        <v>9656.0509554136115</v>
      </c>
      <c r="F445" s="35">
        <f t="shared" si="31"/>
        <v>6853.1726858605834</v>
      </c>
      <c r="G445" s="35">
        <f t="shared" si="32"/>
        <v>8930.0909905547014</v>
      </c>
      <c r="H445" s="36">
        <f t="shared" si="33"/>
        <v>-56.017314139416158</v>
      </c>
      <c r="I445" s="36">
        <f t="shared" si="34"/>
        <v>3137.9394833940332</v>
      </c>
    </row>
    <row r="446" spans="3:9" x14ac:dyDescent="0.25">
      <c r="C446" s="41">
        <v>1891.03</v>
      </c>
      <c r="D446" s="41">
        <v>6924.36</v>
      </c>
      <c r="E446" s="34">
        <f t="shared" si="30"/>
        <v>9631.7460317464956</v>
      </c>
      <c r="F446" s="35">
        <f t="shared" si="31"/>
        <v>6867.2426187394076</v>
      </c>
      <c r="G446" s="35">
        <f t="shared" si="32"/>
        <v>8936.4912071081162</v>
      </c>
      <c r="H446" s="36">
        <f t="shared" si="33"/>
        <v>-57.117381260592083</v>
      </c>
      <c r="I446" s="36">
        <f t="shared" si="34"/>
        <v>3262.3952420678356</v>
      </c>
    </row>
    <row r="447" spans="3:9" x14ac:dyDescent="0.25">
      <c r="C447" s="41">
        <v>1894.2</v>
      </c>
      <c r="D447" s="41">
        <v>6939.62</v>
      </c>
      <c r="E447" s="34">
        <f t="shared" si="30"/>
        <v>9627.7602523658461</v>
      </c>
      <c r="F447" s="35">
        <f t="shared" si="31"/>
        <v>6881.4120647346826</v>
      </c>
      <c r="G447" s="35">
        <f t="shared" si="32"/>
        <v>8942.9366907925596</v>
      </c>
      <c r="H447" s="36">
        <f t="shared" si="33"/>
        <v>-58.207935265317246</v>
      </c>
      <c r="I447" s="36">
        <f t="shared" si="34"/>
        <v>3388.1637278513631</v>
      </c>
    </row>
    <row r="448" spans="3:9" x14ac:dyDescent="0.25">
      <c r="C448" s="41">
        <v>1897.36</v>
      </c>
      <c r="D448" s="41">
        <v>6954.89</v>
      </c>
      <c r="E448" s="34">
        <f t="shared" si="30"/>
        <v>9664.5569620260376</v>
      </c>
      <c r="F448" s="35">
        <f t="shared" si="31"/>
        <v>6895.5469836221237</v>
      </c>
      <c r="G448" s="35">
        <f t="shared" si="32"/>
        <v>8949.3664685764143</v>
      </c>
      <c r="H448" s="36">
        <f t="shared" si="33"/>
        <v>-59.343016377876666</v>
      </c>
      <c r="I448" s="36">
        <f t="shared" si="34"/>
        <v>3521.5935928249382</v>
      </c>
    </row>
    <row r="449" spans="3:9" x14ac:dyDescent="0.25">
      <c r="C449" s="41">
        <v>1900.53</v>
      </c>
      <c r="D449" s="41">
        <v>6970.15</v>
      </c>
      <c r="E449" s="34">
        <f t="shared" si="30"/>
        <v>9627.7602523652731</v>
      </c>
      <c r="F449" s="35">
        <f t="shared" si="31"/>
        <v>6909.7368442653615</v>
      </c>
      <c r="G449" s="35">
        <f t="shared" si="32"/>
        <v>8955.8212385999577</v>
      </c>
      <c r="H449" s="36">
        <f t="shared" si="33"/>
        <v>-60.413155734638167</v>
      </c>
      <c r="I449" s="36">
        <f t="shared" si="34"/>
        <v>3649.7493858176445</v>
      </c>
    </row>
    <row r="450" spans="3:9" x14ac:dyDescent="0.25">
      <c r="C450" s="41">
        <v>1903.7</v>
      </c>
      <c r="D450" s="41">
        <v>6985.41</v>
      </c>
      <c r="E450" s="34">
        <f t="shared" si="30"/>
        <v>9627.7602523658461</v>
      </c>
      <c r="F450" s="35">
        <f t="shared" si="31"/>
        <v>6923.9369394081577</v>
      </c>
      <c r="G450" s="35">
        <f t="shared" si="32"/>
        <v>8962.2806641548432</v>
      </c>
      <c r="H450" s="36">
        <f t="shared" si="33"/>
        <v>-61.473060591842113</v>
      </c>
      <c r="I450" s="36">
        <f t="shared" si="34"/>
        <v>3778.937178528292</v>
      </c>
    </row>
    <row r="451" spans="3:9" x14ac:dyDescent="0.25">
      <c r="C451" s="41">
        <v>1906.86</v>
      </c>
      <c r="D451" s="41">
        <v>7000.68</v>
      </c>
      <c r="E451" s="34">
        <f t="shared" si="30"/>
        <v>9664.5569620260376</v>
      </c>
      <c r="F451" s="35">
        <f t="shared" si="31"/>
        <v>6938.1024327594359</v>
      </c>
      <c r="G451" s="35">
        <f t="shared" si="32"/>
        <v>8968.7243498365715</v>
      </c>
      <c r="H451" s="36">
        <f t="shared" si="33"/>
        <v>-62.577567240564349</v>
      </c>
      <c r="I451" s="36">
        <f t="shared" si="34"/>
        <v>3915.9519217473526</v>
      </c>
    </row>
    <row r="452" spans="3:9" x14ac:dyDescent="0.25">
      <c r="C452" s="41">
        <v>1910.03</v>
      </c>
      <c r="D452" s="41">
        <v>7015.94</v>
      </c>
      <c r="E452" s="34">
        <f t="shared" si="30"/>
        <v>9627.7602523652731</v>
      </c>
      <c r="F452" s="35">
        <f t="shared" si="31"/>
        <v>6952.3229867079954</v>
      </c>
      <c r="G452" s="35">
        <f t="shared" si="32"/>
        <v>8975.1930818173241</v>
      </c>
      <c r="H452" s="36">
        <f t="shared" si="33"/>
        <v>-63.617013292004231</v>
      </c>
      <c r="I452" s="36">
        <f t="shared" si="34"/>
        <v>4047.1243801950432</v>
      </c>
    </row>
    <row r="453" spans="3:9" x14ac:dyDescent="0.25">
      <c r="C453" s="41">
        <v>1913.2</v>
      </c>
      <c r="D453" s="41">
        <v>7031.23</v>
      </c>
      <c r="E453" s="34">
        <f t="shared" si="30"/>
        <v>9646.687697160638</v>
      </c>
      <c r="F453" s="35">
        <f t="shared" si="31"/>
        <v>6966.5537972937873</v>
      </c>
      <c r="G453" s="35">
        <f t="shared" si="32"/>
        <v>8981.6664793995405</v>
      </c>
      <c r="H453" s="36">
        <f t="shared" si="33"/>
        <v>-64.67620270621228</v>
      </c>
      <c r="I453" s="36">
        <f t="shared" si="34"/>
        <v>4183.0111964950602</v>
      </c>
    </row>
    <row r="454" spans="3:9" x14ac:dyDescent="0.25">
      <c r="C454" s="41">
        <v>1916.37</v>
      </c>
      <c r="D454" s="41">
        <v>7046.52</v>
      </c>
      <c r="E454" s="34">
        <f t="shared" si="30"/>
        <v>9646.6876971619058</v>
      </c>
      <c r="F454" s="35">
        <f t="shared" si="31"/>
        <v>6980.7948719144633</v>
      </c>
      <c r="G454" s="35">
        <f t="shared" si="32"/>
        <v>8988.1445459483039</v>
      </c>
      <c r="H454" s="36">
        <f t="shared" si="33"/>
        <v>-65.725128085537108</v>
      </c>
      <c r="I454" s="36">
        <f t="shared" si="34"/>
        <v>4319.7924618602583</v>
      </c>
    </row>
    <row r="455" spans="3:9" x14ac:dyDescent="0.25">
      <c r="C455" s="41">
        <v>1919.54</v>
      </c>
      <c r="D455" s="41">
        <v>7061.81</v>
      </c>
      <c r="E455" s="34">
        <f t="shared" si="30"/>
        <v>9646.687697160638</v>
      </c>
      <c r="F455" s="35">
        <f t="shared" si="31"/>
        <v>6995.0462179729939</v>
      </c>
      <c r="G455" s="35">
        <f t="shared" si="32"/>
        <v>8994.6272848311273</v>
      </c>
      <c r="H455" s="36">
        <f t="shared" si="33"/>
        <v>-66.763782027006528</v>
      </c>
      <c r="I455" s="36">
        <f t="shared" si="34"/>
        <v>4457.4025905496401</v>
      </c>
    </row>
    <row r="456" spans="3:9" x14ac:dyDescent="0.25">
      <c r="C456" s="41">
        <v>1922.88</v>
      </c>
      <c r="D456" s="41">
        <v>7077.1</v>
      </c>
      <c r="E456" s="34">
        <f t="shared" si="30"/>
        <v>9155.6886227540708</v>
      </c>
      <c r="F456" s="35">
        <f t="shared" si="31"/>
        <v>7010.0729524186636</v>
      </c>
      <c r="G456" s="35">
        <f t="shared" si="32"/>
        <v>9001.4627370945636</v>
      </c>
      <c r="H456" s="36">
        <f t="shared" si="33"/>
        <v>-67.027047581336774</v>
      </c>
      <c r="I456" s="36">
        <f t="shared" si="34"/>
        <v>4492.6251074707843</v>
      </c>
    </row>
    <row r="457" spans="3:9" x14ac:dyDescent="0.25">
      <c r="C457" s="41">
        <v>1926.25</v>
      </c>
      <c r="D457" s="41">
        <v>7092.39</v>
      </c>
      <c r="E457" s="34">
        <f t="shared" ref="E457:E520" si="35">IF(C457="","",2*(D457-D456)/((C457-C456)/1000))</f>
        <v>9074.1839762613999</v>
      </c>
      <c r="F457" s="35">
        <f t="shared" ref="F457:F520" si="36">IF(C457="","",F$7+(F$9/F$10)*(EXP(F$10*(C457-F$8)/2000)-1))</f>
        <v>7025.2462314183022</v>
      </c>
      <c r="G457" s="35">
        <f t="shared" ref="G457:G520" si="37">IF(E457="","",F$9+(F457-F$7)*F$10)</f>
        <v>9008.3648504350767</v>
      </c>
      <c r="H457" s="36">
        <f t="shared" ref="H457:H520" si="38">IF(F457="","",F457-D457)</f>
        <v>-67.143768581698168</v>
      </c>
      <c r="I457" s="36">
        <f t="shared" ref="I457:I520" si="39">IF(H457="","",H457^2)</f>
        <v>4508.2856593526385</v>
      </c>
    </row>
    <row r="458" spans="3:9" x14ac:dyDescent="0.25">
      <c r="C458" s="41">
        <v>1929.62</v>
      </c>
      <c r="D458" s="41">
        <v>7107.67</v>
      </c>
      <c r="E458" s="34">
        <f t="shared" si="35"/>
        <v>9068.2492581603801</v>
      </c>
      <c r="F458" s="35">
        <f t="shared" si="36"/>
        <v>7040.4311449371844</v>
      </c>
      <c r="G458" s="35">
        <f t="shared" si="37"/>
        <v>9015.2722561563933</v>
      </c>
      <c r="H458" s="36">
        <f t="shared" si="38"/>
        <v>-67.238855062815674</v>
      </c>
      <c r="I458" s="36">
        <f t="shared" si="39"/>
        <v>4521.0636301583327</v>
      </c>
    </row>
    <row r="459" spans="3:9" x14ac:dyDescent="0.25">
      <c r="C459" s="41">
        <v>1932.99</v>
      </c>
      <c r="D459" s="41">
        <v>7122.99</v>
      </c>
      <c r="E459" s="34">
        <f t="shared" si="35"/>
        <v>9091.9881305633062</v>
      </c>
      <c r="F459" s="35">
        <f t="shared" si="36"/>
        <v>7055.6277018963847</v>
      </c>
      <c r="G459" s="35">
        <f t="shared" si="37"/>
        <v>9022.1849583165858</v>
      </c>
      <c r="H459" s="36">
        <f t="shared" si="38"/>
        <v>-67.362298103615103</v>
      </c>
      <c r="I459" s="36">
        <f t="shared" si="39"/>
        <v>4537.6792058003066</v>
      </c>
    </row>
    <row r="460" spans="3:9" x14ac:dyDescent="0.25">
      <c r="C460" s="41">
        <v>1936.37</v>
      </c>
      <c r="D460" s="41">
        <v>7138.3</v>
      </c>
      <c r="E460" s="34">
        <f t="shared" si="35"/>
        <v>9059.1715976336891</v>
      </c>
      <c r="F460" s="35">
        <f t="shared" si="36"/>
        <v>7070.8810567899673</v>
      </c>
      <c r="G460" s="35">
        <f t="shared" si="37"/>
        <v>9029.123497066259</v>
      </c>
      <c r="H460" s="36">
        <f t="shared" si="38"/>
        <v>-67.418943210032921</v>
      </c>
      <c r="I460" s="36">
        <f t="shared" si="39"/>
        <v>4545.3139035576442</v>
      </c>
    </row>
    <row r="461" spans="3:9" x14ac:dyDescent="0.25">
      <c r="C461" s="41">
        <v>1939.74</v>
      </c>
      <c r="D461" s="41">
        <v>7153.62</v>
      </c>
      <c r="E461" s="34">
        <f t="shared" si="35"/>
        <v>9091.9881305633062</v>
      </c>
      <c r="F461" s="35">
        <f t="shared" si="36"/>
        <v>7086.1009620369932</v>
      </c>
      <c r="G461" s="35">
        <f t="shared" si="37"/>
        <v>9036.0468200374744</v>
      </c>
      <c r="H461" s="36">
        <f t="shared" si="38"/>
        <v>-67.519037963006667</v>
      </c>
      <c r="I461" s="36">
        <f t="shared" si="39"/>
        <v>4558.8204874499352</v>
      </c>
    </row>
    <row r="462" spans="3:9" x14ac:dyDescent="0.25">
      <c r="C462" s="41">
        <v>1943.11</v>
      </c>
      <c r="D462" s="41">
        <v>7168.93</v>
      </c>
      <c r="E462" s="34">
        <f t="shared" si="35"/>
        <v>9086.0534124634396</v>
      </c>
      <c r="F462" s="35">
        <f t="shared" si="36"/>
        <v>7101.3325375551822</v>
      </c>
      <c r="G462" s="35">
        <f t="shared" si="37"/>
        <v>9042.9754516525427</v>
      </c>
      <c r="H462" s="36">
        <f t="shared" si="38"/>
        <v>-67.59746244481812</v>
      </c>
      <c r="I462" s="36">
        <f t="shared" si="39"/>
        <v>4569.4169289785959</v>
      </c>
    </row>
    <row r="463" spans="3:9" x14ac:dyDescent="0.25">
      <c r="C463" s="41">
        <v>1946.49</v>
      </c>
      <c r="D463" s="41">
        <v>7184.25</v>
      </c>
      <c r="E463" s="34">
        <f t="shared" si="35"/>
        <v>9065.0887573959844</v>
      </c>
      <c r="F463" s="35">
        <f t="shared" si="36"/>
        <v>7116.6210418914743</v>
      </c>
      <c r="G463" s="35">
        <f t="shared" si="37"/>
        <v>9049.9299793942755</v>
      </c>
      <c r="H463" s="36">
        <f t="shared" si="38"/>
        <v>-67.628958108525694</v>
      </c>
      <c r="I463" s="36">
        <f t="shared" si="39"/>
        <v>4573.675974844723</v>
      </c>
    </row>
    <row r="464" spans="3:9" x14ac:dyDescent="0.25">
      <c r="C464" s="41">
        <v>1949.86</v>
      </c>
      <c r="D464" s="41">
        <v>7199.56</v>
      </c>
      <c r="E464" s="34">
        <f t="shared" si="35"/>
        <v>9086.0534124634396</v>
      </c>
      <c r="F464" s="35">
        <f t="shared" si="36"/>
        <v>7131.8760195006889</v>
      </c>
      <c r="G464" s="35">
        <f t="shared" si="37"/>
        <v>9056.8692562946962</v>
      </c>
      <c r="H464" s="36">
        <f t="shared" si="38"/>
        <v>-67.683980499311474</v>
      </c>
      <c r="I464" s="36">
        <f t="shared" si="39"/>
        <v>4581.1212162311758</v>
      </c>
    </row>
    <row r="465" spans="3:9" x14ac:dyDescent="0.25">
      <c r="C465" s="41">
        <v>1953.24</v>
      </c>
      <c r="D465" s="41">
        <v>7214.89</v>
      </c>
      <c r="E465" s="34">
        <f t="shared" si="35"/>
        <v>9071.0059171594276</v>
      </c>
      <c r="F465" s="35">
        <f t="shared" si="36"/>
        <v>7147.1880133945551</v>
      </c>
      <c r="G465" s="35">
        <f t="shared" si="37"/>
        <v>9063.8344691090933</v>
      </c>
      <c r="H465" s="36">
        <f t="shared" si="38"/>
        <v>-67.7019866054452</v>
      </c>
      <c r="I465" s="36">
        <f t="shared" si="39"/>
        <v>4583.5589903238815</v>
      </c>
    </row>
    <row r="466" spans="3:9" x14ac:dyDescent="0.25">
      <c r="C466" s="41">
        <v>1956.61</v>
      </c>
      <c r="D466" s="41">
        <v>7230.22</v>
      </c>
      <c r="E466" s="34">
        <f t="shared" si="35"/>
        <v>9097.922848664939</v>
      </c>
      <c r="F466" s="35">
        <f t="shared" si="36"/>
        <v>7162.4664290502224</v>
      </c>
      <c r="G466" s="35">
        <f t="shared" si="37"/>
        <v>9070.784407650488</v>
      </c>
      <c r="H466" s="36">
        <f t="shared" si="38"/>
        <v>-67.753570949777895</v>
      </c>
      <c r="I466" s="36">
        <f t="shared" si="39"/>
        <v>4590.5463764465867</v>
      </c>
    </row>
    <row r="467" spans="3:9" x14ac:dyDescent="0.25">
      <c r="C467" s="41">
        <v>1959.99</v>
      </c>
      <c r="D467" s="41">
        <v>7245.54</v>
      </c>
      <c r="E467" s="34">
        <f t="shared" si="35"/>
        <v>9065.0887573959844</v>
      </c>
      <c r="F467" s="35">
        <f t="shared" si="36"/>
        <v>7177.8019485914811</v>
      </c>
      <c r="G467" s="35">
        <f t="shared" si="37"/>
        <v>9077.7603219543089</v>
      </c>
      <c r="H467" s="36">
        <f t="shared" si="38"/>
        <v>-67.738051408518913</v>
      </c>
      <c r="I467" s="36">
        <f t="shared" si="39"/>
        <v>4588.4436086231508</v>
      </c>
    </row>
    <row r="468" spans="3:9" x14ac:dyDescent="0.25">
      <c r="C468" s="41">
        <v>1963.36</v>
      </c>
      <c r="D468" s="41">
        <v>7260.87</v>
      </c>
      <c r="E468" s="34">
        <f t="shared" si="35"/>
        <v>9097.922848664939</v>
      </c>
      <c r="F468" s="35">
        <f t="shared" si="36"/>
        <v>7193.1038383042796</v>
      </c>
      <c r="G468" s="35">
        <f t="shared" si="37"/>
        <v>9084.7209385174319</v>
      </c>
      <c r="H468" s="36">
        <f t="shared" si="38"/>
        <v>-67.766161695720257</v>
      </c>
      <c r="I468" s="36">
        <f t="shared" si="39"/>
        <v>4592.2526709705035</v>
      </c>
    </row>
    <row r="469" spans="3:9" x14ac:dyDescent="0.25">
      <c r="C469" s="41">
        <v>1966.74</v>
      </c>
      <c r="D469" s="41">
        <v>7276.2</v>
      </c>
      <c r="E469" s="34">
        <f t="shared" si="35"/>
        <v>9071.0059171594276</v>
      </c>
      <c r="F469" s="35">
        <f t="shared" si="36"/>
        <v>7208.4629196381911</v>
      </c>
      <c r="G469" s="35">
        <f t="shared" si="37"/>
        <v>9091.707570752651</v>
      </c>
      <c r="H469" s="36">
        <f t="shared" si="38"/>
        <v>-67.737080361808694</v>
      </c>
      <c r="I469" s="36">
        <f t="shared" si="39"/>
        <v>4588.3120559421286</v>
      </c>
    </row>
    <row r="470" spans="3:9" x14ac:dyDescent="0.25">
      <c r="C470" s="41">
        <v>1970.12</v>
      </c>
      <c r="D470" s="41">
        <v>7291.53</v>
      </c>
      <c r="E470" s="34">
        <f t="shared" si="35"/>
        <v>9071.0059171600369</v>
      </c>
      <c r="F470" s="35">
        <f t="shared" si="36"/>
        <v>7223.8338129202621</v>
      </c>
      <c r="G470" s="35">
        <f t="shared" si="37"/>
        <v>9098.6995760786158</v>
      </c>
      <c r="H470" s="36">
        <f t="shared" si="38"/>
        <v>-67.696187079737683</v>
      </c>
      <c r="I470" s="36">
        <f t="shared" si="39"/>
        <v>4582.773745134843</v>
      </c>
    </row>
    <row r="471" spans="3:9" x14ac:dyDescent="0.25">
      <c r="C471" s="41">
        <v>1973.48</v>
      </c>
      <c r="D471" s="41">
        <v>7306.81</v>
      </c>
      <c r="E471" s="34">
        <f t="shared" si="35"/>
        <v>9095.2380952381409</v>
      </c>
      <c r="F471" s="35">
        <f t="shared" si="36"/>
        <v>7239.1254704720213</v>
      </c>
      <c r="G471" s="35">
        <f t="shared" si="37"/>
        <v>9105.6555381741582</v>
      </c>
      <c r="H471" s="36">
        <f t="shared" si="38"/>
        <v>-67.684529527979066</v>
      </c>
      <c r="I471" s="36">
        <f t="shared" si="39"/>
        <v>4581.1955374238705</v>
      </c>
    </row>
    <row r="472" spans="3:9" x14ac:dyDescent="0.25">
      <c r="C472" s="41">
        <v>1976.85</v>
      </c>
      <c r="D472" s="41">
        <v>7322.09</v>
      </c>
      <c r="E472" s="34">
        <f t="shared" si="35"/>
        <v>9068.2492581603801</v>
      </c>
      <c r="F472" s="35">
        <f t="shared" si="36"/>
        <v>7254.4743816424225</v>
      </c>
      <c r="G472" s="35">
        <f t="shared" si="37"/>
        <v>9112.6375441436066</v>
      </c>
      <c r="H472" s="36">
        <f t="shared" si="38"/>
        <v>-67.615618357577659</v>
      </c>
      <c r="I472" s="36">
        <f t="shared" si="39"/>
        <v>4571.8718458775929</v>
      </c>
    </row>
    <row r="473" spans="3:9" x14ac:dyDescent="0.25">
      <c r="C473" s="41">
        <v>1980.21</v>
      </c>
      <c r="D473" s="41">
        <v>7337.36</v>
      </c>
      <c r="E473" s="34">
        <f t="shared" si="35"/>
        <v>9089.285714285088</v>
      </c>
      <c r="F473" s="35">
        <f t="shared" si="36"/>
        <v>7269.789463930083</v>
      </c>
      <c r="G473" s="35">
        <f t="shared" si="37"/>
        <v>9119.6041618253403</v>
      </c>
      <c r="H473" s="36">
        <f t="shared" si="38"/>
        <v>-67.57053606991667</v>
      </c>
      <c r="I473" s="36">
        <f t="shared" si="39"/>
        <v>4565.77734477591</v>
      </c>
    </row>
    <row r="474" spans="3:9" x14ac:dyDescent="0.25">
      <c r="C474" s="41">
        <v>1983.58</v>
      </c>
      <c r="D474" s="41">
        <v>7352.64</v>
      </c>
      <c r="E474" s="34">
        <f t="shared" si="35"/>
        <v>9068.2492581609204</v>
      </c>
      <c r="F474" s="35">
        <f t="shared" si="36"/>
        <v>7285.1618875411295</v>
      </c>
      <c r="G474" s="35">
        <f t="shared" si="37"/>
        <v>9126.5968632766453</v>
      </c>
      <c r="H474" s="36">
        <f t="shared" si="38"/>
        <v>-67.478112458870783</v>
      </c>
      <c r="I474" s="36">
        <f t="shared" si="39"/>
        <v>4553.2956610120127</v>
      </c>
    </row>
    <row r="475" spans="3:9" x14ac:dyDescent="0.25">
      <c r="C475" s="41">
        <v>1986.94</v>
      </c>
      <c r="D475" s="41">
        <v>7367.92</v>
      </c>
      <c r="E475" s="34">
        <f t="shared" si="35"/>
        <v>9095.2380952375988</v>
      </c>
      <c r="F475" s="35">
        <f t="shared" si="36"/>
        <v>7300.5004304481963</v>
      </c>
      <c r="G475" s="35">
        <f t="shared" si="37"/>
        <v>9133.5741528674735</v>
      </c>
      <c r="H475" s="36">
        <f t="shared" si="38"/>
        <v>-67.419569551803761</v>
      </c>
      <c r="I475" s="36">
        <f t="shared" si="39"/>
        <v>4545.3983585505048</v>
      </c>
    </row>
    <row r="476" spans="3:9" x14ac:dyDescent="0.25">
      <c r="C476" s="41">
        <v>1990.31</v>
      </c>
      <c r="D476" s="41">
        <v>7383.19</v>
      </c>
      <c r="E476" s="34">
        <f t="shared" si="35"/>
        <v>9062.3145400593603</v>
      </c>
      <c r="F476" s="35">
        <f t="shared" si="36"/>
        <v>7315.8964025177384</v>
      </c>
      <c r="G476" s="35">
        <f t="shared" si="37"/>
        <v>9140.5775661846565</v>
      </c>
      <c r="H476" s="36">
        <f t="shared" si="38"/>
        <v>-67.293597482261248</v>
      </c>
      <c r="I476" s="36">
        <f t="shared" si="39"/>
        <v>4528.4282621045977</v>
      </c>
    </row>
    <row r="477" spans="3:9" x14ac:dyDescent="0.25">
      <c r="C477" s="41">
        <v>1993.67</v>
      </c>
      <c r="D477" s="41">
        <v>7398.44</v>
      </c>
      <c r="E477" s="34">
        <f t="shared" si="35"/>
        <v>9077.3809523806085</v>
      </c>
      <c r="F477" s="35">
        <f t="shared" si="36"/>
        <v>7331.2584419826853</v>
      </c>
      <c r="G477" s="35">
        <f t="shared" si="37"/>
        <v>9147.5655440324917</v>
      </c>
      <c r="H477" s="36">
        <f t="shared" si="38"/>
        <v>-67.181558017314273</v>
      </c>
      <c r="I477" s="36">
        <f t="shared" si="39"/>
        <v>4513.3617376337634</v>
      </c>
    </row>
    <row r="478" spans="3:9" x14ac:dyDescent="0.25">
      <c r="C478" s="41">
        <v>1997.02</v>
      </c>
      <c r="D478" s="41">
        <v>7413.68</v>
      </c>
      <c r="E478" s="34">
        <f t="shared" si="35"/>
        <v>9098.5074626872265</v>
      </c>
      <c r="F478" s="35">
        <f t="shared" si="36"/>
        <v>7346.5864529951168</v>
      </c>
      <c r="G478" s="35">
        <f t="shared" si="37"/>
        <v>9154.5380428111002</v>
      </c>
      <c r="H478" s="36">
        <f t="shared" si="38"/>
        <v>-67.093547004883476</v>
      </c>
      <c r="I478" s="36">
        <f t="shared" si="39"/>
        <v>4501.5440496965084</v>
      </c>
    </row>
    <row r="479" spans="3:9" x14ac:dyDescent="0.25">
      <c r="C479" s="41">
        <v>2000.38</v>
      </c>
      <c r="D479" s="41">
        <v>7428.91</v>
      </c>
      <c r="E479" s="34">
        <f t="shared" si="35"/>
        <v>9065.4761904755869</v>
      </c>
      <c r="F479" s="35">
        <f t="shared" si="36"/>
        <v>7361.9719550248019</v>
      </c>
      <c r="G479" s="35">
        <f t="shared" si="37"/>
        <v>9161.5366934529375</v>
      </c>
      <c r="H479" s="36">
        <f t="shared" si="38"/>
        <v>-66.938044975197954</v>
      </c>
      <c r="I479" s="36">
        <f t="shared" si="39"/>
        <v>4480.7018651016242</v>
      </c>
    </row>
    <row r="480" spans="3:9" x14ac:dyDescent="0.25">
      <c r="C480" s="41">
        <v>2003.73</v>
      </c>
      <c r="D480" s="41">
        <v>7444.15</v>
      </c>
      <c r="E480" s="34">
        <f t="shared" si="35"/>
        <v>9098.5074626866844</v>
      </c>
      <c r="F480" s="35">
        <f t="shared" si="36"/>
        <v>7377.3233766300445</v>
      </c>
      <c r="G480" s="35">
        <f t="shared" si="37"/>
        <v>9168.5198413842409</v>
      </c>
      <c r="H480" s="36">
        <f t="shared" si="38"/>
        <v>-66.826623369955087</v>
      </c>
      <c r="I480" s="36">
        <f t="shared" si="39"/>
        <v>4465.7975910298273</v>
      </c>
    </row>
    <row r="481" spans="3:9" x14ac:dyDescent="0.25">
      <c r="C481" s="41">
        <v>2007.09</v>
      </c>
      <c r="D481" s="41">
        <v>7459.39</v>
      </c>
      <c r="E481" s="34">
        <f t="shared" si="35"/>
        <v>9071.4285714292528</v>
      </c>
      <c r="F481" s="35">
        <f t="shared" si="36"/>
        <v>7392.7323770590247</v>
      </c>
      <c r="G481" s="35">
        <f t="shared" si="37"/>
        <v>9175.5291811207208</v>
      </c>
      <c r="H481" s="36">
        <f t="shared" si="38"/>
        <v>-66.657622940975671</v>
      </c>
      <c r="I481" s="36">
        <f t="shared" si="39"/>
        <v>4443.2386961412858</v>
      </c>
    </row>
    <row r="482" spans="3:9" x14ac:dyDescent="0.25">
      <c r="C482" s="41">
        <v>2010.45</v>
      </c>
      <c r="D482" s="41">
        <v>7474.62</v>
      </c>
      <c r="E482" s="34">
        <f t="shared" si="35"/>
        <v>9065.4761904755869</v>
      </c>
      <c r="F482" s="35">
        <f t="shared" si="36"/>
        <v>7408.1531576794523</v>
      </c>
      <c r="G482" s="35">
        <f t="shared" si="37"/>
        <v>9182.5438795022601</v>
      </c>
      <c r="H482" s="36">
        <f t="shared" si="38"/>
        <v>-66.466842320547585</v>
      </c>
      <c r="I482" s="36">
        <f t="shared" si="39"/>
        <v>4417.841128064535</v>
      </c>
    </row>
    <row r="483" spans="3:9" x14ac:dyDescent="0.25">
      <c r="C483" s="41">
        <v>2013.8</v>
      </c>
      <c r="D483" s="41">
        <v>7489.86</v>
      </c>
      <c r="E483" s="34">
        <f t="shared" si="35"/>
        <v>9098.5074626866844</v>
      </c>
      <c r="F483" s="35">
        <f t="shared" si="36"/>
        <v>7423.5397797298374</v>
      </c>
      <c r="G483" s="35">
        <f t="shared" si="37"/>
        <v>9189.543039625918</v>
      </c>
      <c r="H483" s="36">
        <f t="shared" si="38"/>
        <v>-66.320220270162281</v>
      </c>
      <c r="I483" s="36">
        <f t="shared" si="39"/>
        <v>4398.3716166828435</v>
      </c>
    </row>
    <row r="484" spans="3:9" x14ac:dyDescent="0.25">
      <c r="C484" s="41">
        <v>2017.16</v>
      </c>
      <c r="D484" s="41">
        <v>7505.09</v>
      </c>
      <c r="E484" s="34">
        <f t="shared" si="35"/>
        <v>9065.476190476129</v>
      </c>
      <c r="F484" s="35">
        <f t="shared" si="36"/>
        <v>7438.9841126308347</v>
      </c>
      <c r="G484" s="35">
        <f t="shared" si="37"/>
        <v>9196.56845161194</v>
      </c>
      <c r="H484" s="36">
        <f t="shared" si="38"/>
        <v>-66.10588736916543</v>
      </c>
      <c r="I484" s="36">
        <f t="shared" si="39"/>
        <v>4369.9883448647852</v>
      </c>
    </row>
    <row r="485" spans="3:9" x14ac:dyDescent="0.25">
      <c r="C485" s="41">
        <v>2020.48</v>
      </c>
      <c r="D485" s="41">
        <v>7520.33</v>
      </c>
      <c r="E485" s="34">
        <f t="shared" si="35"/>
        <v>9180.722891566309</v>
      </c>
      <c r="F485" s="35">
        <f t="shared" si="36"/>
        <v>7454.2561815876006</v>
      </c>
      <c r="G485" s="35">
        <f t="shared" si="37"/>
        <v>9203.5155031283775</v>
      </c>
      <c r="H485" s="36">
        <f t="shared" si="38"/>
        <v>-66.073818412399305</v>
      </c>
      <c r="I485" s="36">
        <f t="shared" si="39"/>
        <v>4365.7494795947177</v>
      </c>
    </row>
    <row r="486" spans="3:9" x14ac:dyDescent="0.25">
      <c r="C486" s="41">
        <v>2023.65</v>
      </c>
      <c r="D486" s="41">
        <v>7535.57</v>
      </c>
      <c r="E486" s="34">
        <f t="shared" si="35"/>
        <v>9615.1419558356029</v>
      </c>
      <c r="F486" s="35">
        <f t="shared" si="36"/>
        <v>7468.8490137032441</v>
      </c>
      <c r="G486" s="35">
        <f t="shared" si="37"/>
        <v>9210.153579263646</v>
      </c>
      <c r="H486" s="36">
        <f t="shared" si="38"/>
        <v>-66.720986296755655</v>
      </c>
      <c r="I486" s="36">
        <f t="shared" si="39"/>
        <v>4451.6900124118556</v>
      </c>
    </row>
    <row r="487" spans="3:9" x14ac:dyDescent="0.25">
      <c r="C487" s="41">
        <v>2026.81</v>
      </c>
      <c r="D487" s="41">
        <v>7550.8</v>
      </c>
      <c r="E487" s="34">
        <f t="shared" si="35"/>
        <v>9639.2405063298575</v>
      </c>
      <c r="F487" s="35">
        <f t="shared" si="36"/>
        <v>7483.4062870335802</v>
      </c>
      <c r="G487" s="35">
        <f t="shared" si="37"/>
        <v>9216.7754802026066</v>
      </c>
      <c r="H487" s="36">
        <f t="shared" si="38"/>
        <v>-67.393712966420026</v>
      </c>
      <c r="I487" s="36">
        <f t="shared" si="39"/>
        <v>4541.9125474002103</v>
      </c>
    </row>
    <row r="488" spans="3:9" x14ac:dyDescent="0.25">
      <c r="C488" s="41">
        <v>2029.97</v>
      </c>
      <c r="D488" s="41">
        <v>7566.04</v>
      </c>
      <c r="E488" s="34">
        <f t="shared" si="35"/>
        <v>9645.5696202527761</v>
      </c>
      <c r="F488" s="35">
        <f t="shared" si="36"/>
        <v>7497.9740267281459</v>
      </c>
      <c r="G488" s="35">
        <f t="shared" si="37"/>
        <v>9223.4021421449215</v>
      </c>
      <c r="H488" s="36">
        <f t="shared" si="38"/>
        <v>-68.065973271854091</v>
      </c>
      <c r="I488" s="36">
        <f t="shared" si="39"/>
        <v>4632.9767174447552</v>
      </c>
    </row>
    <row r="489" spans="3:9" x14ac:dyDescent="0.25">
      <c r="C489" s="41">
        <v>2033.13</v>
      </c>
      <c r="D489" s="41">
        <v>7581.28</v>
      </c>
      <c r="E489" s="34">
        <f t="shared" si="35"/>
        <v>9645.5696202527761</v>
      </c>
      <c r="F489" s="35">
        <f t="shared" si="36"/>
        <v>7512.5522403120231</v>
      </c>
      <c r="G489" s="35">
        <f t="shared" si="37"/>
        <v>9230.0335685136415</v>
      </c>
      <c r="H489" s="36">
        <f t="shared" si="38"/>
        <v>-68.727759687976686</v>
      </c>
      <c r="I489" s="36">
        <f t="shared" si="39"/>
        <v>4723.5049517282732</v>
      </c>
    </row>
    <row r="490" spans="3:9" x14ac:dyDescent="0.25">
      <c r="C490" s="41">
        <v>2036.29</v>
      </c>
      <c r="D490" s="41">
        <v>7596.51</v>
      </c>
      <c r="E490" s="34">
        <f t="shared" si="35"/>
        <v>9639.2405063298575</v>
      </c>
      <c r="F490" s="35">
        <f t="shared" si="36"/>
        <v>7527.1409353157178</v>
      </c>
      <c r="G490" s="35">
        <f t="shared" si="37"/>
        <v>9236.6697627342892</v>
      </c>
      <c r="H490" s="36">
        <f t="shared" si="38"/>
        <v>-69.369064684282421</v>
      </c>
      <c r="I490" s="36">
        <f t="shared" si="39"/>
        <v>4812.0671351721585</v>
      </c>
    </row>
    <row r="491" spans="3:9" x14ac:dyDescent="0.25">
      <c r="C491" s="41">
        <v>2039.45</v>
      </c>
      <c r="D491" s="41">
        <v>7611.75</v>
      </c>
      <c r="E491" s="34">
        <f t="shared" si="35"/>
        <v>9645.5696202527761</v>
      </c>
      <c r="F491" s="35">
        <f t="shared" si="36"/>
        <v>7541.7401192751367</v>
      </c>
      <c r="G491" s="35">
        <f t="shared" si="37"/>
        <v>9243.3107282348465</v>
      </c>
      <c r="H491" s="36">
        <f t="shared" si="38"/>
        <v>-70.009880724863251</v>
      </c>
      <c r="I491" s="36">
        <f t="shared" si="39"/>
        <v>4901.3833991095789</v>
      </c>
    </row>
    <row r="492" spans="3:9" x14ac:dyDescent="0.25">
      <c r="C492" s="41">
        <v>2042.61</v>
      </c>
      <c r="D492" s="41">
        <v>7626.99</v>
      </c>
      <c r="E492" s="34">
        <f t="shared" si="35"/>
        <v>9645.5696202534709</v>
      </c>
      <c r="F492" s="35">
        <f t="shared" si="36"/>
        <v>7556.3497997316181</v>
      </c>
      <c r="G492" s="35">
        <f t="shared" si="37"/>
        <v>9249.9564684457619</v>
      </c>
      <c r="H492" s="36">
        <f t="shared" si="38"/>
        <v>-70.640200268381705</v>
      </c>
      <c r="I492" s="36">
        <f t="shared" si="39"/>
        <v>4990.0378939570746</v>
      </c>
    </row>
    <row r="493" spans="3:9" x14ac:dyDescent="0.25">
      <c r="C493" s="41">
        <v>2045.77</v>
      </c>
      <c r="D493" s="41">
        <v>7642.22</v>
      </c>
      <c r="E493" s="34">
        <f t="shared" si="35"/>
        <v>9639.2405063291626</v>
      </c>
      <c r="F493" s="35">
        <f t="shared" si="36"/>
        <v>7570.9699842319169</v>
      </c>
      <c r="G493" s="35">
        <f t="shared" si="37"/>
        <v>9256.6069867999504</v>
      </c>
      <c r="H493" s="36">
        <f t="shared" si="38"/>
        <v>-71.250015768083358</v>
      </c>
      <c r="I493" s="36">
        <f t="shared" si="39"/>
        <v>5076.5647469521273</v>
      </c>
    </row>
    <row r="494" spans="3:9" x14ac:dyDescent="0.25">
      <c r="C494" s="41">
        <v>2048.9299999999998</v>
      </c>
      <c r="D494" s="41">
        <v>7657.46</v>
      </c>
      <c r="E494" s="34">
        <f t="shared" si="35"/>
        <v>9645.5696202534709</v>
      </c>
      <c r="F494" s="35">
        <f t="shared" si="36"/>
        <v>7585.6006803282035</v>
      </c>
      <c r="G494" s="35">
        <f t="shared" si="37"/>
        <v>9263.2622867327846</v>
      </c>
      <c r="H494" s="36">
        <f t="shared" si="38"/>
        <v>-71.859319671796584</v>
      </c>
      <c r="I494" s="36">
        <f t="shared" si="39"/>
        <v>5163.7618236934513</v>
      </c>
    </row>
    <row r="495" spans="3:9" x14ac:dyDescent="0.25">
      <c r="C495" s="41">
        <v>2052.09</v>
      </c>
      <c r="D495" s="41">
        <v>7672.69</v>
      </c>
      <c r="E495" s="34">
        <f t="shared" si="35"/>
        <v>9639.2405063278948</v>
      </c>
      <c r="F495" s="35">
        <f t="shared" si="36"/>
        <v>7600.2418955781004</v>
      </c>
      <c r="G495" s="35">
        <f t="shared" si="37"/>
        <v>9269.9223716821271</v>
      </c>
      <c r="H495" s="36">
        <f t="shared" si="38"/>
        <v>-72.448104421899188</v>
      </c>
      <c r="I495" s="36">
        <f t="shared" si="39"/>
        <v>5248.7278343264088</v>
      </c>
    </row>
    <row r="496" spans="3:9" x14ac:dyDescent="0.25">
      <c r="C496" s="41">
        <v>2055.25</v>
      </c>
      <c r="D496" s="41">
        <v>7687.91</v>
      </c>
      <c r="E496" s="34">
        <f t="shared" si="35"/>
        <v>9632.9113924056692</v>
      </c>
      <c r="F496" s="35">
        <f t="shared" si="36"/>
        <v>7614.8936375446428</v>
      </c>
      <c r="G496" s="35">
        <f t="shared" si="37"/>
        <v>9276.5872450882944</v>
      </c>
      <c r="H496" s="36">
        <f t="shared" si="38"/>
        <v>-73.016362455357012</v>
      </c>
      <c r="I496" s="36">
        <f t="shared" si="39"/>
        <v>5331.389186212069</v>
      </c>
    </row>
    <row r="497" spans="3:9" x14ac:dyDescent="0.25">
      <c r="C497" s="41">
        <v>2058.41</v>
      </c>
      <c r="D497" s="41">
        <v>7703.14</v>
      </c>
      <c r="E497" s="34">
        <f t="shared" si="35"/>
        <v>9639.2405063298575</v>
      </c>
      <c r="F497" s="35">
        <f t="shared" si="36"/>
        <v>7629.5559137963101</v>
      </c>
      <c r="G497" s="35">
        <f t="shared" si="37"/>
        <v>9283.2569103940841</v>
      </c>
      <c r="H497" s="36">
        <f t="shared" si="38"/>
        <v>-73.584086203690276</v>
      </c>
      <c r="I497" s="36">
        <f t="shared" si="39"/>
        <v>5414.6177424321213</v>
      </c>
    </row>
    <row r="498" spans="3:9" x14ac:dyDescent="0.25">
      <c r="C498" s="41">
        <v>2061.5700000000002</v>
      </c>
      <c r="D498" s="41">
        <v>7718.36</v>
      </c>
      <c r="E498" s="34">
        <f t="shared" si="35"/>
        <v>9632.9113924037065</v>
      </c>
      <c r="F498" s="35">
        <f t="shared" si="36"/>
        <v>7644.2287319070347</v>
      </c>
      <c r="G498" s="35">
        <f t="shared" si="37"/>
        <v>9289.9313710447695</v>
      </c>
      <c r="H498" s="36">
        <f t="shared" si="38"/>
        <v>-74.131268092965001</v>
      </c>
      <c r="I498" s="36">
        <f t="shared" si="39"/>
        <v>5495.4449090710505</v>
      </c>
    </row>
    <row r="499" spans="3:9" x14ac:dyDescent="0.25">
      <c r="C499" s="41">
        <v>2064.73</v>
      </c>
      <c r="D499" s="41">
        <v>7733.58</v>
      </c>
      <c r="E499" s="34">
        <f t="shared" si="35"/>
        <v>9632.9113924056692</v>
      </c>
      <c r="F499" s="35">
        <f t="shared" si="36"/>
        <v>7658.912099456179</v>
      </c>
      <c r="G499" s="35">
        <f t="shared" si="37"/>
        <v>9296.6106304881014</v>
      </c>
      <c r="H499" s="36">
        <f t="shared" si="38"/>
        <v>-74.667900543820906</v>
      </c>
      <c r="I499" s="36">
        <f t="shared" si="39"/>
        <v>5575.2953716219299</v>
      </c>
    </row>
    <row r="500" spans="3:9" x14ac:dyDescent="0.25">
      <c r="C500" s="41">
        <v>2067.88</v>
      </c>
      <c r="D500" s="41">
        <v>7748.8</v>
      </c>
      <c r="E500" s="34">
        <f t="shared" si="35"/>
        <v>9663.4920634919454</v>
      </c>
      <c r="F500" s="35">
        <f t="shared" si="36"/>
        <v>7673.5595076079981</v>
      </c>
      <c r="G500" s="35">
        <f t="shared" si="37"/>
        <v>9303.273532502295</v>
      </c>
      <c r="H500" s="36">
        <f t="shared" si="38"/>
        <v>-75.240492392002125</v>
      </c>
      <c r="I500" s="36">
        <f t="shared" si="39"/>
        <v>5661.13169539093</v>
      </c>
    </row>
    <row r="501" spans="3:9" x14ac:dyDescent="0.25">
      <c r="C501" s="41">
        <v>2071.04</v>
      </c>
      <c r="D501" s="41">
        <v>7764.03</v>
      </c>
      <c r="E501" s="34">
        <f t="shared" si="35"/>
        <v>9639.2405063292827</v>
      </c>
      <c r="F501" s="35">
        <f t="shared" si="36"/>
        <v>7688.2639633495874</v>
      </c>
      <c r="G501" s="35">
        <f t="shared" si="37"/>
        <v>9309.9623846707327</v>
      </c>
      <c r="H501" s="36">
        <f t="shared" si="38"/>
        <v>-75.766036650412389</v>
      </c>
      <c r="I501" s="36">
        <f t="shared" si="39"/>
        <v>5740.4923097116334</v>
      </c>
    </row>
    <row r="502" spans="3:9" x14ac:dyDescent="0.25">
      <c r="C502" s="41">
        <v>2074.1999999999998</v>
      </c>
      <c r="D502" s="41">
        <v>7779.25</v>
      </c>
      <c r="E502" s="34">
        <f t="shared" si="35"/>
        <v>9632.9113924056692</v>
      </c>
      <c r="F502" s="35">
        <f t="shared" si="36"/>
        <v>7702.9789912763699</v>
      </c>
      <c r="G502" s="35">
        <f t="shared" si="37"/>
        <v>9316.6560459790035</v>
      </c>
      <c r="H502" s="36">
        <f t="shared" si="38"/>
        <v>-76.271008723630075</v>
      </c>
      <c r="I502" s="36">
        <f t="shared" si="39"/>
        <v>5817.2667717200547</v>
      </c>
    </row>
    <row r="503" spans="3:9" x14ac:dyDescent="0.25">
      <c r="C503" s="41">
        <v>2077.36</v>
      </c>
      <c r="D503" s="41">
        <v>7794.47</v>
      </c>
      <c r="E503" s="34">
        <f t="shared" si="35"/>
        <v>9632.9113924042813</v>
      </c>
      <c r="F503" s="35">
        <f t="shared" si="36"/>
        <v>7717.704598989515</v>
      </c>
      <c r="G503" s="35">
        <f t="shared" si="37"/>
        <v>9323.3545198847769</v>
      </c>
      <c r="H503" s="36">
        <f t="shared" si="38"/>
        <v>-76.76540101048522</v>
      </c>
      <c r="I503" s="36">
        <f t="shared" si="39"/>
        <v>5892.9267923006055</v>
      </c>
    </row>
    <row r="504" spans="3:9" x14ac:dyDescent="0.25">
      <c r="C504" s="41">
        <v>2080.52</v>
      </c>
      <c r="D504" s="41">
        <v>7809.7</v>
      </c>
      <c r="E504" s="34">
        <f t="shared" si="35"/>
        <v>9639.2405063292827</v>
      </c>
      <c r="F504" s="35">
        <f t="shared" si="36"/>
        <v>7732.4407940956635</v>
      </c>
      <c r="G504" s="35">
        <f t="shared" si="37"/>
        <v>9330.0578098482038</v>
      </c>
      <c r="H504" s="36">
        <f t="shared" si="38"/>
        <v>-77.259205904336341</v>
      </c>
      <c r="I504" s="36">
        <f t="shared" si="39"/>
        <v>5968.9848969686391</v>
      </c>
    </row>
    <row r="505" spans="3:9" x14ac:dyDescent="0.25">
      <c r="C505" s="41">
        <v>2083.6799999999998</v>
      </c>
      <c r="D505" s="41">
        <v>7824.92</v>
      </c>
      <c r="E505" s="34">
        <f t="shared" si="35"/>
        <v>9632.9113924056692</v>
      </c>
      <c r="F505" s="35">
        <f t="shared" si="36"/>
        <v>7747.1875842069157</v>
      </c>
      <c r="G505" s="35">
        <f t="shared" si="37"/>
        <v>9336.7659193319269</v>
      </c>
      <c r="H505" s="36">
        <f t="shared" si="38"/>
        <v>-77.732415793084328</v>
      </c>
      <c r="I505" s="36">
        <f t="shared" si="39"/>
        <v>6042.3284650289461</v>
      </c>
    </row>
    <row r="506" spans="3:9" x14ac:dyDescent="0.25">
      <c r="C506" s="41">
        <v>2086.83</v>
      </c>
      <c r="D506" s="41">
        <v>7840.14</v>
      </c>
      <c r="E506" s="34">
        <f t="shared" si="35"/>
        <v>9663.4920634919454</v>
      </c>
      <c r="F506" s="35">
        <f t="shared" si="36"/>
        <v>7761.8982595997277</v>
      </c>
      <c r="G506" s="35">
        <f t="shared" si="37"/>
        <v>9343.4576007331016</v>
      </c>
      <c r="H506" s="36">
        <f t="shared" si="38"/>
        <v>-78.241740400272647</v>
      </c>
      <c r="I506" s="36">
        <f t="shared" si="39"/>
        <v>6121.7699408636572</v>
      </c>
    </row>
    <row r="507" spans="3:9" x14ac:dyDescent="0.25">
      <c r="C507" s="41">
        <v>2089.9899999999998</v>
      </c>
      <c r="D507" s="41">
        <v>7855.36</v>
      </c>
      <c r="E507" s="34">
        <f t="shared" si="35"/>
        <v>9632.9113924050926</v>
      </c>
      <c r="F507" s="35">
        <f t="shared" si="36"/>
        <v>7776.6662289906508</v>
      </c>
      <c r="G507" s="35">
        <f t="shared" si="37"/>
        <v>9350.1753443762409</v>
      </c>
      <c r="H507" s="36">
        <f t="shared" si="38"/>
        <v>-78.693771009348893</v>
      </c>
      <c r="I507" s="36">
        <f t="shared" si="39"/>
        <v>6192.7095956718404</v>
      </c>
    </row>
    <row r="508" spans="3:9" x14ac:dyDescent="0.25">
      <c r="C508" s="41">
        <v>2093.14</v>
      </c>
      <c r="D508" s="41">
        <v>7870.56</v>
      </c>
      <c r="E508" s="34">
        <f t="shared" si="35"/>
        <v>9650.7936507938339</v>
      </c>
      <c r="F508" s="35">
        <f t="shared" si="36"/>
        <v>7791.3980317953228</v>
      </c>
      <c r="G508" s="35">
        <f t="shared" si="37"/>
        <v>9356.8766363428877</v>
      </c>
      <c r="H508" s="36">
        <f t="shared" si="38"/>
        <v>-79.161968204677578</v>
      </c>
      <c r="I508" s="36">
        <f t="shared" si="39"/>
        <v>6266.6172100383837</v>
      </c>
    </row>
    <row r="509" spans="3:9" x14ac:dyDescent="0.25">
      <c r="C509" s="41">
        <v>2096.3000000000002</v>
      </c>
      <c r="D509" s="41">
        <v>7885.75</v>
      </c>
      <c r="E509" s="34">
        <f t="shared" si="35"/>
        <v>9613.9240506317165</v>
      </c>
      <c r="F509" s="35">
        <f t="shared" si="36"/>
        <v>7806.1872108835187</v>
      </c>
      <c r="G509" s="35">
        <f t="shared" si="37"/>
        <v>9363.6040279819863</v>
      </c>
      <c r="H509" s="36">
        <f t="shared" si="38"/>
        <v>-79.562789116481326</v>
      </c>
      <c r="I509" s="36">
        <f t="shared" si="39"/>
        <v>6330.2374119936794</v>
      </c>
    </row>
    <row r="510" spans="3:9" x14ac:dyDescent="0.25">
      <c r="C510" s="41">
        <v>2099.4499999999998</v>
      </c>
      <c r="D510" s="41">
        <v>7900.95</v>
      </c>
      <c r="E510" s="34">
        <f t="shared" si="35"/>
        <v>9650.7936507946506</v>
      </c>
      <c r="F510" s="35">
        <f t="shared" si="36"/>
        <v>7820.9401714431497</v>
      </c>
      <c r="G510" s="35">
        <f t="shared" si="37"/>
        <v>9370.3149443167567</v>
      </c>
      <c r="H510" s="36">
        <f t="shared" si="38"/>
        <v>-80.009828556850152</v>
      </c>
      <c r="I510" s="36">
        <f t="shared" si="39"/>
        <v>6401.5726656965544</v>
      </c>
    </row>
    <row r="511" spans="3:9" x14ac:dyDescent="0.25">
      <c r="C511" s="41">
        <v>2102.6</v>
      </c>
      <c r="D511" s="41">
        <v>7916.14</v>
      </c>
      <c r="E511" s="34">
        <f t="shared" si="35"/>
        <v>9644.4444444444889</v>
      </c>
      <c r="F511" s="35">
        <f t="shared" si="36"/>
        <v>7835.7037054832244</v>
      </c>
      <c r="G511" s="35">
        <f t="shared" si="37"/>
        <v>9377.0306703805545</v>
      </c>
      <c r="H511" s="36">
        <f t="shared" si="38"/>
        <v>-80.436294516775888</v>
      </c>
      <c r="I511" s="36">
        <f t="shared" si="39"/>
        <v>6469.9974755895109</v>
      </c>
    </row>
    <row r="512" spans="3:9" x14ac:dyDescent="0.25">
      <c r="C512" s="41">
        <v>2105.7600000000002</v>
      </c>
      <c r="D512" s="41">
        <v>7931.34</v>
      </c>
      <c r="E512" s="34">
        <f t="shared" si="35"/>
        <v>9620.2531645559047</v>
      </c>
      <c r="F512" s="35">
        <f t="shared" si="36"/>
        <v>7850.5247393911741</v>
      </c>
      <c r="G512" s="35">
        <f t="shared" si="37"/>
        <v>9383.7725523336067</v>
      </c>
      <c r="H512" s="36">
        <f t="shared" si="38"/>
        <v>-80.815260608826065</v>
      </c>
      <c r="I512" s="36">
        <f t="shared" si="39"/>
        <v>6531.1063472724736</v>
      </c>
    </row>
    <row r="513" spans="3:9" x14ac:dyDescent="0.25">
      <c r="C513" s="41">
        <v>2108.91</v>
      </c>
      <c r="D513" s="41">
        <v>7946.53</v>
      </c>
      <c r="E513" s="34">
        <f t="shared" si="35"/>
        <v>9644.4444444453038</v>
      </c>
      <c r="F513" s="35">
        <f t="shared" si="36"/>
        <v>7865.309476758478</v>
      </c>
      <c r="G513" s="35">
        <f t="shared" si="37"/>
        <v>9390.4979234957209</v>
      </c>
      <c r="H513" s="36">
        <f t="shared" si="38"/>
        <v>-81.220523241521732</v>
      </c>
      <c r="I513" s="36">
        <f t="shared" si="39"/>
        <v>6596.773395626572</v>
      </c>
    </row>
    <row r="514" spans="3:9" x14ac:dyDescent="0.25">
      <c r="C514" s="41">
        <v>2112.0500000000002</v>
      </c>
      <c r="D514" s="41">
        <v>7961.67</v>
      </c>
      <c r="E514" s="34">
        <f t="shared" si="35"/>
        <v>9643.3121019100308</v>
      </c>
      <c r="F514" s="35">
        <f t="shared" si="36"/>
        <v>7880.0578242935908</v>
      </c>
      <c r="G514" s="35">
        <f t="shared" si="37"/>
        <v>9397.2067414298708</v>
      </c>
      <c r="H514" s="36">
        <f t="shared" si="38"/>
        <v>-81.612175706409289</v>
      </c>
      <c r="I514" s="36">
        <f t="shared" si="39"/>
        <v>6660.5472235338229</v>
      </c>
    </row>
    <row r="515" spans="3:9" x14ac:dyDescent="0.25">
      <c r="C515" s="41">
        <v>2115.19</v>
      </c>
      <c r="D515" s="41">
        <v>7976.81</v>
      </c>
      <c r="E515" s="34">
        <f t="shared" si="35"/>
        <v>9643.3121019114278</v>
      </c>
      <c r="F515" s="35">
        <f t="shared" si="36"/>
        <v>7894.8167084348825</v>
      </c>
      <c r="G515" s="35">
        <f t="shared" si="37"/>
        <v>9403.9203523194574</v>
      </c>
      <c r="H515" s="36">
        <f t="shared" si="38"/>
        <v>-81.993291565117943</v>
      </c>
      <c r="I515" s="36">
        <f t="shared" si="39"/>
        <v>6722.899861682441</v>
      </c>
    </row>
    <row r="516" spans="3:9" x14ac:dyDescent="0.25">
      <c r="C516" s="41">
        <v>2118.33</v>
      </c>
      <c r="D516" s="41">
        <v>7991.96</v>
      </c>
      <c r="E516" s="34">
        <f t="shared" si="35"/>
        <v>9649.6815286625806</v>
      </c>
      <c r="F516" s="35">
        <f t="shared" si="36"/>
        <v>7909.5861367099787</v>
      </c>
      <c r="G516" s="35">
        <f t="shared" si="37"/>
        <v>9410.6387595886936</v>
      </c>
      <c r="H516" s="36">
        <f t="shared" si="38"/>
        <v>-82.373863290021291</v>
      </c>
      <c r="I516" s="36">
        <f t="shared" si="39"/>
        <v>6785.453353323117</v>
      </c>
    </row>
    <row r="517" spans="3:9" x14ac:dyDescent="0.25">
      <c r="C517" s="41">
        <v>2121.5</v>
      </c>
      <c r="D517" s="41">
        <v>8007.1</v>
      </c>
      <c r="E517" s="34">
        <f t="shared" si="35"/>
        <v>9552.0504731861074</v>
      </c>
      <c r="F517" s="35">
        <f t="shared" si="36"/>
        <v>7924.5073775633218</v>
      </c>
      <c r="G517" s="35">
        <f t="shared" si="37"/>
        <v>9417.4262242858986</v>
      </c>
      <c r="H517" s="36">
        <f t="shared" si="38"/>
        <v>-82.592622436678539</v>
      </c>
      <c r="I517" s="36">
        <f t="shared" si="39"/>
        <v>6821.5412809677355</v>
      </c>
    </row>
    <row r="518" spans="3:9" x14ac:dyDescent="0.25">
      <c r="C518" s="41">
        <v>2124.6999999999998</v>
      </c>
      <c r="D518" s="41">
        <v>8022.24</v>
      </c>
      <c r="E518" s="34">
        <f t="shared" si="35"/>
        <v>9462.5000000001746</v>
      </c>
      <c r="F518" s="35">
        <f t="shared" si="36"/>
        <v>7939.5807441884645</v>
      </c>
      <c r="G518" s="35">
        <f t="shared" si="37"/>
        <v>9424.2828888784588</v>
      </c>
      <c r="H518" s="36">
        <f t="shared" si="38"/>
        <v>-82.659255811535331</v>
      </c>
      <c r="I518" s="36">
        <f t="shared" si="39"/>
        <v>6832.5525713168372</v>
      </c>
    </row>
    <row r="519" spans="3:9" x14ac:dyDescent="0.25">
      <c r="C519" s="41">
        <v>2127.9</v>
      </c>
      <c r="D519" s="41">
        <v>8037.38</v>
      </c>
      <c r="E519" s="34">
        <f t="shared" si="35"/>
        <v>9462.4999999993979</v>
      </c>
      <c r="F519" s="35">
        <f t="shared" si="36"/>
        <v>7954.6650854702475</v>
      </c>
      <c r="G519" s="35">
        <f t="shared" si="37"/>
        <v>9431.1445456895126</v>
      </c>
      <c r="H519" s="36">
        <f t="shared" si="38"/>
        <v>-82.714914529752605</v>
      </c>
      <c r="I519" s="36">
        <f t="shared" si="39"/>
        <v>6841.7570856642787</v>
      </c>
    </row>
    <row r="520" spans="3:9" x14ac:dyDescent="0.25">
      <c r="C520" s="41">
        <v>2131.1</v>
      </c>
      <c r="D520" s="41">
        <v>8052.51</v>
      </c>
      <c r="E520" s="34">
        <f t="shared" si="35"/>
        <v>9456.2500000006057</v>
      </c>
      <c r="F520" s="35">
        <f t="shared" si="36"/>
        <v>7969.7604093991249</v>
      </c>
      <c r="G520" s="35">
        <f t="shared" si="37"/>
        <v>9438.0111983538027</v>
      </c>
      <c r="H520" s="36">
        <f t="shared" si="38"/>
        <v>-82.749590600875308</v>
      </c>
      <c r="I520" s="36">
        <f t="shared" si="39"/>
        <v>6847.4947446124715</v>
      </c>
    </row>
    <row r="521" spans="3:9" x14ac:dyDescent="0.25">
      <c r="C521" s="41">
        <v>2134.3000000000002</v>
      </c>
      <c r="D521" s="41">
        <v>8067.64</v>
      </c>
      <c r="E521" s="34">
        <f t="shared" ref="E521:E584" si="40">IF(C521="","",2*(D521-D520)/((C521-C520)/1000))</f>
        <v>9456.2499999992615</v>
      </c>
      <c r="F521" s="35">
        <f t="shared" ref="F521:F584" si="41">IF(C521="","",F$7+(F$9/F$10)*(EXP(F$10*(C521-F$8)/2000)-1))</f>
        <v>7984.866723971375</v>
      </c>
      <c r="G521" s="35">
        <f t="shared" ref="G521:G584" si="42">IF(E521="","",F$9+(F521-F$7)*F$10)</f>
        <v>9444.8828505087258</v>
      </c>
      <c r="H521" s="36">
        <f t="shared" ref="H521:H584" si="43">IF(F521="","",F521-D521)</f>
        <v>-82.773276028625332</v>
      </c>
      <c r="I521" s="36">
        <f t="shared" ref="I521:I584" si="44">IF(H521="","",H521^2)</f>
        <v>6851.4152245110008</v>
      </c>
    </row>
    <row r="522" spans="3:9" x14ac:dyDescent="0.25">
      <c r="C522" s="41">
        <v>2137.5</v>
      </c>
      <c r="D522" s="41">
        <v>8082.76</v>
      </c>
      <c r="E522" s="34">
        <f t="shared" si="40"/>
        <v>9450.0000000004693</v>
      </c>
      <c r="F522" s="35">
        <f t="shared" si="41"/>
        <v>7999.9840371890905</v>
      </c>
      <c r="G522" s="35">
        <f t="shared" si="42"/>
        <v>9451.7595057943254</v>
      </c>
      <c r="H522" s="36">
        <f t="shared" si="43"/>
        <v>-82.775962810909732</v>
      </c>
      <c r="I522" s="36">
        <f t="shared" si="44"/>
        <v>6851.860019273111</v>
      </c>
    </row>
    <row r="523" spans="3:9" x14ac:dyDescent="0.25">
      <c r="C523" s="41">
        <v>2140.6999999999998</v>
      </c>
      <c r="D523" s="41">
        <v>8097.89</v>
      </c>
      <c r="E523" s="34">
        <f t="shared" si="40"/>
        <v>9456.2500000006057</v>
      </c>
      <c r="F523" s="35">
        <f t="shared" si="41"/>
        <v>8015.1123570601949</v>
      </c>
      <c r="G523" s="35">
        <f t="shared" si="42"/>
        <v>9458.6411678532913</v>
      </c>
      <c r="H523" s="36">
        <f t="shared" si="43"/>
        <v>-82.777642939805446</v>
      </c>
      <c r="I523" s="36">
        <f t="shared" si="44"/>
        <v>6852.1381706699221</v>
      </c>
    </row>
    <row r="524" spans="3:9" x14ac:dyDescent="0.25">
      <c r="C524" s="41">
        <v>2143.89</v>
      </c>
      <c r="D524" s="41">
        <v>8113.02</v>
      </c>
      <c r="E524" s="34">
        <f t="shared" si="40"/>
        <v>9485.8934169278054</v>
      </c>
      <c r="F524" s="35">
        <f t="shared" si="41"/>
        <v>8030.2043640130642</v>
      </c>
      <c r="G524" s="35">
        <f t="shared" si="42"/>
        <v>9465.5063116713827</v>
      </c>
      <c r="H524" s="36">
        <f t="shared" si="43"/>
        <v>-82.815635986936286</v>
      </c>
      <c r="I524" s="36">
        <f t="shared" si="44"/>
        <v>6858.4295639207367</v>
      </c>
    </row>
    <row r="525" spans="3:9" x14ac:dyDescent="0.25">
      <c r="C525" s="41">
        <v>2147.09</v>
      </c>
      <c r="D525" s="41">
        <v>8128.15</v>
      </c>
      <c r="E525" s="34">
        <f t="shared" si="40"/>
        <v>9456.249999998694</v>
      </c>
      <c r="F525" s="35">
        <f t="shared" si="41"/>
        <v>8045.3546867796504</v>
      </c>
      <c r="G525" s="35">
        <f t="shared" si="42"/>
        <v>9472.3979825411297</v>
      </c>
      <c r="H525" s="36">
        <f t="shared" si="43"/>
        <v>-82.795313220349271</v>
      </c>
      <c r="I525" s="36">
        <f t="shared" si="44"/>
        <v>6855.0638912557424</v>
      </c>
    </row>
    <row r="526" spans="3:9" x14ac:dyDescent="0.25">
      <c r="C526" s="41">
        <v>2150.29</v>
      </c>
      <c r="D526" s="41">
        <v>8143.25</v>
      </c>
      <c r="E526" s="34">
        <f t="shared" si="40"/>
        <v>9437.500000000764</v>
      </c>
      <c r="F526" s="35">
        <f t="shared" si="41"/>
        <v>8060.516040233304</v>
      </c>
      <c r="G526" s="35">
        <f t="shared" si="42"/>
        <v>9479.2946711168297</v>
      </c>
      <c r="H526" s="36">
        <f t="shared" si="43"/>
        <v>-82.733959766695989</v>
      </c>
      <c r="I526" s="36">
        <f t="shared" si="44"/>
        <v>6844.9080986772706</v>
      </c>
    </row>
    <row r="527" spans="3:9" x14ac:dyDescent="0.25">
      <c r="C527" s="41">
        <v>2153.48</v>
      </c>
      <c r="D527" s="41">
        <v>8158.35</v>
      </c>
      <c r="E527" s="34">
        <f t="shared" si="40"/>
        <v>9467.0846394984983</v>
      </c>
      <c r="F527" s="35">
        <f t="shared" si="41"/>
        <v>8075.6410014773173</v>
      </c>
      <c r="G527" s="35">
        <f t="shared" si="42"/>
        <v>9486.1748053830997</v>
      </c>
      <c r="H527" s="36">
        <f t="shared" si="43"/>
        <v>-82.708998522683032</v>
      </c>
      <c r="I527" s="36">
        <f t="shared" si="44"/>
        <v>6840.7784366251844</v>
      </c>
    </row>
    <row r="528" spans="3:9" x14ac:dyDescent="0.25">
      <c r="C528" s="41">
        <v>2156.67</v>
      </c>
      <c r="D528" s="41">
        <v>8173.45</v>
      </c>
      <c r="E528" s="34">
        <f t="shared" si="40"/>
        <v>9467.0846394979271</v>
      </c>
      <c r="F528" s="35">
        <f t="shared" si="41"/>
        <v>8090.7769405174331</v>
      </c>
      <c r="G528" s="35">
        <f t="shared" si="42"/>
        <v>9493.0599332959573</v>
      </c>
      <c r="H528" s="36">
        <f t="shared" si="43"/>
        <v>-82.673059482566714</v>
      </c>
      <c r="I528" s="36">
        <f t="shared" si="44"/>
        <v>6834.8347642080143</v>
      </c>
    </row>
    <row r="529" spans="3:9" x14ac:dyDescent="0.25">
      <c r="C529" s="41">
        <v>2159.86</v>
      </c>
      <c r="D529" s="41">
        <v>8188.55</v>
      </c>
      <c r="E529" s="34">
        <f t="shared" si="40"/>
        <v>9467.0846394984983</v>
      </c>
      <c r="F529" s="35">
        <f t="shared" si="41"/>
        <v>8105.9238653214143</v>
      </c>
      <c r="G529" s="35">
        <f t="shared" si="42"/>
        <v>9499.9500584798297</v>
      </c>
      <c r="H529" s="36">
        <f t="shared" si="43"/>
        <v>-82.626134678585913</v>
      </c>
      <c r="I529" s="36">
        <f t="shared" si="44"/>
        <v>6827.0781319238176</v>
      </c>
    </row>
    <row r="530" spans="3:9" x14ac:dyDescent="0.25">
      <c r="C530" s="41">
        <v>2163.0500000000002</v>
      </c>
      <c r="D530" s="41">
        <v>8203.65</v>
      </c>
      <c r="E530" s="34">
        <f t="shared" si="40"/>
        <v>9467.0846394979271</v>
      </c>
      <c r="F530" s="35">
        <f t="shared" si="41"/>
        <v>8121.0817838627945</v>
      </c>
      <c r="G530" s="35">
        <f t="shared" si="42"/>
        <v>9506.8451845617656</v>
      </c>
      <c r="H530" s="36">
        <f t="shared" si="43"/>
        <v>-82.568216137205127</v>
      </c>
      <c r="I530" s="36">
        <f t="shared" si="44"/>
        <v>6817.5103160802209</v>
      </c>
    </row>
    <row r="531" spans="3:9" x14ac:dyDescent="0.25">
      <c r="C531" s="41">
        <v>2166.25</v>
      </c>
      <c r="D531" s="41">
        <v>8218.75</v>
      </c>
      <c r="E531" s="34">
        <f t="shared" si="40"/>
        <v>9437.500000000764</v>
      </c>
      <c r="F531" s="35">
        <f t="shared" si="41"/>
        <v>8136.2982729015757</v>
      </c>
      <c r="G531" s="35">
        <f t="shared" si="42"/>
        <v>9513.7669535474197</v>
      </c>
      <c r="H531" s="36">
        <f t="shared" si="43"/>
        <v>-82.451727098424271</v>
      </c>
      <c r="I531" s="36">
        <f t="shared" si="44"/>
        <v>6798.2873015130317</v>
      </c>
    </row>
    <row r="532" spans="3:9" x14ac:dyDescent="0.25">
      <c r="C532" s="41">
        <v>2169.4299999999998</v>
      </c>
      <c r="D532" s="41">
        <v>8233.82</v>
      </c>
      <c r="E532" s="34">
        <f t="shared" si="40"/>
        <v>9477.9874213839539</v>
      </c>
      <c r="F532" s="35">
        <f t="shared" si="41"/>
        <v>8151.4306340808625</v>
      </c>
      <c r="G532" s="35">
        <f t="shared" si="42"/>
        <v>9520.6504539412053</v>
      </c>
      <c r="H532" s="36">
        <f t="shared" si="43"/>
        <v>-82.389365919137163</v>
      </c>
      <c r="I532" s="36">
        <f t="shared" si="44"/>
        <v>6788.0076165574801</v>
      </c>
    </row>
    <row r="533" spans="3:9" x14ac:dyDescent="0.25">
      <c r="C533" s="41">
        <v>2172.62</v>
      </c>
      <c r="D533" s="41">
        <v>8248.8700000000008</v>
      </c>
      <c r="E533" s="34">
        <f t="shared" si="40"/>
        <v>9435.7366771165089</v>
      </c>
      <c r="F533" s="35">
        <f t="shared" si="41"/>
        <v>8166.6215817335788</v>
      </c>
      <c r="G533" s="35">
        <f t="shared" si="42"/>
        <v>9527.5606045059812</v>
      </c>
      <c r="H533" s="36">
        <f t="shared" si="43"/>
        <v>-82.24841826642205</v>
      </c>
      <c r="I533" s="36">
        <f t="shared" si="44"/>
        <v>6764.8023073283084</v>
      </c>
    </row>
    <row r="534" spans="3:9" x14ac:dyDescent="0.25">
      <c r="C534" s="41">
        <v>2175.8000000000002</v>
      </c>
      <c r="D534" s="41">
        <v>8263.93</v>
      </c>
      <c r="E534" s="34">
        <f t="shared" si="40"/>
        <v>9471.6981132063593</v>
      </c>
      <c r="F534" s="35">
        <f t="shared" si="41"/>
        <v>8181.7758827511379</v>
      </c>
      <c r="G534" s="35">
        <f t="shared" si="42"/>
        <v>9534.4540850267022</v>
      </c>
      <c r="H534" s="36">
        <f t="shared" si="43"/>
        <v>-82.154117248862349</v>
      </c>
      <c r="I534" s="36">
        <f t="shared" si="44"/>
        <v>6749.2989809398223</v>
      </c>
    </row>
    <row r="535" spans="3:9" x14ac:dyDescent="0.25">
      <c r="C535" s="41">
        <v>2178.98</v>
      </c>
      <c r="D535" s="41">
        <v>8278.99</v>
      </c>
      <c r="E535" s="34">
        <f t="shared" si="40"/>
        <v>9471.6981132077144</v>
      </c>
      <c r="F535" s="35">
        <f t="shared" si="41"/>
        <v>8196.9411483674194</v>
      </c>
      <c r="G535" s="35">
        <f t="shared" si="42"/>
        <v>9541.3525531907089</v>
      </c>
      <c r="H535" s="36">
        <f t="shared" si="43"/>
        <v>-82.048851632580408</v>
      </c>
      <c r="I535" s="36">
        <f t="shared" si="44"/>
        <v>6732.0140542251929</v>
      </c>
    </row>
    <row r="536" spans="3:9" x14ac:dyDescent="0.25">
      <c r="C536" s="41">
        <v>2182.17</v>
      </c>
      <c r="D536" s="41">
        <v>8294.0499999999993</v>
      </c>
      <c r="E536" s="34">
        <f t="shared" si="40"/>
        <v>9442.0062695919951</v>
      </c>
      <c r="F536" s="35">
        <f t="shared" si="41"/>
        <v>8212.165127850003</v>
      </c>
      <c r="G536" s="35">
        <f t="shared" si="42"/>
        <v>9548.2777294749485</v>
      </c>
      <c r="H536" s="36">
        <f t="shared" si="43"/>
        <v>-81.884872149996227</v>
      </c>
      <c r="I536" s="36">
        <f t="shared" si="44"/>
        <v>6705.132287021228</v>
      </c>
    </row>
    <row r="537" spans="3:9" x14ac:dyDescent="0.25">
      <c r="C537" s="41">
        <v>2185.35</v>
      </c>
      <c r="D537" s="41">
        <v>8309.1</v>
      </c>
      <c r="E537" s="34">
        <f t="shared" si="40"/>
        <v>9465.4088050326209</v>
      </c>
      <c r="F537" s="35">
        <f t="shared" si="41"/>
        <v>8227.3523810114493</v>
      </c>
      <c r="G537" s="35">
        <f t="shared" si="42"/>
        <v>9555.1861994670908</v>
      </c>
      <c r="H537" s="36">
        <f t="shared" si="43"/>
        <v>-81.747618988551039</v>
      </c>
      <c r="I537" s="36">
        <f t="shared" si="44"/>
        <v>6682.6732102973101</v>
      </c>
    </row>
    <row r="538" spans="3:9" x14ac:dyDescent="0.25">
      <c r="C538" s="41">
        <v>2188.5300000000002</v>
      </c>
      <c r="D538" s="41">
        <v>8324.14</v>
      </c>
      <c r="E538" s="34">
        <f t="shared" si="40"/>
        <v>9459.1194968538857</v>
      </c>
      <c r="F538" s="35">
        <f t="shared" si="41"/>
        <v>8242.5506226135094</v>
      </c>
      <c r="G538" s="35">
        <f t="shared" si="42"/>
        <v>9562.0996679478612</v>
      </c>
      <c r="H538" s="36">
        <f t="shared" si="43"/>
        <v>-81.589377386490014</v>
      </c>
      <c r="I538" s="36">
        <f t="shared" si="44"/>
        <v>6656.826502315088</v>
      </c>
    </row>
    <row r="539" spans="3:9" x14ac:dyDescent="0.25">
      <c r="C539" s="41">
        <v>2191.71</v>
      </c>
      <c r="D539" s="41">
        <v>8339.17</v>
      </c>
      <c r="E539" s="34">
        <f t="shared" si="40"/>
        <v>9452.8301886801437</v>
      </c>
      <c r="F539" s="35">
        <f t="shared" si="41"/>
        <v>8257.7598606066404</v>
      </c>
      <c r="G539" s="35">
        <f t="shared" si="42"/>
        <v>9569.0181385338128</v>
      </c>
      <c r="H539" s="36">
        <f t="shared" si="43"/>
        <v>-81.410139393359714</v>
      </c>
      <c r="I539" s="36">
        <f t="shared" si="44"/>
        <v>6627.6107960462587</v>
      </c>
    </row>
    <row r="540" spans="3:9" x14ac:dyDescent="0.25">
      <c r="C540" s="41">
        <v>2194.88</v>
      </c>
      <c r="D540" s="41">
        <v>8354.2000000000007</v>
      </c>
      <c r="E540" s="34">
        <f t="shared" si="40"/>
        <v>9482.6498422714885</v>
      </c>
      <c r="F540" s="35">
        <f t="shared" si="41"/>
        <v>8272.9322232934519</v>
      </c>
      <c r="G540" s="35">
        <f t="shared" si="42"/>
        <v>9575.919835056382</v>
      </c>
      <c r="H540" s="36">
        <f t="shared" si="43"/>
        <v>-81.26777670654883</v>
      </c>
      <c r="I540" s="36">
        <f t="shared" si="44"/>
        <v>6604.4515308254804</v>
      </c>
    </row>
    <row r="541" spans="3:9" x14ac:dyDescent="0.25">
      <c r="C541" s="41">
        <v>2198.06</v>
      </c>
      <c r="D541" s="41">
        <v>8369.23</v>
      </c>
      <c r="E541" s="34">
        <f t="shared" si="40"/>
        <v>9452.8301886789995</v>
      </c>
      <c r="F541" s="35">
        <f t="shared" si="41"/>
        <v>8288.1634433007839</v>
      </c>
      <c r="G541" s="35">
        <f t="shared" si="42"/>
        <v>9582.8483049545121</v>
      </c>
      <c r="H541" s="36">
        <f t="shared" si="43"/>
        <v>-81.066556699215653</v>
      </c>
      <c r="I541" s="36">
        <f t="shared" si="44"/>
        <v>6571.7866150671462</v>
      </c>
    </row>
    <row r="542" spans="3:9" x14ac:dyDescent="0.25">
      <c r="C542" s="41">
        <v>2201.2399999999998</v>
      </c>
      <c r="D542" s="41">
        <v>8384.26</v>
      </c>
      <c r="E542" s="34">
        <f t="shared" si="40"/>
        <v>9452.8301886801437</v>
      </c>
      <c r="F542" s="35">
        <f t="shared" si="41"/>
        <v>8303.4056835600768</v>
      </c>
      <c r="G542" s="35">
        <f t="shared" si="42"/>
        <v>9589.7817878118094</v>
      </c>
      <c r="H542" s="36">
        <f t="shared" si="43"/>
        <v>-80.854316439923423</v>
      </c>
      <c r="I542" s="36">
        <f t="shared" si="44"/>
        <v>6537.4204869672712</v>
      </c>
    </row>
    <row r="543" spans="3:9" x14ac:dyDescent="0.25">
      <c r="C543" s="41">
        <v>2204.42</v>
      </c>
      <c r="D543" s="41">
        <v>8399.2900000000009</v>
      </c>
      <c r="E543" s="34">
        <f t="shared" si="40"/>
        <v>9452.8301886787922</v>
      </c>
      <c r="F543" s="35">
        <f t="shared" si="41"/>
        <v>8318.658952044816</v>
      </c>
      <c r="G543" s="35">
        <f t="shared" si="42"/>
        <v>9596.7202872553025</v>
      </c>
      <c r="H543" s="36">
        <f t="shared" si="43"/>
        <v>-80.63104795518484</v>
      </c>
      <c r="I543" s="36">
        <f t="shared" si="44"/>
        <v>6501.3658943513174</v>
      </c>
    </row>
    <row r="544" spans="3:9" x14ac:dyDescent="0.25">
      <c r="C544" s="41">
        <v>2207.59</v>
      </c>
      <c r="D544" s="41">
        <v>8414.31</v>
      </c>
      <c r="E544" s="34">
        <f t="shared" si="40"/>
        <v>9476.3406940052191</v>
      </c>
      <c r="F544" s="35">
        <f t="shared" si="41"/>
        <v>8333.8752384698364</v>
      </c>
      <c r="G544" s="35">
        <f t="shared" si="42"/>
        <v>9603.6419640747772</v>
      </c>
      <c r="H544" s="36">
        <f t="shared" si="43"/>
        <v>-80.434761530163087</v>
      </c>
      <c r="I544" s="36">
        <f t="shared" si="44"/>
        <v>6469.7508624142038</v>
      </c>
    </row>
    <row r="545" spans="3:9" x14ac:dyDescent="0.25">
      <c r="C545" s="41">
        <v>2210.77</v>
      </c>
      <c r="D545" s="41">
        <v>8429.32</v>
      </c>
      <c r="E545" s="34">
        <f t="shared" si="40"/>
        <v>9440.2515723276683</v>
      </c>
      <c r="F545" s="35">
        <f t="shared" si="41"/>
        <v>8349.1505526063411</v>
      </c>
      <c r="G545" s="35">
        <f t="shared" si="42"/>
        <v>9610.5904917782918</v>
      </c>
      <c r="H545" s="36">
        <f t="shared" si="43"/>
        <v>-80.169447393658629</v>
      </c>
      <c r="I545" s="36">
        <f t="shared" si="44"/>
        <v>6427.140295404598</v>
      </c>
    </row>
    <row r="546" spans="3:9" x14ac:dyDescent="0.25">
      <c r="C546" s="41">
        <v>2213.94</v>
      </c>
      <c r="D546" s="41">
        <v>8444.34</v>
      </c>
      <c r="E546" s="34">
        <f t="shared" si="40"/>
        <v>9476.3406940063669</v>
      </c>
      <c r="F546" s="35">
        <f t="shared" si="41"/>
        <v>8364.3888312327017</v>
      </c>
      <c r="G546" s="35">
        <f t="shared" si="42"/>
        <v>9617.5221725439314</v>
      </c>
      <c r="H546" s="36">
        <f t="shared" si="43"/>
        <v>-79.951168767298441</v>
      </c>
      <c r="I546" s="36">
        <f t="shared" si="44"/>
        <v>6392.1893872570381</v>
      </c>
    </row>
    <row r="547" spans="3:9" x14ac:dyDescent="0.25">
      <c r="C547" s="41">
        <v>2217.12</v>
      </c>
      <c r="D547" s="41">
        <v>8459.35</v>
      </c>
      <c r="E547" s="34">
        <f t="shared" si="40"/>
        <v>9440.2515723276683</v>
      </c>
      <c r="F547" s="35">
        <f t="shared" si="41"/>
        <v>8379.6862228836944</v>
      </c>
      <c r="G547" s="35">
        <f t="shared" si="42"/>
        <v>9624.4807430013716</v>
      </c>
      <c r="H547" s="36">
        <f t="shared" si="43"/>
        <v>-79.663777116305937</v>
      </c>
      <c r="I547" s="36">
        <f t="shared" si="44"/>
        <v>6346.3173844364692</v>
      </c>
    </row>
    <row r="548" spans="3:9" x14ac:dyDescent="0.25">
      <c r="C548" s="41">
        <v>2220.2800000000002</v>
      </c>
      <c r="D548" s="41">
        <v>8474.3700000000008</v>
      </c>
      <c r="E548" s="34">
        <f t="shared" si="40"/>
        <v>9506.329113923397</v>
      </c>
      <c r="F548" s="35">
        <f t="shared" si="41"/>
        <v>8394.8983684394352</v>
      </c>
      <c r="G548" s="35">
        <f t="shared" si="42"/>
        <v>9631.4005361970703</v>
      </c>
      <c r="H548" s="36">
        <f t="shared" si="43"/>
        <v>-79.471631560565584</v>
      </c>
      <c r="I548" s="36">
        <f t="shared" si="44"/>
        <v>6315.7402228982837</v>
      </c>
    </row>
    <row r="549" spans="3:9" x14ac:dyDescent="0.25">
      <c r="C549" s="41">
        <v>2223.39</v>
      </c>
      <c r="D549" s="41">
        <v>8489.3799999999992</v>
      </c>
      <c r="E549" s="34">
        <f t="shared" si="40"/>
        <v>9652.7331189710476</v>
      </c>
      <c r="F549" s="35">
        <f t="shared" si="41"/>
        <v>8409.880494435829</v>
      </c>
      <c r="G549" s="35">
        <f t="shared" si="42"/>
        <v>9638.2156966980692</v>
      </c>
      <c r="H549" s="36">
        <f t="shared" si="43"/>
        <v>-79.499505564170249</v>
      </c>
      <c r="I549" s="36">
        <f t="shared" si="44"/>
        <v>6320.1713849475364</v>
      </c>
    </row>
    <row r="550" spans="3:9" x14ac:dyDescent="0.25">
      <c r="C550" s="41">
        <v>2226.5</v>
      </c>
      <c r="D550" s="41">
        <v>8504.42</v>
      </c>
      <c r="E550" s="34">
        <f t="shared" si="40"/>
        <v>9672.0257234728342</v>
      </c>
      <c r="F550" s="35">
        <f t="shared" si="41"/>
        <v>8424.8732217557736</v>
      </c>
      <c r="G550" s="35">
        <f t="shared" si="42"/>
        <v>9645.0356795935368</v>
      </c>
      <c r="H550" s="36">
        <f t="shared" si="43"/>
        <v>-79.546778244226516</v>
      </c>
      <c r="I550" s="36">
        <f t="shared" si="44"/>
        <v>6327.6899290361489</v>
      </c>
    </row>
    <row r="551" spans="3:9" x14ac:dyDescent="0.25">
      <c r="C551" s="41">
        <v>2229.62</v>
      </c>
      <c r="D551" s="41">
        <v>8519.4599999999991</v>
      </c>
      <c r="E551" s="34">
        <f t="shared" si="40"/>
        <v>9641.0256410253733</v>
      </c>
      <c r="F551" s="35">
        <f t="shared" si="41"/>
        <v>8439.9248172580628</v>
      </c>
      <c r="G551" s="35">
        <f t="shared" si="42"/>
        <v>9651.882440805457</v>
      </c>
      <c r="H551" s="36">
        <f t="shared" si="43"/>
        <v>-79.535182741936296</v>
      </c>
      <c r="I551" s="36">
        <f t="shared" si="44"/>
        <v>6325.8452937932016</v>
      </c>
    </row>
    <row r="552" spans="3:9" x14ac:dyDescent="0.25">
      <c r="C552" s="41">
        <v>2232.73</v>
      </c>
      <c r="D552" s="41">
        <v>8534.5</v>
      </c>
      <c r="E552" s="34">
        <f t="shared" si="40"/>
        <v>9672.0257234728342</v>
      </c>
      <c r="F552" s="35">
        <f t="shared" si="41"/>
        <v>8454.9388038830693</v>
      </c>
      <c r="G552" s="35">
        <f t="shared" si="42"/>
        <v>9658.7120942627771</v>
      </c>
      <c r="H552" s="36">
        <f t="shared" si="43"/>
        <v>-79.56119611693066</v>
      </c>
      <c r="I552" s="36">
        <f t="shared" si="44"/>
        <v>6329.9839275567019</v>
      </c>
    </row>
    <row r="553" spans="3:9" x14ac:dyDescent="0.25">
      <c r="C553" s="41">
        <v>2235.85</v>
      </c>
      <c r="D553" s="41">
        <v>8549.5499999999993</v>
      </c>
      <c r="E553" s="34">
        <f t="shared" si="40"/>
        <v>9647.4358974357692</v>
      </c>
      <c r="F553" s="35">
        <f t="shared" si="41"/>
        <v>8470.0117421640061</v>
      </c>
      <c r="G553" s="35">
        <f t="shared" si="42"/>
        <v>9665.5685640075244</v>
      </c>
      <c r="H553" s="36">
        <f t="shared" si="43"/>
        <v>-79.538257835993136</v>
      </c>
      <c r="I553" s="36">
        <f t="shared" si="44"/>
        <v>6326.334459584923</v>
      </c>
    </row>
    <row r="554" spans="3:9" x14ac:dyDescent="0.25">
      <c r="C554" s="41">
        <v>2238.96</v>
      </c>
      <c r="D554" s="41">
        <v>8564.59</v>
      </c>
      <c r="E554" s="34">
        <f t="shared" si="40"/>
        <v>9672.0257234728342</v>
      </c>
      <c r="F554" s="35">
        <f t="shared" si="41"/>
        <v>8485.0470182392255</v>
      </c>
      <c r="G554" s="35">
        <f t="shared" si="42"/>
        <v>9672.4079017393051</v>
      </c>
      <c r="H554" s="36">
        <f t="shared" si="43"/>
        <v>-79.542981760774637</v>
      </c>
      <c r="I554" s="36">
        <f t="shared" si="44"/>
        <v>6327.0859473949267</v>
      </c>
    </row>
    <row r="555" spans="3:9" x14ac:dyDescent="0.25">
      <c r="C555" s="41">
        <v>2242.08</v>
      </c>
      <c r="D555" s="41">
        <v>8579.6299999999992</v>
      </c>
      <c r="E555" s="34">
        <f t="shared" si="40"/>
        <v>9641.0256410253733</v>
      </c>
      <c r="F555" s="35">
        <f t="shared" si="41"/>
        <v>8500.1413295623206</v>
      </c>
      <c r="G555" s="35">
        <f t="shared" si="42"/>
        <v>9679.274093783326</v>
      </c>
      <c r="H555" s="36">
        <f t="shared" si="43"/>
        <v>-79.488670437678593</v>
      </c>
      <c r="I555" s="36">
        <f t="shared" si="44"/>
        <v>6318.448727949879</v>
      </c>
    </row>
    <row r="556" spans="3:9" x14ac:dyDescent="0.25">
      <c r="C556" s="41">
        <v>2245.19</v>
      </c>
      <c r="D556" s="41">
        <v>8594.68</v>
      </c>
      <c r="E556" s="34">
        <f t="shared" si="40"/>
        <v>9678.4565916401771</v>
      </c>
      <c r="F556" s="35">
        <f t="shared" si="41"/>
        <v>8515.1979252756555</v>
      </c>
      <c r="G556" s="35">
        <f t="shared" si="42"/>
        <v>9686.1231295216276</v>
      </c>
      <c r="H556" s="36">
        <f t="shared" si="43"/>
        <v>-79.482074724344784</v>
      </c>
      <c r="I556" s="36">
        <f t="shared" si="44"/>
        <v>6317.4002024863275</v>
      </c>
    </row>
    <row r="557" spans="3:9" x14ac:dyDescent="0.25">
      <c r="C557" s="41">
        <v>2248.31</v>
      </c>
      <c r="D557" s="41">
        <v>8609.7199999999993</v>
      </c>
      <c r="E557" s="34">
        <f t="shared" si="40"/>
        <v>9641.0256410253733</v>
      </c>
      <c r="F557" s="35">
        <f t="shared" si="41"/>
        <v>8530.3136399473424</v>
      </c>
      <c r="G557" s="35">
        <f t="shared" si="42"/>
        <v>9692.9990576508972</v>
      </c>
      <c r="H557" s="36">
        <f t="shared" si="43"/>
        <v>-79.406360052656964</v>
      </c>
      <c r="I557" s="36">
        <f t="shared" si="44"/>
        <v>6305.3700168121959</v>
      </c>
    </row>
    <row r="558" spans="3:9" x14ac:dyDescent="0.25">
      <c r="C558" s="41">
        <v>2251.42</v>
      </c>
      <c r="D558" s="41">
        <v>8624.76</v>
      </c>
      <c r="E558" s="34">
        <f t="shared" si="40"/>
        <v>9672.0257234728342</v>
      </c>
      <c r="F558" s="35">
        <f t="shared" si="41"/>
        <v>8545.3915855294927</v>
      </c>
      <c r="G558" s="35">
        <f t="shared" si="42"/>
        <v>9699.8578051472414</v>
      </c>
      <c r="H558" s="36">
        <f t="shared" si="43"/>
        <v>-79.36841447050756</v>
      </c>
      <c r="I558" s="36">
        <f t="shared" si="44"/>
        <v>6299.3452155622736</v>
      </c>
    </row>
    <row r="559" spans="3:9" x14ac:dyDescent="0.25">
      <c r="C559" s="41">
        <v>2254.54</v>
      </c>
      <c r="D559" s="41">
        <v>8639.81</v>
      </c>
      <c r="E559" s="34">
        <f t="shared" si="40"/>
        <v>9647.4358974357692</v>
      </c>
      <c r="F559" s="35">
        <f t="shared" si="41"/>
        <v>8560.528733899162</v>
      </c>
      <c r="G559" s="35">
        <f t="shared" si="42"/>
        <v>9706.7434831672745</v>
      </c>
      <c r="H559" s="36">
        <f t="shared" si="43"/>
        <v>-79.281266100837456</v>
      </c>
      <c r="I559" s="36">
        <f t="shared" si="44"/>
        <v>6285.5191545517982</v>
      </c>
    </row>
    <row r="560" spans="3:9" x14ac:dyDescent="0.25">
      <c r="C560" s="41">
        <v>2257.65</v>
      </c>
      <c r="D560" s="41">
        <v>8654.85</v>
      </c>
      <c r="E560" s="34">
        <f t="shared" si="40"/>
        <v>9672.0257234728342</v>
      </c>
      <c r="F560" s="35">
        <f t="shared" si="41"/>
        <v>8575.6280596237011</v>
      </c>
      <c r="G560" s="35">
        <f t="shared" si="42"/>
        <v>9713.6119561926898</v>
      </c>
      <c r="H560" s="36">
        <f t="shared" si="43"/>
        <v>-79.221940376299244</v>
      </c>
      <c r="I560" s="36">
        <f t="shared" si="44"/>
        <v>6276.1158369859122</v>
      </c>
    </row>
    <row r="561" spans="3:9" x14ac:dyDescent="0.25">
      <c r="C561" s="41">
        <v>2260.77</v>
      </c>
      <c r="D561" s="41">
        <v>8669.89</v>
      </c>
      <c r="E561" s="34">
        <f t="shared" si="40"/>
        <v>9641.0256410253733</v>
      </c>
      <c r="F561" s="35">
        <f t="shared" si="41"/>
        <v>8590.7866720838047</v>
      </c>
      <c r="G561" s="35">
        <f t="shared" si="42"/>
        <v>9720.5073979285899</v>
      </c>
      <c r="H561" s="36">
        <f t="shared" si="43"/>
        <v>-79.103327916194758</v>
      </c>
      <c r="I561" s="36">
        <f t="shared" si="44"/>
        <v>6257.3364874170366</v>
      </c>
    </row>
    <row r="562" spans="3:9" x14ac:dyDescent="0.25">
      <c r="C562" s="41">
        <v>2263.88</v>
      </c>
      <c r="D562" s="41">
        <v>8684.93</v>
      </c>
      <c r="E562" s="34">
        <f t="shared" si="40"/>
        <v>9672.0257234728342</v>
      </c>
      <c r="F562" s="35">
        <f t="shared" si="41"/>
        <v>8605.9074082672214</v>
      </c>
      <c r="G562" s="35">
        <f t="shared" si="42"/>
        <v>9727.3856102736245</v>
      </c>
      <c r="H562" s="36">
        <f t="shared" si="43"/>
        <v>-79.022591732778892</v>
      </c>
      <c r="I562" s="36">
        <f t="shared" si="44"/>
        <v>6244.5700041654545</v>
      </c>
    </row>
    <row r="563" spans="3:9" x14ac:dyDescent="0.25">
      <c r="C563" s="41">
        <v>2266.9899999999998</v>
      </c>
      <c r="D563" s="41">
        <v>8699.94</v>
      </c>
      <c r="E563" s="34">
        <f t="shared" si="40"/>
        <v>9652.7331189722172</v>
      </c>
      <c r="F563" s="35">
        <f t="shared" si="41"/>
        <v>8621.0388438544869</v>
      </c>
      <c r="G563" s="35">
        <f t="shared" si="42"/>
        <v>9734.2686896284886</v>
      </c>
      <c r="H563" s="36">
        <f t="shared" si="43"/>
        <v>-78.901156145513596</v>
      </c>
      <c r="I563" s="36">
        <f t="shared" si="44"/>
        <v>6225.3924410987183</v>
      </c>
    </row>
    <row r="564" spans="3:9" x14ac:dyDescent="0.25">
      <c r="C564" s="41">
        <v>2270.09</v>
      </c>
      <c r="D564" s="41">
        <v>8714.9599999999991</v>
      </c>
      <c r="E564" s="34">
        <f t="shared" si="40"/>
        <v>9690.3225806431328</v>
      </c>
      <c r="F564" s="35">
        <f t="shared" si="41"/>
        <v>8636.1322806886783</v>
      </c>
      <c r="G564" s="35">
        <f t="shared" si="42"/>
        <v>9741.1344838796831</v>
      </c>
      <c r="H564" s="36">
        <f t="shared" si="43"/>
        <v>-78.827719311320834</v>
      </c>
      <c r="I564" s="36">
        <f t="shared" si="44"/>
        <v>6213.8093318243837</v>
      </c>
    </row>
    <row r="565" spans="3:9" x14ac:dyDescent="0.25">
      <c r="C565" s="41">
        <v>2273.1999999999998</v>
      </c>
      <c r="D565" s="41">
        <v>8729.9699999999993</v>
      </c>
      <c r="E565" s="34">
        <f t="shared" si="40"/>
        <v>9652.7331189722172</v>
      </c>
      <c r="F565" s="35">
        <f t="shared" si="41"/>
        <v>8651.2851033375555</v>
      </c>
      <c r="G565" s="35">
        <f t="shared" si="42"/>
        <v>9748.0272919110757</v>
      </c>
      <c r="H565" s="36">
        <f t="shared" si="43"/>
        <v>-78.684896662443862</v>
      </c>
      <c r="I565" s="36">
        <f t="shared" si="44"/>
        <v>6191.3129627794688</v>
      </c>
    </row>
    <row r="566" spans="3:9" x14ac:dyDescent="0.25">
      <c r="C566" s="41">
        <v>2276.31</v>
      </c>
      <c r="D566" s="41">
        <v>8744.99</v>
      </c>
      <c r="E566" s="34">
        <f t="shared" si="40"/>
        <v>9659.1639871381485</v>
      </c>
      <c r="F566" s="35">
        <f t="shared" si="41"/>
        <v>8666.4486480946071</v>
      </c>
      <c r="G566" s="35">
        <f t="shared" si="42"/>
        <v>9754.9249772801777</v>
      </c>
      <c r="H566" s="36">
        <f t="shared" si="43"/>
        <v>-78.54135190539273</v>
      </c>
      <c r="I566" s="36">
        <f t="shared" si="44"/>
        <v>6168.7439591267384</v>
      </c>
    </row>
    <row r="567" spans="3:9" x14ac:dyDescent="0.25">
      <c r="C567" s="41">
        <v>2279.42</v>
      </c>
      <c r="D567" s="41">
        <v>8760</v>
      </c>
      <c r="E567" s="34">
        <f t="shared" si="40"/>
        <v>9652.7331189708057</v>
      </c>
      <c r="F567" s="35">
        <f t="shared" si="41"/>
        <v>8681.6229225467723</v>
      </c>
      <c r="G567" s="35">
        <f t="shared" si="42"/>
        <v>9761.8275434381867</v>
      </c>
      <c r="H567" s="36">
        <f t="shared" si="43"/>
        <v>-78.377077453227685</v>
      </c>
      <c r="I567" s="36">
        <f t="shared" si="44"/>
        <v>6142.9662701092511</v>
      </c>
    </row>
    <row r="568" spans="3:9" x14ac:dyDescent="0.25">
      <c r="C568" s="41">
        <v>2282.5300000000002</v>
      </c>
      <c r="D568" s="41">
        <v>8775.01</v>
      </c>
      <c r="E568" s="34">
        <f t="shared" si="40"/>
        <v>9652.7331189708057</v>
      </c>
      <c r="F568" s="35">
        <f t="shared" si="41"/>
        <v>8696.8079342863621</v>
      </c>
      <c r="G568" s="35">
        <f t="shared" si="42"/>
        <v>9768.734993838736</v>
      </c>
      <c r="H568" s="36">
        <f t="shared" si="43"/>
        <v>-78.202065713638149</v>
      </c>
      <c r="I568" s="36">
        <f t="shared" si="44"/>
        <v>6115.5630818801792</v>
      </c>
    </row>
    <row r="569" spans="3:9" x14ac:dyDescent="0.25">
      <c r="C569" s="41">
        <v>2285.63</v>
      </c>
      <c r="D569" s="41">
        <v>8790</v>
      </c>
      <c r="E569" s="34">
        <f t="shared" si="40"/>
        <v>9670.9677419356267</v>
      </c>
      <c r="F569" s="35">
        <f t="shared" si="41"/>
        <v>8711.954812729995</v>
      </c>
      <c r="G569" s="35">
        <f t="shared" si="42"/>
        <v>9775.6250979339311</v>
      </c>
      <c r="H569" s="36">
        <f t="shared" si="43"/>
        <v>-78.045187270005044</v>
      </c>
      <c r="I569" s="36">
        <f t="shared" si="44"/>
        <v>6091.0512560101579</v>
      </c>
    </row>
    <row r="570" spans="3:9" x14ac:dyDescent="0.25">
      <c r="C570" s="41">
        <v>2289.62</v>
      </c>
      <c r="D570" s="41">
        <v>8804.98</v>
      </c>
      <c r="E570" s="34">
        <f t="shared" si="40"/>
        <v>7508.771929824753</v>
      </c>
      <c r="F570" s="35">
        <f t="shared" si="41"/>
        <v>8731.4660366569533</v>
      </c>
      <c r="G570" s="35">
        <f t="shared" si="42"/>
        <v>9784.5004820192844</v>
      </c>
      <c r="H570" s="36">
        <f t="shared" si="43"/>
        <v>-73.513963343046271</v>
      </c>
      <c r="I570" s="36">
        <f t="shared" si="44"/>
        <v>5404.3028064027512</v>
      </c>
    </row>
    <row r="571" spans="3:9" x14ac:dyDescent="0.25">
      <c r="C571" s="41">
        <v>2293.63</v>
      </c>
      <c r="D571" s="41">
        <v>8819.9699999999993</v>
      </c>
      <c r="E571" s="34">
        <f t="shared" si="40"/>
        <v>7476.3092269321523</v>
      </c>
      <c r="F571" s="35">
        <f t="shared" si="41"/>
        <v>8751.0929090738355</v>
      </c>
      <c r="G571" s="35">
        <f t="shared" si="42"/>
        <v>9793.4284729923875</v>
      </c>
      <c r="H571" s="36">
        <f t="shared" si="43"/>
        <v>-68.877090926163874</v>
      </c>
      <c r="I571" s="36">
        <f t="shared" si="44"/>
        <v>4744.053654451046</v>
      </c>
    </row>
    <row r="572" spans="3:9" x14ac:dyDescent="0.25">
      <c r="C572" s="41">
        <v>2297.64</v>
      </c>
      <c r="D572" s="41">
        <v>8834.9500000000007</v>
      </c>
      <c r="E572" s="34">
        <f t="shared" si="40"/>
        <v>7471.3216957617278</v>
      </c>
      <c r="F572" s="35">
        <f t="shared" si="41"/>
        <v>8770.7376902781998</v>
      </c>
      <c r="G572" s="35">
        <f t="shared" si="42"/>
        <v>9802.3646104235486</v>
      </c>
      <c r="H572" s="36">
        <f t="shared" si="43"/>
        <v>-64.212309721800921</v>
      </c>
      <c r="I572" s="36">
        <f t="shared" si="44"/>
        <v>4123.2207198084889</v>
      </c>
    </row>
    <row r="573" spans="3:9" x14ac:dyDescent="0.25">
      <c r="C573" s="41">
        <v>2301.65</v>
      </c>
      <c r="D573" s="41">
        <v>8849.94</v>
      </c>
      <c r="E573" s="34">
        <f t="shared" si="40"/>
        <v>7476.3092269321523</v>
      </c>
      <c r="F573" s="35">
        <f t="shared" si="41"/>
        <v>8790.4003966111522</v>
      </c>
      <c r="G573" s="35">
        <f t="shared" si="42"/>
        <v>9811.3089017461116</v>
      </c>
      <c r="H573" s="36">
        <f t="shared" si="43"/>
        <v>-59.539603388848263</v>
      </c>
      <c r="I573" s="36">
        <f t="shared" si="44"/>
        <v>3544.9643717013514</v>
      </c>
    </row>
    <row r="574" spans="3:9" x14ac:dyDescent="0.25">
      <c r="C574" s="41">
        <v>2305.66</v>
      </c>
      <c r="D574" s="41">
        <v>8864.92</v>
      </c>
      <c r="E574" s="34">
        <f t="shared" si="40"/>
        <v>7471.3216957608211</v>
      </c>
      <c r="F574" s="35">
        <f t="shared" si="41"/>
        <v>8810.0810444286944</v>
      </c>
      <c r="G574" s="35">
        <f t="shared" si="42"/>
        <v>9820.2613544001943</v>
      </c>
      <c r="H574" s="36">
        <f t="shared" si="43"/>
        <v>-54.838955571305632</v>
      </c>
      <c r="I574" s="36">
        <f t="shared" si="44"/>
        <v>3007.3110481516333</v>
      </c>
    </row>
    <row r="575" spans="3:9" x14ac:dyDescent="0.25">
      <c r="C575" s="41">
        <v>2309.66</v>
      </c>
      <c r="D575" s="41">
        <v>8879.86</v>
      </c>
      <c r="E575" s="34">
        <f t="shared" si="40"/>
        <v>7470.0000000002547</v>
      </c>
      <c r="F575" s="35">
        <f t="shared" si="41"/>
        <v>8829.7305040477731</v>
      </c>
      <c r="G575" s="35">
        <f t="shared" si="42"/>
        <v>9829.1996199770656</v>
      </c>
      <c r="H575" s="36">
        <f t="shared" si="43"/>
        <v>-50.129495952227444</v>
      </c>
      <c r="I575" s="36">
        <f t="shared" si="44"/>
        <v>2512.9663644243878</v>
      </c>
    </row>
    <row r="576" spans="3:9" x14ac:dyDescent="0.25">
      <c r="C576" s="41">
        <v>2313.66</v>
      </c>
      <c r="D576" s="41">
        <v>8894.7999999999993</v>
      </c>
      <c r="E576" s="34">
        <f t="shared" si="40"/>
        <v>7469.9999999993452</v>
      </c>
      <c r="F576" s="35">
        <f t="shared" si="41"/>
        <v>8849.3978483322608</v>
      </c>
      <c r="G576" s="35">
        <f t="shared" si="42"/>
        <v>9838.1460210392015</v>
      </c>
      <c r="H576" s="36">
        <f t="shared" si="43"/>
        <v>-45.402151667738508</v>
      </c>
      <c r="I576" s="36">
        <f t="shared" si="44"/>
        <v>2061.3553760603304</v>
      </c>
    </row>
    <row r="577" spans="3:9" x14ac:dyDescent="0.25">
      <c r="C577" s="41">
        <v>2317.66</v>
      </c>
      <c r="D577" s="41">
        <v>8909.74</v>
      </c>
      <c r="E577" s="34">
        <f t="shared" si="40"/>
        <v>7470.0000000002547</v>
      </c>
      <c r="F577" s="35">
        <f t="shared" si="41"/>
        <v>8869.0830935605209</v>
      </c>
      <c r="G577" s="35">
        <f t="shared" si="42"/>
        <v>9847.1005649914023</v>
      </c>
      <c r="H577" s="36">
        <f t="shared" si="43"/>
        <v>-40.656906439478917</v>
      </c>
      <c r="I577" s="36">
        <f t="shared" si="44"/>
        <v>1652.9840412285421</v>
      </c>
    </row>
    <row r="578" spans="3:9" x14ac:dyDescent="0.25">
      <c r="C578" s="41">
        <v>2321.66</v>
      </c>
      <c r="D578" s="41">
        <v>8924.69</v>
      </c>
      <c r="E578" s="34">
        <f t="shared" si="40"/>
        <v>7475.0000000003638</v>
      </c>
      <c r="F578" s="35">
        <f t="shared" si="41"/>
        <v>8888.7862560257581</v>
      </c>
      <c r="G578" s="35">
        <f t="shared" si="42"/>
        <v>9856.0632592452203</v>
      </c>
      <c r="H578" s="36">
        <f t="shared" si="43"/>
        <v>-35.903743974242389</v>
      </c>
      <c r="I578" s="36">
        <f t="shared" si="44"/>
        <v>1289.0788313679466</v>
      </c>
    </row>
    <row r="579" spans="3:9" x14ac:dyDescent="0.25">
      <c r="C579" s="41">
        <v>2325.66</v>
      </c>
      <c r="D579" s="41">
        <v>8939.6299999999992</v>
      </c>
      <c r="E579" s="34">
        <f t="shared" si="40"/>
        <v>7469.9999999993452</v>
      </c>
      <c r="F579" s="35">
        <f t="shared" si="41"/>
        <v>8908.507352035982</v>
      </c>
      <c r="G579" s="35">
        <f t="shared" si="42"/>
        <v>9865.0341112189417</v>
      </c>
      <c r="H579" s="36">
        <f t="shared" si="43"/>
        <v>-31.122647964017233</v>
      </c>
      <c r="I579" s="36">
        <f t="shared" si="44"/>
        <v>968.61921629214601</v>
      </c>
    </row>
    <row r="580" spans="3:9" x14ac:dyDescent="0.25">
      <c r="C580" s="41">
        <v>2329.66</v>
      </c>
      <c r="D580" s="41">
        <v>8954.57</v>
      </c>
      <c r="E580" s="34">
        <f t="shared" si="40"/>
        <v>7470.0000000002547</v>
      </c>
      <c r="F580" s="35">
        <f t="shared" si="41"/>
        <v>8928.2463979140648</v>
      </c>
      <c r="G580" s="35">
        <f t="shared" si="42"/>
        <v>9874.013128337614</v>
      </c>
      <c r="H580" s="36">
        <f t="shared" si="43"/>
        <v>-26.323602085934908</v>
      </c>
      <c r="I580" s="36">
        <f t="shared" si="44"/>
        <v>692.93202677863667</v>
      </c>
    </row>
    <row r="581" spans="3:9" x14ac:dyDescent="0.25">
      <c r="C581" s="41">
        <v>2333.5100000000002</v>
      </c>
      <c r="D581" s="41">
        <v>8969.51</v>
      </c>
      <c r="E581" s="34">
        <f t="shared" si="40"/>
        <v>7761.0389610384918</v>
      </c>
      <c r="F581" s="35">
        <f t="shared" si="41"/>
        <v>8947.262197617707</v>
      </c>
      <c r="G581" s="35">
        <f t="shared" si="42"/>
        <v>9882.6631508421888</v>
      </c>
      <c r="H581" s="36">
        <f t="shared" si="43"/>
        <v>-22.24780238229323</v>
      </c>
      <c r="I581" s="36">
        <f t="shared" si="44"/>
        <v>494.9647108415723</v>
      </c>
    </row>
    <row r="582" spans="3:9" x14ac:dyDescent="0.25">
      <c r="C582" s="41">
        <v>2337.35</v>
      </c>
      <c r="D582" s="41">
        <v>8984.4500000000007</v>
      </c>
      <c r="E582" s="34">
        <f t="shared" si="40"/>
        <v>7781.2500000008913</v>
      </c>
      <c r="F582" s="35">
        <f t="shared" si="41"/>
        <v>8966.245199359686</v>
      </c>
      <c r="G582" s="35">
        <f t="shared" si="42"/>
        <v>9891.2982540106896</v>
      </c>
      <c r="H582" s="36">
        <f t="shared" si="43"/>
        <v>-18.204800640314716</v>
      </c>
      <c r="I582" s="36">
        <f t="shared" si="44"/>
        <v>331.41476635360306</v>
      </c>
    </row>
    <row r="583" spans="3:9" x14ac:dyDescent="0.25">
      <c r="C583" s="41">
        <v>2341.1799999999998</v>
      </c>
      <c r="D583" s="41">
        <v>8999.4</v>
      </c>
      <c r="E583" s="34">
        <f t="shared" si="40"/>
        <v>7806.7885117489259</v>
      </c>
      <c r="F583" s="35">
        <f t="shared" si="41"/>
        <v>8985.1952880937115</v>
      </c>
      <c r="G583" s="35">
        <f t="shared" si="42"/>
        <v>9899.9183855101619</v>
      </c>
      <c r="H583" s="36">
        <f t="shared" si="43"/>
        <v>-14.204711906288139</v>
      </c>
      <c r="I583" s="36">
        <f t="shared" si="44"/>
        <v>201.77384034064403</v>
      </c>
    </row>
    <row r="584" spans="3:9" x14ac:dyDescent="0.25">
      <c r="C584" s="41">
        <v>2345.02</v>
      </c>
      <c r="D584" s="41">
        <v>9014.34</v>
      </c>
      <c r="E584" s="34">
        <f t="shared" si="40"/>
        <v>7781.2499999999709</v>
      </c>
      <c r="F584" s="35">
        <f t="shared" si="41"/>
        <v>9004.2114343580488</v>
      </c>
      <c r="G584" s="35">
        <f t="shared" si="42"/>
        <v>9908.568565660371</v>
      </c>
      <c r="H584" s="36">
        <f t="shared" si="43"/>
        <v>-10.128565641951354</v>
      </c>
      <c r="I584" s="36">
        <f t="shared" si="44"/>
        <v>102.58784196331744</v>
      </c>
    </row>
    <row r="585" spans="3:9" x14ac:dyDescent="0.25">
      <c r="C585" s="41">
        <v>2348.85</v>
      </c>
      <c r="D585" s="41">
        <v>9029.2800000000007</v>
      </c>
      <c r="E585" s="34">
        <f t="shared" ref="E585:E648" si="45">IF(C585="","",2*(D585-D584)/((C585-C584)/1000))</f>
        <v>7801.5665796348794</v>
      </c>
      <c r="F585" s="35">
        <f t="shared" ref="F585:F648" si="46">IF(C585="","",F$7+(F$9/F$10)*(EXP(F$10*(C585-F$8)/2000)-1))</f>
        <v>9023.1946101479662</v>
      </c>
      <c r="G585" s="35">
        <f t="shared" ref="G585:G648" si="47">IF(E585="","",F$9+(F585-F$7)*F$10)</f>
        <v>9917.2037480008548</v>
      </c>
      <c r="H585" s="36">
        <f t="shared" ref="H585:H648" si="48">IF(F585="","",F585-D585)</f>
        <v>-6.0853898520344956</v>
      </c>
      <c r="I585" s="36">
        <f t="shared" ref="I585:I648" si="49">IF(H585="","",H585^2)</f>
        <v>37.031969651244417</v>
      </c>
    </row>
    <row r="586" spans="3:9" x14ac:dyDescent="0.25">
      <c r="C586" s="41">
        <v>2352.36</v>
      </c>
      <c r="D586" s="41">
        <v>9044.2199999999993</v>
      </c>
      <c r="E586" s="34">
        <f t="shared" si="45"/>
        <v>8512.8205128192367</v>
      </c>
      <c r="F586" s="35">
        <f t="shared" si="46"/>
        <v>9040.6062518759609</v>
      </c>
      <c r="G586" s="35">
        <f t="shared" si="47"/>
        <v>9925.1240613789923</v>
      </c>
      <c r="H586" s="36">
        <f t="shared" si="48"/>
        <v>-3.6137481240384659</v>
      </c>
      <c r="I586" s="36">
        <f t="shared" si="49"/>
        <v>13.059175503991531</v>
      </c>
    </row>
    <row r="587" spans="3:9" x14ac:dyDescent="0.25">
      <c r="C587" s="41">
        <v>2355.33</v>
      </c>
      <c r="D587" s="41">
        <v>9059.2099999999991</v>
      </c>
      <c r="E587" s="34">
        <f t="shared" si="45"/>
        <v>10094.276094276627</v>
      </c>
      <c r="F587" s="35">
        <f t="shared" si="46"/>
        <v>9055.3500403039325</v>
      </c>
      <c r="G587" s="35">
        <f t="shared" si="47"/>
        <v>9931.8308054387871</v>
      </c>
      <c r="H587" s="36">
        <f t="shared" si="48"/>
        <v>-3.8599596960666531</v>
      </c>
      <c r="I587" s="36">
        <f t="shared" si="49"/>
        <v>14.89928885525897</v>
      </c>
    </row>
    <row r="588" spans="3:9" x14ac:dyDescent="0.25">
      <c r="C588" s="41">
        <v>2358.31</v>
      </c>
      <c r="D588" s="41">
        <v>9074.19</v>
      </c>
      <c r="E588" s="34">
        <f t="shared" si="45"/>
        <v>10053.691275168652</v>
      </c>
      <c r="F588" s="35">
        <f t="shared" si="46"/>
        <v>9070.1534843783629</v>
      </c>
      <c r="G588" s="35">
        <f t="shared" si="47"/>
        <v>9938.5646860214947</v>
      </c>
      <c r="H588" s="36">
        <f t="shared" si="48"/>
        <v>-4.0365156216375908</v>
      </c>
      <c r="I588" s="36">
        <f t="shared" si="49"/>
        <v>16.293458363724305</v>
      </c>
    </row>
    <row r="589" spans="3:9" x14ac:dyDescent="0.25">
      <c r="C589" s="41">
        <v>2361.2800000000002</v>
      </c>
      <c r="D589" s="41">
        <v>9089.18</v>
      </c>
      <c r="E589" s="34">
        <f t="shared" si="45"/>
        <v>10094.276094275083</v>
      </c>
      <c r="F589" s="35">
        <f t="shared" si="46"/>
        <v>9084.9172388767638</v>
      </c>
      <c r="G589" s="35">
        <f t="shared" si="47"/>
        <v>9945.2805123687158</v>
      </c>
      <c r="H589" s="36">
        <f t="shared" si="48"/>
        <v>-4.262761123236487</v>
      </c>
      <c r="I589" s="36">
        <f t="shared" si="49"/>
        <v>18.171132393776396</v>
      </c>
    </row>
    <row r="590" spans="3:9" x14ac:dyDescent="0.25">
      <c r="C590" s="41">
        <v>2364.2600000000002</v>
      </c>
      <c r="D590" s="41">
        <v>9104.17</v>
      </c>
      <c r="E590" s="34">
        <f t="shared" si="45"/>
        <v>10060.402684563551</v>
      </c>
      <c r="F590" s="35">
        <f t="shared" si="46"/>
        <v>9099.740729807434</v>
      </c>
      <c r="G590" s="35">
        <f t="shared" si="47"/>
        <v>9952.0235119871904</v>
      </c>
      <c r="H590" s="36">
        <f t="shared" si="48"/>
        <v>-4.4292701925660367</v>
      </c>
      <c r="I590" s="36">
        <f t="shared" si="49"/>
        <v>19.618434438753976</v>
      </c>
    </row>
    <row r="591" spans="3:9" x14ac:dyDescent="0.25">
      <c r="C591" s="41">
        <v>2367.23</v>
      </c>
      <c r="D591" s="41">
        <v>9119.15</v>
      </c>
      <c r="E591" s="34">
        <f t="shared" si="45"/>
        <v>10087.542087542473</v>
      </c>
      <c r="F591" s="35">
        <f t="shared" si="46"/>
        <v>9114.5244774143648</v>
      </c>
      <c r="G591" s="35">
        <f t="shared" si="47"/>
        <v>9958.7484329210929</v>
      </c>
      <c r="H591" s="36">
        <f t="shared" si="48"/>
        <v>-4.6255225856348261</v>
      </c>
      <c r="I591" s="36">
        <f t="shared" si="49"/>
        <v>21.395459190217888</v>
      </c>
    </row>
    <row r="592" spans="3:9" x14ac:dyDescent="0.25">
      <c r="C592" s="41">
        <v>2370.1999999999998</v>
      </c>
      <c r="D592" s="41">
        <v>9134.14</v>
      </c>
      <c r="E592" s="34">
        <f t="shared" si="45"/>
        <v>10094.276094276627</v>
      </c>
      <c r="F592" s="35">
        <f t="shared" si="46"/>
        <v>9129.3182149026143</v>
      </c>
      <c r="G592" s="35">
        <f t="shared" si="47"/>
        <v>9965.4778981129039</v>
      </c>
      <c r="H592" s="36">
        <f t="shared" si="48"/>
        <v>-4.8217850973851455</v>
      </c>
      <c r="I592" s="36">
        <f t="shared" si="49"/>
        <v>23.249611525365477</v>
      </c>
    </row>
    <row r="593" spans="3:9" x14ac:dyDescent="0.25">
      <c r="C593" s="41">
        <v>2373.1799999999998</v>
      </c>
      <c r="D593" s="41">
        <v>9149.16</v>
      </c>
      <c r="E593" s="34">
        <f t="shared" si="45"/>
        <v>10080.53691275191</v>
      </c>
      <c r="F593" s="35">
        <f t="shared" si="46"/>
        <v>9144.1718101389433</v>
      </c>
      <c r="G593" s="35">
        <f t="shared" si="47"/>
        <v>9972.2345917608436</v>
      </c>
      <c r="H593" s="36">
        <f t="shared" si="48"/>
        <v>-4.9881898610565258</v>
      </c>
      <c r="I593" s="36">
        <f t="shared" si="49"/>
        <v>24.882038089947123</v>
      </c>
    </row>
    <row r="594" spans="3:9" x14ac:dyDescent="0.25">
      <c r="C594" s="41">
        <v>2376.17</v>
      </c>
      <c r="D594" s="41">
        <v>9164.19</v>
      </c>
      <c r="E594" s="34">
        <f t="shared" si="45"/>
        <v>10053.511705685261</v>
      </c>
      <c r="F594" s="35">
        <f t="shared" si="46"/>
        <v>9159.0853712974222</v>
      </c>
      <c r="G594" s="35">
        <f t="shared" si="47"/>
        <v>9979.0185630717897</v>
      </c>
      <c r="H594" s="36">
        <f t="shared" si="48"/>
        <v>-5.1046287025783386</v>
      </c>
      <c r="I594" s="36">
        <f t="shared" si="49"/>
        <v>26.057234191186613</v>
      </c>
    </row>
    <row r="595" spans="3:9" x14ac:dyDescent="0.25">
      <c r="C595" s="41">
        <v>2379.15</v>
      </c>
      <c r="D595" s="41">
        <v>9179.2199999999993</v>
      </c>
      <c r="E595" s="34">
        <f t="shared" si="45"/>
        <v>10087.248322146808</v>
      </c>
      <c r="F595" s="35">
        <f t="shared" si="46"/>
        <v>9173.9591489633895</v>
      </c>
      <c r="G595" s="35">
        <f t="shared" si="47"/>
        <v>9985.7844374259457</v>
      </c>
      <c r="H595" s="36">
        <f t="shared" si="48"/>
        <v>-5.2608510366098926</v>
      </c>
      <c r="I595" s="36">
        <f t="shared" si="49"/>
        <v>27.676553629399383</v>
      </c>
    </row>
    <row r="596" spans="3:9" x14ac:dyDescent="0.25">
      <c r="C596" s="41">
        <v>2382.13</v>
      </c>
      <c r="D596" s="41">
        <v>9194.25</v>
      </c>
      <c r="E596" s="34">
        <f t="shared" si="45"/>
        <v>10087.248322148029</v>
      </c>
      <c r="F596" s="35">
        <f t="shared" si="46"/>
        <v>9188.8430111993257</v>
      </c>
      <c r="G596" s="35">
        <f t="shared" si="47"/>
        <v>9992.5548991105607</v>
      </c>
      <c r="H596" s="36">
        <f t="shared" si="48"/>
        <v>-5.4069888006742985</v>
      </c>
      <c r="I596" s="36">
        <f t="shared" si="49"/>
        <v>29.235527890617288</v>
      </c>
    </row>
    <row r="597" spans="3:9" x14ac:dyDescent="0.25">
      <c r="C597" s="41">
        <v>2385.11</v>
      </c>
      <c r="D597" s="41">
        <v>9209.2800000000007</v>
      </c>
      <c r="E597" s="34">
        <f t="shared" si="45"/>
        <v>10087.248322148029</v>
      </c>
      <c r="F597" s="35">
        <f t="shared" si="46"/>
        <v>9203.7369648426611</v>
      </c>
      <c r="G597" s="35">
        <f t="shared" si="47"/>
        <v>9999.3299512358863</v>
      </c>
      <c r="H597" s="36">
        <f t="shared" si="48"/>
        <v>-5.5430351573395455</v>
      </c>
      <c r="I597" s="36">
        <f t="shared" si="49"/>
        <v>30.725238755502239</v>
      </c>
    </row>
    <row r="598" spans="3:9" x14ac:dyDescent="0.25">
      <c r="C598" s="41">
        <v>2388.09</v>
      </c>
      <c r="D598" s="41">
        <v>9224.31</v>
      </c>
      <c r="E598" s="34">
        <f t="shared" si="45"/>
        <v>10087.248322146808</v>
      </c>
      <c r="F598" s="35">
        <f t="shared" si="46"/>
        <v>9218.6410167354752</v>
      </c>
      <c r="G598" s="35">
        <f t="shared" si="47"/>
        <v>10006.109596914292</v>
      </c>
      <c r="H598" s="36">
        <f t="shared" si="48"/>
        <v>-5.6689832645242859</v>
      </c>
      <c r="I598" s="36">
        <f t="shared" si="49"/>
        <v>32.137371253456429</v>
      </c>
    </row>
    <row r="599" spans="3:9" x14ac:dyDescent="0.25">
      <c r="C599" s="41">
        <v>2391.08</v>
      </c>
      <c r="D599" s="41">
        <v>9239.36</v>
      </c>
      <c r="E599" s="34">
        <f t="shared" si="45"/>
        <v>10066.889632108489</v>
      </c>
      <c r="F599" s="35">
        <f t="shared" si="46"/>
        <v>9233.6052382506059</v>
      </c>
      <c r="G599" s="35">
        <f t="shared" si="47"/>
        <v>10012.916612916069</v>
      </c>
      <c r="H599" s="36">
        <f t="shared" si="48"/>
        <v>-5.7547617493946746</v>
      </c>
      <c r="I599" s="36">
        <f t="shared" si="49"/>
        <v>33.117282792296052</v>
      </c>
    </row>
    <row r="600" spans="3:9" x14ac:dyDescent="0.25">
      <c r="C600" s="41">
        <v>2394.0700000000002</v>
      </c>
      <c r="D600" s="41">
        <v>9254.42</v>
      </c>
      <c r="E600" s="34">
        <f t="shared" si="45"/>
        <v>10073.578595316589</v>
      </c>
      <c r="F600" s="35">
        <f t="shared" si="46"/>
        <v>9248.5796397157337</v>
      </c>
      <c r="G600" s="35">
        <f t="shared" si="47"/>
        <v>10019.728259635354</v>
      </c>
      <c r="H600" s="36">
        <f t="shared" si="48"/>
        <v>-5.8403602842663531</v>
      </c>
      <c r="I600" s="36">
        <f t="shared" si="49"/>
        <v>34.109808250035755</v>
      </c>
    </row>
    <row r="601" spans="3:9" x14ac:dyDescent="0.25">
      <c r="C601" s="41">
        <v>2397.06</v>
      </c>
      <c r="D601" s="41">
        <v>9269.48</v>
      </c>
      <c r="E601" s="34">
        <f t="shared" si="45"/>
        <v>10073.57859531812</v>
      </c>
      <c r="F601" s="35">
        <f t="shared" si="46"/>
        <v>9263.5642280561242</v>
      </c>
      <c r="G601" s="35">
        <f t="shared" si="47"/>
        <v>10026.544540222352</v>
      </c>
      <c r="H601" s="36">
        <f t="shared" si="48"/>
        <v>-5.9157719438753702</v>
      </c>
      <c r="I601" s="36">
        <f t="shared" si="49"/>
        <v>34.996357691942976</v>
      </c>
    </row>
    <row r="602" spans="3:9" x14ac:dyDescent="0.25">
      <c r="C602" s="41">
        <v>2400.04</v>
      </c>
      <c r="D602" s="41">
        <v>9284.5400000000009</v>
      </c>
      <c r="E602" s="34">
        <f t="shared" si="45"/>
        <v>10107.382550336388</v>
      </c>
      <c r="F602" s="35">
        <f t="shared" si="46"/>
        <v>9278.5088434315403</v>
      </c>
      <c r="G602" s="35">
        <f t="shared" si="47"/>
        <v>10033.342637664176</v>
      </c>
      <c r="H602" s="36">
        <f t="shared" si="48"/>
        <v>-6.0311565684605739</v>
      </c>
      <c r="I602" s="36">
        <f t="shared" si="49"/>
        <v>36.374849553285124</v>
      </c>
    </row>
    <row r="603" spans="3:9" x14ac:dyDescent="0.25">
      <c r="C603" s="41">
        <v>2403.0300000000002</v>
      </c>
      <c r="D603" s="41">
        <v>9299.59</v>
      </c>
      <c r="E603" s="34">
        <f t="shared" si="45"/>
        <v>10066.88963210574</v>
      </c>
      <c r="F603" s="35">
        <f t="shared" si="46"/>
        <v>9293.5137921894038</v>
      </c>
      <c r="G603" s="35">
        <f t="shared" si="47"/>
        <v>10040.168179921577</v>
      </c>
      <c r="H603" s="36">
        <f t="shared" si="48"/>
        <v>-6.0762078105963155</v>
      </c>
      <c r="I603" s="36">
        <f t="shared" si="49"/>
        <v>36.920301357551672</v>
      </c>
    </row>
    <row r="604" spans="3:9" x14ac:dyDescent="0.25">
      <c r="C604" s="41">
        <v>2406.02</v>
      </c>
      <c r="D604" s="41">
        <v>9314.65</v>
      </c>
      <c r="E604" s="34">
        <f t="shared" si="45"/>
        <v>10073.57859531812</v>
      </c>
      <c r="F604" s="35">
        <f t="shared" si="46"/>
        <v>9308.5289486034253</v>
      </c>
      <c r="G604" s="35">
        <f t="shared" si="47"/>
        <v>10046.998365499632</v>
      </c>
      <c r="H604" s="36">
        <f t="shared" si="48"/>
        <v>-6.1210513965743303</v>
      </c>
      <c r="I604" s="36">
        <f t="shared" si="49"/>
        <v>37.467270199504561</v>
      </c>
    </row>
    <row r="605" spans="3:9" x14ac:dyDescent="0.25">
      <c r="C605" s="41">
        <v>2409.0100000000002</v>
      </c>
      <c r="D605" s="41">
        <v>9329.73</v>
      </c>
      <c r="E605" s="34">
        <f t="shared" si="45"/>
        <v>10086.956521738284</v>
      </c>
      <c r="F605" s="35">
        <f t="shared" si="46"/>
        <v>9323.5543196177405</v>
      </c>
      <c r="G605" s="35">
        <f t="shared" si="47"/>
        <v>10053.833197557131</v>
      </c>
      <c r="H605" s="36">
        <f t="shared" si="48"/>
        <v>-6.1756803822590882</v>
      </c>
      <c r="I605" s="36">
        <f t="shared" si="49"/>
        <v>38.139028183819761</v>
      </c>
    </row>
    <row r="606" spans="3:9" x14ac:dyDescent="0.25">
      <c r="C606" s="41">
        <v>2412</v>
      </c>
      <c r="D606" s="41">
        <v>9344.81</v>
      </c>
      <c r="E606" s="34">
        <f t="shared" si="45"/>
        <v>10086.956521739818</v>
      </c>
      <c r="F606" s="35">
        <f t="shared" si="46"/>
        <v>9338.5899121811944</v>
      </c>
      <c r="G606" s="35">
        <f t="shared" si="47"/>
        <v>10060.672679255003</v>
      </c>
      <c r="H606" s="36">
        <f t="shared" si="48"/>
        <v>-6.220087818805041</v>
      </c>
      <c r="I606" s="36">
        <f t="shared" si="49"/>
        <v>38.689492473646851</v>
      </c>
    </row>
    <row r="607" spans="3:9" x14ac:dyDescent="0.25">
      <c r="C607" s="41">
        <v>2415</v>
      </c>
      <c r="D607" s="41">
        <v>9359.9</v>
      </c>
      <c r="E607" s="34">
        <f t="shared" si="45"/>
        <v>10060.000000000096</v>
      </c>
      <c r="F607" s="35">
        <f t="shared" si="46"/>
        <v>9353.6860708886707</v>
      </c>
      <c r="G607" s="35">
        <f t="shared" si="47"/>
        <v>10067.539711648456</v>
      </c>
      <c r="H607" s="36">
        <f t="shared" si="48"/>
        <v>-6.2139291113289801</v>
      </c>
      <c r="I607" s="36">
        <f t="shared" si="49"/>
        <v>38.612915000621769</v>
      </c>
    </row>
    <row r="608" spans="3:9" x14ac:dyDescent="0.25">
      <c r="C608" s="41">
        <v>2417.9899999999998</v>
      </c>
      <c r="D608" s="41">
        <v>9374.99</v>
      </c>
      <c r="E608" s="34">
        <f t="shared" si="45"/>
        <v>10093.645484950666</v>
      </c>
      <c r="F608" s="35">
        <f t="shared" si="46"/>
        <v>9368.7421616598513</v>
      </c>
      <c r="G608" s="35">
        <f t="shared" si="47"/>
        <v>10074.388517695603</v>
      </c>
      <c r="H608" s="36">
        <f t="shared" si="48"/>
        <v>-6.2478383401485189</v>
      </c>
      <c r="I608" s="36">
        <f t="shared" si="49"/>
        <v>39.035483924629801</v>
      </c>
    </row>
    <row r="609" spans="3:9" x14ac:dyDescent="0.25">
      <c r="C609" s="41">
        <v>2420.98</v>
      </c>
      <c r="D609" s="41">
        <v>9390.07</v>
      </c>
      <c r="E609" s="34">
        <f t="shared" si="45"/>
        <v>10086.956521738284</v>
      </c>
      <c r="F609" s="35">
        <f t="shared" si="46"/>
        <v>9383.8084948783908</v>
      </c>
      <c r="G609" s="35">
        <f t="shared" si="47"/>
        <v>10081.241982889434</v>
      </c>
      <c r="H609" s="36">
        <f t="shared" si="48"/>
        <v>-6.2615051216089341</v>
      </c>
      <c r="I609" s="36">
        <f t="shared" si="49"/>
        <v>39.206446387934911</v>
      </c>
    </row>
    <row r="610" spans="3:9" x14ac:dyDescent="0.25">
      <c r="C610" s="41">
        <v>2423.98</v>
      </c>
      <c r="D610" s="41">
        <v>9405.16</v>
      </c>
      <c r="E610" s="34">
        <f t="shared" si="45"/>
        <v>10060.000000000096</v>
      </c>
      <c r="F610" s="35">
        <f t="shared" si="46"/>
        <v>9398.9355180699931</v>
      </c>
      <c r="G610" s="35">
        <f t="shared" si="47"/>
        <v>10088.123055106949</v>
      </c>
      <c r="H610" s="36">
        <f t="shared" si="48"/>
        <v>-6.224481930006732</v>
      </c>
      <c r="I610" s="36">
        <f t="shared" si="49"/>
        <v>38.74417529698033</v>
      </c>
    </row>
    <row r="611" spans="3:9" x14ac:dyDescent="0.25">
      <c r="C611" s="41">
        <v>2426.9699999999998</v>
      </c>
      <c r="D611" s="41">
        <v>9420.26</v>
      </c>
      <c r="E611" s="34">
        <f t="shared" si="45"/>
        <v>10100.334448161515</v>
      </c>
      <c r="F611" s="35">
        <f t="shared" si="46"/>
        <v>9414.0223914053695</v>
      </c>
      <c r="G611" s="35">
        <f t="shared" si="47"/>
        <v>10094.985863713926</v>
      </c>
      <c r="H611" s="36">
        <f t="shared" si="48"/>
        <v>-6.2376085946307285</v>
      </c>
      <c r="I611" s="36">
        <f t="shared" si="49"/>
        <v>38.90776097981113</v>
      </c>
    </row>
    <row r="612" spans="3:9" x14ac:dyDescent="0.25">
      <c r="C612" s="41">
        <v>2429.9699999999998</v>
      </c>
      <c r="D612" s="41">
        <v>9435.3799999999992</v>
      </c>
      <c r="E612" s="34">
        <f t="shared" si="45"/>
        <v>10079.999999999322</v>
      </c>
      <c r="F612" s="35">
        <f t="shared" si="46"/>
        <v>9429.1700374531974</v>
      </c>
      <c r="G612" s="35">
        <f t="shared" si="47"/>
        <v>10101.876316981579</v>
      </c>
      <c r="H612" s="36">
        <f t="shared" si="48"/>
        <v>-6.2099625468017621</v>
      </c>
      <c r="I612" s="36">
        <f t="shared" si="49"/>
        <v>38.563634832680627</v>
      </c>
    </row>
    <row r="613" spans="3:9" x14ac:dyDescent="0.25">
      <c r="C613" s="41">
        <v>2432.9699999999998</v>
      </c>
      <c r="D613" s="41">
        <v>9450.49</v>
      </c>
      <c r="E613" s="34">
        <f t="shared" si="45"/>
        <v>10073.333333333721</v>
      </c>
      <c r="F613" s="35">
        <f t="shared" si="46"/>
        <v>9444.328022707894</v>
      </c>
      <c r="G613" s="35">
        <f t="shared" si="47"/>
        <v>10108.771473410474</v>
      </c>
      <c r="H613" s="36">
        <f t="shared" si="48"/>
        <v>-6.1619772921058029</v>
      </c>
      <c r="I613" s="36">
        <f t="shared" si="49"/>
        <v>37.969964148427565</v>
      </c>
    </row>
    <row r="614" spans="3:9" x14ac:dyDescent="0.25">
      <c r="C614" s="41">
        <v>2435.94</v>
      </c>
      <c r="D614" s="41">
        <v>9465.6</v>
      </c>
      <c r="E614" s="34">
        <f t="shared" si="45"/>
        <v>10175.084175083695</v>
      </c>
      <c r="F614" s="35">
        <f t="shared" si="46"/>
        <v>9459.344619674237</v>
      </c>
      <c r="G614" s="35">
        <f t="shared" si="47"/>
        <v>10115.602314275722</v>
      </c>
      <c r="H614" s="36">
        <f t="shared" si="48"/>
        <v>-6.2553803257633263</v>
      </c>
      <c r="I614" s="36">
        <f t="shared" si="49"/>
        <v>39.129783019946899</v>
      </c>
    </row>
    <row r="615" spans="3:9" x14ac:dyDescent="0.25">
      <c r="C615" s="41">
        <v>2438.86</v>
      </c>
      <c r="D615" s="41">
        <v>9480.7199999999993</v>
      </c>
      <c r="E615" s="34">
        <f t="shared" si="45"/>
        <v>10356.164383560688</v>
      </c>
      <c r="F615" s="35">
        <f t="shared" si="46"/>
        <v>9474.118304360778</v>
      </c>
      <c r="G615" s="35">
        <f t="shared" si="47"/>
        <v>10122.322657727256</v>
      </c>
      <c r="H615" s="36">
        <f t="shared" si="48"/>
        <v>-6.6016956392213615</v>
      </c>
      <c r="I615" s="36">
        <f t="shared" si="49"/>
        <v>43.58238531291434</v>
      </c>
    </row>
    <row r="616" spans="3:9" x14ac:dyDescent="0.25">
      <c r="C616" s="41">
        <v>2441.77</v>
      </c>
      <c r="D616" s="41">
        <v>9495.83</v>
      </c>
      <c r="E616" s="34">
        <f t="shared" si="45"/>
        <v>10384.87972508683</v>
      </c>
      <c r="F616" s="35">
        <f t="shared" si="46"/>
        <v>9488.8511588278816</v>
      </c>
      <c r="G616" s="35">
        <f t="shared" si="47"/>
        <v>10129.024428080498</v>
      </c>
      <c r="H616" s="36">
        <f t="shared" si="48"/>
        <v>-6.9788411721183365</v>
      </c>
      <c r="I616" s="36">
        <f t="shared" si="49"/>
        <v>48.704224105654035</v>
      </c>
    </row>
    <row r="617" spans="3:9" x14ac:dyDescent="0.25">
      <c r="C617" s="41">
        <v>2444.6999999999998</v>
      </c>
      <c r="D617" s="41">
        <v>9510.9599999999991</v>
      </c>
      <c r="E617" s="34">
        <f t="shared" si="45"/>
        <v>10327.64505119457</v>
      </c>
      <c r="F617" s="35">
        <f t="shared" si="46"/>
        <v>9503.6951251353676</v>
      </c>
      <c r="G617" s="35">
        <f t="shared" si="47"/>
        <v>10135.776741662783</v>
      </c>
      <c r="H617" s="36">
        <f t="shared" si="48"/>
        <v>-7.2648748646315653</v>
      </c>
      <c r="I617" s="36">
        <f t="shared" si="49"/>
        <v>52.778406798755505</v>
      </c>
    </row>
    <row r="618" spans="3:9" x14ac:dyDescent="0.25">
      <c r="C618" s="41">
        <v>2447.62</v>
      </c>
      <c r="D618" s="41">
        <v>9526.1</v>
      </c>
      <c r="E618" s="34">
        <f t="shared" si="45"/>
        <v>10369.86301369922</v>
      </c>
      <c r="F618" s="35">
        <f t="shared" si="46"/>
        <v>9518.4982742689735</v>
      </c>
      <c r="G618" s="35">
        <f t="shared" si="47"/>
        <v>10142.510488081018</v>
      </c>
      <c r="H618" s="36">
        <f t="shared" si="48"/>
        <v>-7.6017257310268178</v>
      </c>
      <c r="I618" s="36">
        <f t="shared" si="49"/>
        <v>57.786234089755204</v>
      </c>
    </row>
    <row r="619" spans="3:9" x14ac:dyDescent="0.25">
      <c r="C619" s="41">
        <v>2450.54</v>
      </c>
      <c r="D619" s="41">
        <v>9541.24</v>
      </c>
      <c r="E619" s="34">
        <f t="shared" si="45"/>
        <v>10369.863013697974</v>
      </c>
      <c r="F619" s="35">
        <f t="shared" si="46"/>
        <v>9533.3112579377157</v>
      </c>
      <c r="G619" s="35">
        <f t="shared" si="47"/>
        <v>10149.248708092346</v>
      </c>
      <c r="H619" s="36">
        <f t="shared" si="48"/>
        <v>-7.9287420622840727</v>
      </c>
      <c r="I619" s="36">
        <f t="shared" si="49"/>
        <v>62.864950690232689</v>
      </c>
    </row>
    <row r="620" spans="3:9" x14ac:dyDescent="0.25">
      <c r="C620" s="41">
        <v>2453.46</v>
      </c>
      <c r="D620" s="41">
        <v>9556.39</v>
      </c>
      <c r="E620" s="34">
        <f t="shared" si="45"/>
        <v>10376.712328766616</v>
      </c>
      <c r="F620" s="35">
        <f t="shared" si="46"/>
        <v>9548.1340826751984</v>
      </c>
      <c r="G620" s="35">
        <f t="shared" si="47"/>
        <v>10155.991404668817</v>
      </c>
      <c r="H620" s="36">
        <f t="shared" si="48"/>
        <v>-8.2559173248009756</v>
      </c>
      <c r="I620" s="36">
        <f t="shared" si="49"/>
        <v>68.1601708739489</v>
      </c>
    </row>
    <row r="621" spans="3:9" x14ac:dyDescent="0.25">
      <c r="C621" s="41">
        <v>2456.39</v>
      </c>
      <c r="D621" s="41">
        <v>9571.5300000000007</v>
      </c>
      <c r="E621" s="34">
        <f t="shared" si="45"/>
        <v>10334.470989762514</v>
      </c>
      <c r="F621" s="35">
        <f t="shared" si="46"/>
        <v>9563.0175687700812</v>
      </c>
      <c r="G621" s="35">
        <f t="shared" si="47"/>
        <v>10162.761695252106</v>
      </c>
      <c r="H621" s="36">
        <f t="shared" si="48"/>
        <v>-8.5124312299194571</v>
      </c>
      <c r="I621" s="36">
        <f t="shared" si="49"/>
        <v>72.461485444108078</v>
      </c>
    </row>
    <row r="622" spans="3:9" x14ac:dyDescent="0.25">
      <c r="C622" s="41">
        <v>2459.31</v>
      </c>
      <c r="D622" s="41">
        <v>9586.67</v>
      </c>
      <c r="E622" s="34">
        <f t="shared" si="45"/>
        <v>10369.863013697974</v>
      </c>
      <c r="F622" s="35">
        <f t="shared" si="46"/>
        <v>9577.8601290216011</v>
      </c>
      <c r="G622" s="35">
        <f t="shared" si="47"/>
        <v>10169.513369239108</v>
      </c>
      <c r="H622" s="36">
        <f t="shared" si="48"/>
        <v>-8.8098709783989761</v>
      </c>
      <c r="I622" s="36">
        <f t="shared" si="49"/>
        <v>77.613826656036537</v>
      </c>
    </row>
    <row r="623" spans="3:9" x14ac:dyDescent="0.25">
      <c r="C623" s="41">
        <v>2462.25</v>
      </c>
      <c r="D623" s="41">
        <v>9601.92</v>
      </c>
      <c r="E623" s="34">
        <f t="shared" si="45"/>
        <v>10374.149659863753</v>
      </c>
      <c r="F623" s="35">
        <f t="shared" si="46"/>
        <v>9592.8143129179425</v>
      </c>
      <c r="G623" s="35">
        <f t="shared" si="47"/>
        <v>10176.315819267867</v>
      </c>
      <c r="H623" s="36">
        <f t="shared" si="48"/>
        <v>-9.1056870820575568</v>
      </c>
      <c r="I623" s="36">
        <f t="shared" si="49"/>
        <v>82.913537236349867</v>
      </c>
    </row>
    <row r="624" spans="3:9" x14ac:dyDescent="0.25">
      <c r="C624" s="41">
        <v>2465.23</v>
      </c>
      <c r="D624" s="41">
        <v>9617.33</v>
      </c>
      <c r="E624" s="34">
        <f t="shared" si="45"/>
        <v>10342.28187919447</v>
      </c>
      <c r="F624" s="35">
        <f t="shared" si="46"/>
        <v>9607.9821631426712</v>
      </c>
      <c r="G624" s="35">
        <f t="shared" si="47"/>
        <v>10183.215463134267</v>
      </c>
      <c r="H624" s="36">
        <f t="shared" si="48"/>
        <v>-9.3478368573287298</v>
      </c>
      <c r="I624" s="36">
        <f t="shared" si="49"/>
        <v>87.38205391123347</v>
      </c>
    </row>
    <row r="625" spans="3:9" x14ac:dyDescent="0.25">
      <c r="C625" s="41">
        <v>2468.1999999999998</v>
      </c>
      <c r="D625" s="41">
        <v>9632.74</v>
      </c>
      <c r="E625" s="34">
        <f t="shared" si="45"/>
        <v>10377.104377104977</v>
      </c>
      <c r="F625" s="35">
        <f t="shared" si="46"/>
        <v>9623.1093467805185</v>
      </c>
      <c r="G625" s="35">
        <f t="shared" si="47"/>
        <v>10190.096608336546</v>
      </c>
      <c r="H625" s="36">
        <f t="shared" si="48"/>
        <v>-9.6306532194812462</v>
      </c>
      <c r="I625" s="36">
        <f t="shared" si="49"/>
        <v>92.749481433904492</v>
      </c>
    </row>
    <row r="626" spans="3:9" x14ac:dyDescent="0.25">
      <c r="C626" s="41">
        <v>2471.1799999999998</v>
      </c>
      <c r="D626" s="41">
        <v>9648.15</v>
      </c>
      <c r="E626" s="34">
        <f t="shared" si="45"/>
        <v>10342.28187919447</v>
      </c>
      <c r="F626" s="35">
        <f t="shared" si="46"/>
        <v>9638.2977373410922</v>
      </c>
      <c r="G626" s="35">
        <f t="shared" si="47"/>
        <v>10197.005595715713</v>
      </c>
      <c r="H626" s="36">
        <f t="shared" si="48"/>
        <v>-9.8522626589074207</v>
      </c>
      <c r="I626" s="36">
        <f t="shared" si="49"/>
        <v>97.067079500101514</v>
      </c>
    </row>
    <row r="627" spans="3:9" x14ac:dyDescent="0.25">
      <c r="C627" s="41">
        <v>2474.15</v>
      </c>
      <c r="D627" s="41">
        <v>9663.56</v>
      </c>
      <c r="E627" s="34">
        <f t="shared" si="45"/>
        <v>10377.104377103389</v>
      </c>
      <c r="F627" s="35">
        <f t="shared" si="46"/>
        <v>9653.4454062440036</v>
      </c>
      <c r="G627" s="35">
        <f t="shared" si="47"/>
        <v>10203.896059379826</v>
      </c>
      <c r="H627" s="36">
        <f t="shared" si="48"/>
        <v>-10.114593755995884</v>
      </c>
      <c r="I627" s="36">
        <f t="shared" si="49"/>
        <v>102.30500684883093</v>
      </c>
    </row>
    <row r="628" spans="3:9" x14ac:dyDescent="0.25">
      <c r="C628" s="41">
        <v>2477.13</v>
      </c>
      <c r="D628" s="41">
        <v>9678.9699999999993</v>
      </c>
      <c r="E628" s="34">
        <f t="shared" si="45"/>
        <v>10342.28187919447</v>
      </c>
      <c r="F628" s="35">
        <f t="shared" si="46"/>
        <v>9668.6543649561863</v>
      </c>
      <c r="G628" s="35">
        <f t="shared" si="47"/>
        <v>10210.814402924763</v>
      </c>
      <c r="H628" s="36">
        <f t="shared" si="48"/>
        <v>-10.315635043813018</v>
      </c>
      <c r="I628" s="36">
        <f t="shared" si="49"/>
        <v>106.4123263571432</v>
      </c>
    </row>
    <row r="629" spans="3:9" x14ac:dyDescent="0.25">
      <c r="C629" s="41">
        <v>2480.1</v>
      </c>
      <c r="D629" s="41">
        <v>9694.3799999999992</v>
      </c>
      <c r="E629" s="34">
        <f t="shared" si="45"/>
        <v>10377.104377104977</v>
      </c>
      <c r="F629" s="35">
        <f t="shared" si="46"/>
        <v>9683.8225468653472</v>
      </c>
      <c r="G629" s="35">
        <f t="shared" si="47"/>
        <v>10217.714197669793</v>
      </c>
      <c r="H629" s="36">
        <f t="shared" si="48"/>
        <v>-10.557453134651951</v>
      </c>
      <c r="I629" s="36">
        <f t="shared" si="49"/>
        <v>111.45981669037229</v>
      </c>
    </row>
    <row r="630" spans="3:9" x14ac:dyDescent="0.25">
      <c r="C630" s="41">
        <v>2483.08</v>
      </c>
      <c r="D630" s="41">
        <v>9709.7900000000009</v>
      </c>
      <c r="E630" s="34">
        <f t="shared" si="45"/>
        <v>10342.281879195691</v>
      </c>
      <c r="F630" s="35">
        <f t="shared" si="46"/>
        <v>9699.052101582578</v>
      </c>
      <c r="G630" s="35">
        <f t="shared" si="47"/>
        <v>10224.641910050645</v>
      </c>
      <c r="H630" s="36">
        <f t="shared" si="48"/>
        <v>-10.737898417422912</v>
      </c>
      <c r="I630" s="36">
        <f t="shared" si="49"/>
        <v>115.30246242289347</v>
      </c>
    </row>
    <row r="631" spans="3:9" x14ac:dyDescent="0.25">
      <c r="C631" s="41">
        <v>2486.0500000000002</v>
      </c>
      <c r="D631" s="41">
        <v>9725.2000000000007</v>
      </c>
      <c r="E631" s="34">
        <f t="shared" si="45"/>
        <v>10377.104377103389</v>
      </c>
      <c r="F631" s="35">
        <f t="shared" si="46"/>
        <v>9714.2408242767506</v>
      </c>
      <c r="G631" s="35">
        <f t="shared" si="47"/>
        <v>10231.55104851276</v>
      </c>
      <c r="H631" s="36">
        <f t="shared" si="48"/>
        <v>-10.959175723250155</v>
      </c>
      <c r="I631" s="36">
        <f t="shared" si="49"/>
        <v>120.10353253307555</v>
      </c>
    </row>
    <row r="632" spans="3:9" x14ac:dyDescent="0.25">
      <c r="C632" s="41">
        <v>2489.0300000000002</v>
      </c>
      <c r="D632" s="41">
        <v>9740.61</v>
      </c>
      <c r="E632" s="34">
        <f t="shared" si="45"/>
        <v>10342.28187919447</v>
      </c>
      <c r="F632" s="35">
        <f t="shared" si="46"/>
        <v>9729.4910028901832</v>
      </c>
      <c r="G632" s="35">
        <f t="shared" si="47"/>
        <v>10238.488142416822</v>
      </c>
      <c r="H632" s="36">
        <f t="shared" si="48"/>
        <v>-11.118997109817428</v>
      </c>
      <c r="I632" s="36">
        <f t="shared" si="49"/>
        <v>123.63209672812832</v>
      </c>
    </row>
    <row r="633" spans="3:9" x14ac:dyDescent="0.25">
      <c r="C633" s="41">
        <v>2492</v>
      </c>
      <c r="D633" s="41">
        <v>9756.02</v>
      </c>
      <c r="E633" s="34">
        <f t="shared" si="45"/>
        <v>10377.104377104977</v>
      </c>
      <c r="F633" s="35">
        <f t="shared" si="46"/>
        <v>9744.7002941857427</v>
      </c>
      <c r="G633" s="35">
        <f t="shared" si="47"/>
        <v>10245.406637249307</v>
      </c>
      <c r="H633" s="36">
        <f t="shared" si="48"/>
        <v>-11.319705814257759</v>
      </c>
      <c r="I633" s="36">
        <f t="shared" si="49"/>
        <v>128.13573972134091</v>
      </c>
    </row>
    <row r="634" spans="3:9" x14ac:dyDescent="0.25">
      <c r="C634" s="41">
        <v>2494.98</v>
      </c>
      <c r="D634" s="41">
        <v>9771.43</v>
      </c>
      <c r="E634" s="34">
        <f t="shared" si="45"/>
        <v>10342.28187919447</v>
      </c>
      <c r="F634" s="35">
        <f t="shared" si="46"/>
        <v>9759.9711246243023</v>
      </c>
      <c r="G634" s="35">
        <f t="shared" si="47"/>
        <v>10252.353125381056</v>
      </c>
      <c r="H634" s="36">
        <f t="shared" si="48"/>
        <v>-11.458875375697971</v>
      </c>
      <c r="I634" s="36">
        <f t="shared" si="49"/>
        <v>131.30582487577732</v>
      </c>
    </row>
    <row r="635" spans="3:9" x14ac:dyDescent="0.25">
      <c r="C635" s="41">
        <v>2497.94</v>
      </c>
      <c r="D635" s="41">
        <v>9786.7900000000009</v>
      </c>
      <c r="E635" s="34">
        <f t="shared" si="45"/>
        <v>10378.378378378644</v>
      </c>
      <c r="F635" s="35">
        <f t="shared" si="46"/>
        <v>9775.1497160286799</v>
      </c>
      <c r="G635" s="35">
        <f t="shared" si="47"/>
        <v>10259.257655260515</v>
      </c>
      <c r="H635" s="36">
        <f t="shared" si="48"/>
        <v>-11.640283971320969</v>
      </c>
      <c r="I635" s="36">
        <f t="shared" si="49"/>
        <v>135.49621093299186</v>
      </c>
    </row>
    <row r="636" spans="3:9" x14ac:dyDescent="0.25">
      <c r="C636" s="41">
        <v>2500.87</v>
      </c>
      <c r="D636" s="41">
        <v>9801.9599999999991</v>
      </c>
      <c r="E636" s="34">
        <f t="shared" si="45"/>
        <v>10354.948805460137</v>
      </c>
      <c r="F636" s="35">
        <f t="shared" si="46"/>
        <v>9790.1845376006677</v>
      </c>
      <c r="G636" s="35">
        <f t="shared" si="47"/>
        <v>10266.096786245107</v>
      </c>
      <c r="H636" s="36">
        <f t="shared" si="48"/>
        <v>-11.775462399331445</v>
      </c>
      <c r="I636" s="36">
        <f t="shared" si="49"/>
        <v>138.66151471806867</v>
      </c>
    </row>
    <row r="637" spans="3:9" x14ac:dyDescent="0.25">
      <c r="C637" s="41">
        <v>2503.8000000000002</v>
      </c>
      <c r="D637" s="41">
        <v>9817.1299999999992</v>
      </c>
      <c r="E637" s="34">
        <f t="shared" si="45"/>
        <v>10354.948805459773</v>
      </c>
      <c r="F637" s="35">
        <f t="shared" si="46"/>
        <v>9805.2293818387734</v>
      </c>
      <c r="G637" s="35">
        <f t="shared" si="47"/>
        <v>10272.940476400956</v>
      </c>
      <c r="H637" s="36">
        <f t="shared" si="48"/>
        <v>-11.900618161225793</v>
      </c>
      <c r="I637" s="36">
        <f t="shared" si="49"/>
        <v>141.62471261929718</v>
      </c>
    </row>
    <row r="638" spans="3:9" x14ac:dyDescent="0.25">
      <c r="C638" s="41">
        <v>2506.73</v>
      </c>
      <c r="D638" s="41">
        <v>9832.2999999999993</v>
      </c>
      <c r="E638" s="34">
        <f t="shared" si="45"/>
        <v>10354.948805461379</v>
      </c>
      <c r="F638" s="35">
        <f t="shared" si="46"/>
        <v>9820.2842554244035</v>
      </c>
      <c r="G638" s="35">
        <f t="shared" si="47"/>
        <v>10279.788728767344</v>
      </c>
      <c r="H638" s="36">
        <f t="shared" si="48"/>
        <v>-12.015744575595818</v>
      </c>
      <c r="I638" s="36">
        <f t="shared" si="49"/>
        <v>144.37811770596034</v>
      </c>
    </row>
    <row r="639" spans="3:9" x14ac:dyDescent="0.25">
      <c r="C639" s="41">
        <v>2509.66</v>
      </c>
      <c r="D639" s="41">
        <v>9847.4699999999993</v>
      </c>
      <c r="E639" s="34">
        <f t="shared" si="45"/>
        <v>10354.948805461379</v>
      </c>
      <c r="F639" s="35">
        <f t="shared" si="46"/>
        <v>9835.3491650434262</v>
      </c>
      <c r="G639" s="35">
        <f t="shared" si="47"/>
        <v>10286.641546385577</v>
      </c>
      <c r="H639" s="36">
        <f t="shared" si="48"/>
        <v>-12.120834956573162</v>
      </c>
      <c r="I639" s="36">
        <f t="shared" si="49"/>
        <v>146.91464004448594</v>
      </c>
    </row>
    <row r="640" spans="3:9" x14ac:dyDescent="0.25">
      <c r="C640" s="41">
        <v>2512.59</v>
      </c>
      <c r="D640" s="41">
        <v>9862.64</v>
      </c>
      <c r="E640" s="34">
        <f t="shared" si="45"/>
        <v>10354.948805459773</v>
      </c>
      <c r="F640" s="35">
        <f t="shared" si="46"/>
        <v>9850.4241173861647</v>
      </c>
      <c r="G640" s="35">
        <f t="shared" si="47"/>
        <v>10293.498932298993</v>
      </c>
      <c r="H640" s="36">
        <f t="shared" si="48"/>
        <v>-12.215882613834765</v>
      </c>
      <c r="I640" s="36">
        <f t="shared" si="49"/>
        <v>149.22778803499048</v>
      </c>
    </row>
    <row r="641" spans="3:9" x14ac:dyDescent="0.25">
      <c r="C641" s="41">
        <v>2515.52</v>
      </c>
      <c r="D641" s="41">
        <v>9877.81</v>
      </c>
      <c r="E641" s="34">
        <f t="shared" si="45"/>
        <v>10354.948805461379</v>
      </c>
      <c r="F641" s="35">
        <f t="shared" si="46"/>
        <v>9865.5091191474003</v>
      </c>
      <c r="G641" s="35">
        <f t="shared" si="47"/>
        <v>10300.360889552952</v>
      </c>
      <c r="H641" s="36">
        <f t="shared" si="48"/>
        <v>-12.300880852599221</v>
      </c>
      <c r="I641" s="36">
        <f t="shared" si="49"/>
        <v>151.31166974984214</v>
      </c>
    </row>
    <row r="642" spans="3:9" x14ac:dyDescent="0.25">
      <c r="C642" s="41">
        <v>2518.4499999999998</v>
      </c>
      <c r="D642" s="41">
        <v>9893.02</v>
      </c>
      <c r="E642" s="34">
        <f t="shared" si="45"/>
        <v>10382.252559728187</v>
      </c>
      <c r="F642" s="35">
        <f t="shared" si="46"/>
        <v>9880.6041770263782</v>
      </c>
      <c r="G642" s="35">
        <f t="shared" si="47"/>
        <v>10307.227421194848</v>
      </c>
      <c r="H642" s="36">
        <f t="shared" si="48"/>
        <v>-12.415822973622198</v>
      </c>
      <c r="I642" s="36">
        <f t="shared" si="49"/>
        <v>154.15266011232478</v>
      </c>
    </row>
    <row r="643" spans="3:9" x14ac:dyDescent="0.25">
      <c r="C643" s="41">
        <v>2521.39</v>
      </c>
      <c r="D643" s="41">
        <v>9908.23</v>
      </c>
      <c r="E643" s="34">
        <f t="shared" si="45"/>
        <v>10346.938775509418</v>
      </c>
      <c r="F643" s="35">
        <f t="shared" si="46"/>
        <v>9895.760868278112</v>
      </c>
      <c r="G643" s="35">
        <f t="shared" si="47"/>
        <v>10314.121988999814</v>
      </c>
      <c r="H643" s="36">
        <f t="shared" si="48"/>
        <v>-12.469131721887607</v>
      </c>
      <c r="I643" s="36">
        <f t="shared" si="49"/>
        <v>155.47924589778378</v>
      </c>
    </row>
    <row r="644" spans="3:9" x14ac:dyDescent="0.25">
      <c r="C644" s="41">
        <v>2524.33</v>
      </c>
      <c r="D644" s="41">
        <v>9923.44</v>
      </c>
      <c r="E644" s="34">
        <f t="shared" si="45"/>
        <v>10346.938775510656</v>
      </c>
      <c r="F644" s="35">
        <f t="shared" si="46"/>
        <v>9910.927697933832</v>
      </c>
      <c r="G644" s="35">
        <f t="shared" si="47"/>
        <v>10321.021168623582</v>
      </c>
      <c r="H644" s="36">
        <f t="shared" si="48"/>
        <v>-12.512302066168559</v>
      </c>
      <c r="I644" s="36">
        <f t="shared" si="49"/>
        <v>156.55770299504599</v>
      </c>
    </row>
    <row r="645" spans="3:9" x14ac:dyDescent="0.25">
      <c r="C645" s="41">
        <v>2527.2600000000002</v>
      </c>
      <c r="D645" s="41">
        <v>9938.65</v>
      </c>
      <c r="E645" s="34">
        <f t="shared" si="45"/>
        <v>10382.252559725335</v>
      </c>
      <c r="F645" s="35">
        <f t="shared" si="46"/>
        <v>9926.0530332090802</v>
      </c>
      <c r="G645" s="35">
        <f t="shared" si="47"/>
        <v>10327.90147303145</v>
      </c>
      <c r="H645" s="36">
        <f t="shared" si="48"/>
        <v>-12.596966790919396</v>
      </c>
      <c r="I645" s="36">
        <f t="shared" si="49"/>
        <v>158.68357233152611</v>
      </c>
    </row>
    <row r="646" spans="3:9" x14ac:dyDescent="0.25">
      <c r="C646" s="41">
        <v>2530.1999999999998</v>
      </c>
      <c r="D646" s="41">
        <v>9953.86</v>
      </c>
      <c r="E646" s="34">
        <f t="shared" si="45"/>
        <v>10346.938775512257</v>
      </c>
      <c r="F646" s="35">
        <f t="shared" si="46"/>
        <v>9941.2401254801971</v>
      </c>
      <c r="G646" s="35">
        <f t="shared" si="47"/>
        <v>10334.809869836821</v>
      </c>
      <c r="H646" s="36">
        <f t="shared" si="48"/>
        <v>-12.619874519803489</v>
      </c>
      <c r="I646" s="36">
        <f t="shared" si="49"/>
        <v>159.26123289558532</v>
      </c>
    </row>
    <row r="647" spans="3:9" x14ac:dyDescent="0.25">
      <c r="C647" s="41">
        <v>2533.13</v>
      </c>
      <c r="D647" s="41">
        <v>9969.07</v>
      </c>
      <c r="E647" s="34">
        <f t="shared" si="45"/>
        <v>10382.252559725335</v>
      </c>
      <c r="F647" s="35">
        <f t="shared" si="46"/>
        <v>9956.3856679350883</v>
      </c>
      <c r="G647" s="35">
        <f t="shared" si="47"/>
        <v>10341.699366209341</v>
      </c>
      <c r="H647" s="36">
        <f t="shared" si="48"/>
        <v>-12.684332064911359</v>
      </c>
      <c r="I647" s="36">
        <f t="shared" si="49"/>
        <v>160.89227993293846</v>
      </c>
    </row>
    <row r="648" spans="3:9" x14ac:dyDescent="0.25">
      <c r="C648" s="41">
        <v>2536.08</v>
      </c>
      <c r="D648" s="41">
        <v>9984.39</v>
      </c>
      <c r="E648" s="34">
        <f t="shared" si="45"/>
        <v>10386.440677966544</v>
      </c>
      <c r="F648" s="35">
        <f t="shared" si="46"/>
        <v>9971.6447930359045</v>
      </c>
      <c r="G648" s="35">
        <f t="shared" si="47"/>
        <v>10348.640529745939</v>
      </c>
      <c r="H648" s="36">
        <f t="shared" si="48"/>
        <v>-12.745206964094905</v>
      </c>
      <c r="I648" s="36">
        <f t="shared" si="49"/>
        <v>162.44030055761326</v>
      </c>
    </row>
    <row r="649" spans="3:9" x14ac:dyDescent="0.25">
      <c r="C649" s="41">
        <v>2539.02</v>
      </c>
      <c r="D649" s="41">
        <v>9999.7000000000007</v>
      </c>
      <c r="E649" s="34">
        <f t="shared" ref="E649:E712" si="50">IF(C649="","",2*(D649-D648)/((C649-C648)/1000))</f>
        <v>10414.965986395255</v>
      </c>
      <c r="F649" s="35">
        <f t="shared" ref="F649:F712" si="51">IF(C649="","",F$7+(F$9/F$10)*(EXP(F$10*(C649-F$8)/2000)-1))</f>
        <v>9986.8623819155328</v>
      </c>
      <c r="G649" s="35">
        <f t="shared" ref="G649:G712" si="52">IF(E649="","",F$9+(F649-F$7)*F$10)</f>
        <v>10355.56279903388</v>
      </c>
      <c r="H649" s="36">
        <f t="shared" ref="H649:H712" si="53">IF(F649="","",F649-D649)</f>
        <v>-12.837618084467977</v>
      </c>
      <c r="I649" s="36">
        <f t="shared" ref="I649:I712" si="54">IF(H649="","",H649^2)</f>
        <v>164.80443808265923</v>
      </c>
    </row>
    <row r="650" spans="3:9" x14ac:dyDescent="0.25">
      <c r="C650" s="41">
        <v>2541.9499999999998</v>
      </c>
      <c r="D650" s="41">
        <v>10015.01</v>
      </c>
      <c r="E650" s="34">
        <f t="shared" si="50"/>
        <v>10450.511945392727</v>
      </c>
      <c r="F650" s="35">
        <f t="shared" si="51"/>
        <v>10002.038337544363</v>
      </c>
      <c r="G650" s="35">
        <f t="shared" si="52"/>
        <v>10362.466129935743</v>
      </c>
      <c r="H650" s="36">
        <f t="shared" si="53"/>
        <v>-12.971662455636761</v>
      </c>
      <c r="I650" s="36">
        <f t="shared" si="54"/>
        <v>168.26402686297632</v>
      </c>
    </row>
    <row r="651" spans="3:9" x14ac:dyDescent="0.25">
      <c r="C651" s="41">
        <v>2544.88</v>
      </c>
      <c r="D651" s="41">
        <v>10030.33</v>
      </c>
      <c r="E651" s="34">
        <f t="shared" si="50"/>
        <v>10457.337883957807</v>
      </c>
      <c r="F651" s="35">
        <f t="shared" si="51"/>
        <v>10017.224409923536</v>
      </c>
      <c r="G651" s="35">
        <f t="shared" si="52"/>
        <v>10369.37406280647</v>
      </c>
      <c r="H651" s="36">
        <f t="shared" si="53"/>
        <v>-13.105590076464068</v>
      </c>
      <c r="I651" s="36">
        <f t="shared" si="54"/>
        <v>171.75649125231345</v>
      </c>
    </row>
    <row r="652" spans="3:9" x14ac:dyDescent="0.25">
      <c r="C652" s="41">
        <v>2547.8200000000002</v>
      </c>
      <c r="D652" s="41">
        <v>10045.64</v>
      </c>
      <c r="E652" s="34">
        <f t="shared" si="50"/>
        <v>10414.965986394018</v>
      </c>
      <c r="F652" s="35">
        <f t="shared" si="51"/>
        <v>10032.472487289187</v>
      </c>
      <c r="G652" s="35">
        <f t="shared" si="52"/>
        <v>10376.310200882173</v>
      </c>
      <c r="H652" s="36">
        <f t="shared" si="53"/>
        <v>-13.167512710811934</v>
      </c>
      <c r="I652" s="36">
        <f t="shared" si="54"/>
        <v>173.38339098939386</v>
      </c>
    </row>
    <row r="653" spans="3:9" x14ac:dyDescent="0.25">
      <c r="C653" s="41">
        <v>2550.75</v>
      </c>
      <c r="D653" s="41">
        <v>10060.959999999999</v>
      </c>
      <c r="E653" s="34">
        <f t="shared" si="50"/>
        <v>10457.33788395943</v>
      </c>
      <c r="F653" s="35">
        <f t="shared" si="51"/>
        <v>10047.678847991696</v>
      </c>
      <c r="G653" s="35">
        <f t="shared" si="52"/>
        <v>10383.227362628684</v>
      </c>
      <c r="H653" s="36">
        <f t="shared" si="53"/>
        <v>-13.281152008303252</v>
      </c>
      <c r="I653" s="36">
        <f t="shared" si="54"/>
        <v>176.38899866765749</v>
      </c>
    </row>
    <row r="654" spans="3:9" x14ac:dyDescent="0.25">
      <c r="C654" s="41">
        <v>2553.6999999999998</v>
      </c>
      <c r="D654" s="41">
        <v>10076.34</v>
      </c>
      <c r="E654" s="34">
        <f t="shared" si="50"/>
        <v>10427.118644069129</v>
      </c>
      <c r="F654" s="35">
        <f t="shared" si="51"/>
        <v>10062.999247441154</v>
      </c>
      <c r="G654" s="35">
        <f t="shared" si="52"/>
        <v>10390.196399013283</v>
      </c>
      <c r="H654" s="36">
        <f t="shared" si="53"/>
        <v>-13.340752558846361</v>
      </c>
      <c r="I654" s="36">
        <f t="shared" si="54"/>
        <v>177.97567883636574</v>
      </c>
    </row>
    <row r="655" spans="3:9" x14ac:dyDescent="0.25">
      <c r="C655" s="41">
        <v>2556.65</v>
      </c>
      <c r="D655" s="41">
        <v>10091.73</v>
      </c>
      <c r="E655" s="34">
        <f t="shared" si="50"/>
        <v>10433.898305083387</v>
      </c>
      <c r="F655" s="35">
        <f t="shared" si="51"/>
        <v>10078.329929668555</v>
      </c>
      <c r="G655" s="35">
        <f t="shared" si="52"/>
        <v>10397.170112890384</v>
      </c>
      <c r="H655" s="36">
        <f t="shared" si="53"/>
        <v>-13.400070331445022</v>
      </c>
      <c r="I655" s="36">
        <f t="shared" si="54"/>
        <v>179.5618848876731</v>
      </c>
    </row>
    <row r="656" spans="3:9" x14ac:dyDescent="0.25">
      <c r="C656" s="41">
        <v>2559.59</v>
      </c>
      <c r="D656" s="41">
        <v>10107.120000000001</v>
      </c>
      <c r="E656" s="34">
        <f t="shared" si="50"/>
        <v>10469.387755102687</v>
      </c>
      <c r="F656" s="35">
        <f t="shared" si="51"/>
        <v>10093.618880892116</v>
      </c>
      <c r="G656" s="35">
        <f t="shared" si="52"/>
        <v>10404.124843914913</v>
      </c>
      <c r="H656" s="36">
        <f t="shared" si="53"/>
        <v>-13.501119107884733</v>
      </c>
      <c r="I656" s="36">
        <f t="shared" si="54"/>
        <v>182.28021716529025</v>
      </c>
    </row>
    <row r="657" spans="3:9" x14ac:dyDescent="0.25">
      <c r="C657" s="41">
        <v>2562.54</v>
      </c>
      <c r="D657" s="41">
        <v>10122.51</v>
      </c>
      <c r="E657" s="34">
        <f t="shared" si="50"/>
        <v>10433.898305084995</v>
      </c>
      <c r="F657" s="35">
        <f t="shared" si="51"/>
        <v>10108.970114469503</v>
      </c>
      <c r="G657" s="35">
        <f t="shared" si="52"/>
        <v>10411.107906314963</v>
      </c>
      <c r="H657" s="36">
        <f t="shared" si="53"/>
        <v>-13.539885530497486</v>
      </c>
      <c r="I657" s="36">
        <f t="shared" si="54"/>
        <v>183.32850017897519</v>
      </c>
    </row>
    <row r="658" spans="3:9" x14ac:dyDescent="0.25">
      <c r="C658" s="41">
        <v>2565.4899999999998</v>
      </c>
      <c r="D658" s="41">
        <v>10137.9</v>
      </c>
      <c r="E658" s="34">
        <f t="shared" si="50"/>
        <v>10433.898305084995</v>
      </c>
      <c r="F658" s="35">
        <f t="shared" si="51"/>
        <v>10124.331651520137</v>
      </c>
      <c r="G658" s="35">
        <f t="shared" si="52"/>
        <v>10418.095655621524</v>
      </c>
      <c r="H658" s="36">
        <f t="shared" si="53"/>
        <v>-13.568348479862834</v>
      </c>
      <c r="I658" s="36">
        <f t="shared" si="54"/>
        <v>184.10008047099609</v>
      </c>
    </row>
    <row r="659" spans="3:9" x14ac:dyDescent="0.25">
      <c r="C659" s="41">
        <v>2568.44</v>
      </c>
      <c r="D659" s="41">
        <v>10153.290000000001</v>
      </c>
      <c r="E659" s="34">
        <f t="shared" si="50"/>
        <v>10433.89830508462</v>
      </c>
      <c r="F659" s="35">
        <f t="shared" si="51"/>
        <v>10139.703498959529</v>
      </c>
      <c r="G659" s="35">
        <f t="shared" si="52"/>
        <v>10425.088094980369</v>
      </c>
      <c r="H659" s="36">
        <f t="shared" si="53"/>
        <v>-13.586501040472285</v>
      </c>
      <c r="I659" s="36">
        <f t="shared" si="54"/>
        <v>184.5930105227545</v>
      </c>
    </row>
    <row r="660" spans="3:9" x14ac:dyDescent="0.25">
      <c r="C660" s="41">
        <v>2571.39</v>
      </c>
      <c r="D660" s="41">
        <v>10168.700000000001</v>
      </c>
      <c r="E660" s="34">
        <f t="shared" si="50"/>
        <v>10447.457627119189</v>
      </c>
      <c r="F660" s="35">
        <f t="shared" si="51"/>
        <v>10155.085663707821</v>
      </c>
      <c r="G660" s="35">
        <f t="shared" si="52"/>
        <v>10432.08522753937</v>
      </c>
      <c r="H660" s="36">
        <f t="shared" si="53"/>
        <v>-13.61433629217936</v>
      </c>
      <c r="I660" s="36">
        <f t="shared" si="54"/>
        <v>185.35015267655203</v>
      </c>
    </row>
    <row r="661" spans="3:9" x14ac:dyDescent="0.25">
      <c r="C661" s="41">
        <v>2574.34</v>
      </c>
      <c r="D661" s="41">
        <v>10184.120000000001</v>
      </c>
      <c r="E661" s="34">
        <f t="shared" si="50"/>
        <v>10454.237288134676</v>
      </c>
      <c r="F661" s="35">
        <f t="shared" si="51"/>
        <v>10170.47815268981</v>
      </c>
      <c r="G661" s="35">
        <f t="shared" si="52"/>
        <v>10439.087056448521</v>
      </c>
      <c r="H661" s="36">
        <f t="shared" si="53"/>
        <v>-13.641847310191224</v>
      </c>
      <c r="I661" s="36">
        <f t="shared" si="54"/>
        <v>186.09999803457154</v>
      </c>
    </row>
    <row r="662" spans="3:9" x14ac:dyDescent="0.25">
      <c r="C662" s="41">
        <v>2577.3000000000002</v>
      </c>
      <c r="D662" s="41">
        <v>10199.530000000001</v>
      </c>
      <c r="E662" s="34">
        <f t="shared" si="50"/>
        <v>10412.162162161936</v>
      </c>
      <c r="F662" s="35">
        <f t="shared" si="51"/>
        <v>10185.933203362258</v>
      </c>
      <c r="G662" s="35">
        <f t="shared" si="52"/>
        <v>10446.11734379954</v>
      </c>
      <c r="H662" s="36">
        <f t="shared" si="53"/>
        <v>-13.596796637742955</v>
      </c>
      <c r="I662" s="36">
        <f t="shared" si="54"/>
        <v>184.87287880813813</v>
      </c>
    </row>
    <row r="663" spans="3:9" x14ac:dyDescent="0.25">
      <c r="C663" s="41">
        <v>2580.25</v>
      </c>
      <c r="D663" s="41">
        <v>10214.950000000001</v>
      </c>
      <c r="E663" s="34">
        <f t="shared" si="50"/>
        <v>10454.237288136286</v>
      </c>
      <c r="F663" s="35">
        <f t="shared" si="51"/>
        <v>10201.346396660801</v>
      </c>
      <c r="G663" s="35">
        <f t="shared" si="52"/>
        <v>10453.128590814002</v>
      </c>
      <c r="H663" s="36">
        <f t="shared" si="53"/>
        <v>-13.603603339199253</v>
      </c>
      <c r="I663" s="36">
        <f t="shared" si="54"/>
        <v>185.05802381027308</v>
      </c>
    </row>
    <row r="664" spans="3:9" x14ac:dyDescent="0.25">
      <c r="C664" s="41">
        <v>2583.1999999999998</v>
      </c>
      <c r="D664" s="41">
        <v>10230.36</v>
      </c>
      <c r="E664" s="34">
        <f t="shared" si="50"/>
        <v>10447.457627119189</v>
      </c>
      <c r="F664" s="35">
        <f t="shared" si="51"/>
        <v>10216.76993501885</v>
      </c>
      <c r="G664" s="35">
        <f t="shared" si="52"/>
        <v>10460.144543651986</v>
      </c>
      <c r="H664" s="36">
        <f t="shared" si="53"/>
        <v>-13.590064981150135</v>
      </c>
      <c r="I664" s="36">
        <f t="shared" si="54"/>
        <v>184.68986619188323</v>
      </c>
    </row>
    <row r="665" spans="3:9" x14ac:dyDescent="0.25">
      <c r="C665" s="41">
        <v>2586.16</v>
      </c>
      <c r="D665" s="41">
        <v>10245.780000000001</v>
      </c>
      <c r="E665" s="34">
        <f t="shared" si="50"/>
        <v>10418.91891891884</v>
      </c>
      <c r="F665" s="35">
        <f t="shared" si="51"/>
        <v>10232.256161265372</v>
      </c>
      <c r="G665" s="35">
        <f t="shared" si="52"/>
        <v>10467.189012337552</v>
      </c>
      <c r="H665" s="36">
        <f t="shared" si="53"/>
        <v>-13.523838734628953</v>
      </c>
      <c r="I665" s="36">
        <f t="shared" si="54"/>
        <v>182.89421412025044</v>
      </c>
    </row>
    <row r="666" spans="3:9" x14ac:dyDescent="0.25">
      <c r="C666" s="41">
        <v>2589.12</v>
      </c>
      <c r="D666" s="41">
        <v>10261.25</v>
      </c>
      <c r="E666" s="34">
        <f t="shared" si="50"/>
        <v>10452.702702702132</v>
      </c>
      <c r="F666" s="35">
        <f t="shared" si="51"/>
        <v>10247.752816835822</v>
      </c>
      <c r="G666" s="35">
        <f t="shared" si="52"/>
        <v>10474.238225177356</v>
      </c>
      <c r="H666" s="36">
        <f t="shared" si="53"/>
        <v>-13.497183164177841</v>
      </c>
      <c r="I666" s="36">
        <f t="shared" si="54"/>
        <v>182.17395336736575</v>
      </c>
    </row>
    <row r="667" spans="3:9" x14ac:dyDescent="0.25">
      <c r="C667" s="41">
        <v>2592.09</v>
      </c>
      <c r="D667" s="41">
        <v>10276.73</v>
      </c>
      <c r="E667" s="34">
        <f t="shared" si="50"/>
        <v>10424.242424241236</v>
      </c>
      <c r="F667" s="35">
        <f t="shared" si="51"/>
        <v>10263.312315274445</v>
      </c>
      <c r="G667" s="35">
        <f t="shared" si="52"/>
        <v>10481.316024362852</v>
      </c>
      <c r="H667" s="36">
        <f t="shared" si="53"/>
        <v>-13.417684725554864</v>
      </c>
      <c r="I667" s="36">
        <f t="shared" si="54"/>
        <v>180.03426339438829</v>
      </c>
    </row>
    <row r="668" spans="3:9" x14ac:dyDescent="0.25">
      <c r="C668" s="41">
        <v>2595.0500000000002</v>
      </c>
      <c r="D668" s="41">
        <v>10292.219999999999</v>
      </c>
      <c r="E668" s="34">
        <f t="shared" si="50"/>
        <v>10466.21621621594</v>
      </c>
      <c r="F668" s="35">
        <f t="shared" si="51"/>
        <v>10278.829885862229</v>
      </c>
      <c r="G668" s="35">
        <f t="shared" si="52"/>
        <v>10488.374751152813</v>
      </c>
      <c r="H668" s="36">
        <f t="shared" si="53"/>
        <v>-13.39011413777007</v>
      </c>
      <c r="I668" s="36">
        <f t="shared" si="54"/>
        <v>179.29515662250989</v>
      </c>
    </row>
    <row r="669" spans="3:9" x14ac:dyDescent="0.25">
      <c r="C669" s="41">
        <v>2598.02</v>
      </c>
      <c r="D669" s="41">
        <v>10307.709999999999</v>
      </c>
      <c r="E669" s="34">
        <f t="shared" si="50"/>
        <v>10430.976430976987</v>
      </c>
      <c r="F669" s="35">
        <f t="shared" si="51"/>
        <v>10294.410384133882</v>
      </c>
      <c r="G669" s="35">
        <f t="shared" si="52"/>
        <v>10495.462102869948</v>
      </c>
      <c r="H669" s="36">
        <f t="shared" si="53"/>
        <v>-13.299615866117165</v>
      </c>
      <c r="I669" s="36">
        <f t="shared" si="54"/>
        <v>176.87978218627543</v>
      </c>
    </row>
    <row r="670" spans="3:9" x14ac:dyDescent="0.25">
      <c r="C670" s="41">
        <v>2600.9899999999998</v>
      </c>
      <c r="D670" s="41">
        <v>10323.19</v>
      </c>
      <c r="E670" s="34">
        <f t="shared" si="50"/>
        <v>10424.242424244057</v>
      </c>
      <c r="F670" s="35">
        <f t="shared" si="51"/>
        <v>10310.001410678389</v>
      </c>
      <c r="G670" s="35">
        <f t="shared" si="52"/>
        <v>10502.554243751805</v>
      </c>
      <c r="H670" s="36">
        <f t="shared" si="53"/>
        <v>-13.188589321611289</v>
      </c>
      <c r="I670" s="36">
        <f t="shared" si="54"/>
        <v>173.93888829411932</v>
      </c>
    </row>
    <row r="671" spans="3:9" x14ac:dyDescent="0.25">
      <c r="C671" s="41">
        <v>2603.9499999999998</v>
      </c>
      <c r="D671" s="41">
        <v>10338.68</v>
      </c>
      <c r="E671" s="34">
        <f t="shared" si="50"/>
        <v>10466.21621621594</v>
      </c>
      <c r="F671" s="35">
        <f t="shared" si="51"/>
        <v>10325.550424413934</v>
      </c>
      <c r="G671" s="35">
        <f t="shared" si="52"/>
        <v>10509.627273591861</v>
      </c>
      <c r="H671" s="36">
        <f t="shared" si="53"/>
        <v>-13.129575586066494</v>
      </c>
      <c r="I671" s="36">
        <f t="shared" si="54"/>
        <v>172.38575507023333</v>
      </c>
    </row>
    <row r="672" spans="3:9" x14ac:dyDescent="0.25">
      <c r="C672" s="41">
        <v>2606.9299999999998</v>
      </c>
      <c r="D672" s="41">
        <v>10354.209999999999</v>
      </c>
      <c r="E672" s="34">
        <f t="shared" si="50"/>
        <v>10422.818791945463</v>
      </c>
      <c r="F672" s="35">
        <f t="shared" si="51"/>
        <v>10341.21507704802</v>
      </c>
      <c r="G672" s="35">
        <f t="shared" si="52"/>
        <v>10516.75290595668</v>
      </c>
      <c r="H672" s="36">
        <f t="shared" si="53"/>
        <v>-12.994922951978879</v>
      </c>
      <c r="I672" s="36">
        <f t="shared" si="54"/>
        <v>168.86802252786745</v>
      </c>
    </row>
    <row r="673" spans="3:9" x14ac:dyDescent="0.25">
      <c r="C673" s="41">
        <v>2609.91</v>
      </c>
      <c r="D673" s="41">
        <v>10369.77</v>
      </c>
      <c r="E673" s="34">
        <f t="shared" si="50"/>
        <v>10442.953020135043</v>
      </c>
      <c r="F673" s="35">
        <f t="shared" si="51"/>
        <v>10356.890350473204</v>
      </c>
      <c r="G673" s="35">
        <f t="shared" si="52"/>
        <v>10523.883369571482</v>
      </c>
      <c r="H673" s="36">
        <f t="shared" si="53"/>
        <v>-12.879649526796129</v>
      </c>
      <c r="I673" s="36">
        <f t="shared" si="54"/>
        <v>165.88537193309975</v>
      </c>
    </row>
    <row r="674" spans="3:9" x14ac:dyDescent="0.25">
      <c r="C674" s="41">
        <v>2612.89</v>
      </c>
      <c r="D674" s="41">
        <v>10385.32</v>
      </c>
      <c r="E674" s="34">
        <f t="shared" si="50"/>
        <v>10436.241610737703</v>
      </c>
      <c r="F674" s="35">
        <f t="shared" si="51"/>
        <v>10372.576251890494</v>
      </c>
      <c r="G674" s="35">
        <f t="shared" si="52"/>
        <v>10531.018667711909</v>
      </c>
      <c r="H674" s="36">
        <f t="shared" si="53"/>
        <v>-12.743748109505759</v>
      </c>
      <c r="I674" s="36">
        <f t="shared" si="54"/>
        <v>162.40311587853162</v>
      </c>
    </row>
    <row r="675" spans="3:9" x14ac:dyDescent="0.25">
      <c r="C675" s="41">
        <v>2615.87</v>
      </c>
      <c r="D675" s="41">
        <v>10400.879999999999</v>
      </c>
      <c r="E675" s="34">
        <f t="shared" si="50"/>
        <v>10442.953020133822</v>
      </c>
      <c r="F675" s="35">
        <f t="shared" si="51"/>
        <v>10388.272788505763</v>
      </c>
      <c r="G675" s="35">
        <f t="shared" si="52"/>
        <v>10538.158803655806</v>
      </c>
      <c r="H675" s="36">
        <f t="shared" si="53"/>
        <v>-12.607211494236253</v>
      </c>
      <c r="I675" s="36">
        <f t="shared" si="54"/>
        <v>158.94178166040271</v>
      </c>
    </row>
    <row r="676" spans="3:9" x14ac:dyDescent="0.25">
      <c r="C676" s="41">
        <v>2618.85</v>
      </c>
      <c r="D676" s="41">
        <v>10416.44</v>
      </c>
      <c r="E676" s="34">
        <f t="shared" si="50"/>
        <v>10442.953020135043</v>
      </c>
      <c r="F676" s="35">
        <f t="shared" si="51"/>
        <v>10403.979967529793</v>
      </c>
      <c r="G676" s="35">
        <f t="shared" si="52"/>
        <v>10545.303780683264</v>
      </c>
      <c r="H676" s="36">
        <f t="shared" si="53"/>
        <v>-12.460032470207807</v>
      </c>
      <c r="I676" s="36">
        <f t="shared" si="54"/>
        <v>155.25240915863287</v>
      </c>
    </row>
    <row r="677" spans="3:9" x14ac:dyDescent="0.25">
      <c r="C677" s="41">
        <v>2621.83</v>
      </c>
      <c r="D677" s="41">
        <v>10431.99</v>
      </c>
      <c r="E677" s="34">
        <f t="shared" si="50"/>
        <v>10436.241610737703</v>
      </c>
      <c r="F677" s="35">
        <f t="shared" si="51"/>
        <v>10419.697796178234</v>
      </c>
      <c r="G677" s="35">
        <f t="shared" si="52"/>
        <v>10552.453602076577</v>
      </c>
      <c r="H677" s="36">
        <f t="shared" si="53"/>
        <v>-12.292203821765725</v>
      </c>
      <c r="I677" s="36">
        <f t="shared" si="54"/>
        <v>151.09827479583188</v>
      </c>
    </row>
    <row r="678" spans="3:9" x14ac:dyDescent="0.25">
      <c r="C678" s="41">
        <v>2624.82</v>
      </c>
      <c r="D678" s="41">
        <v>10447.6</v>
      </c>
      <c r="E678" s="34">
        <f t="shared" si="50"/>
        <v>10441.471571905919</v>
      </c>
      <c r="F678" s="35">
        <f t="shared" si="51"/>
        <v>10435.479079773047</v>
      </c>
      <c r="G678" s="35">
        <f t="shared" si="52"/>
        <v>10559.632288241433</v>
      </c>
      <c r="H678" s="36">
        <f t="shared" si="53"/>
        <v>-12.120920226952876</v>
      </c>
      <c r="I678" s="36">
        <f t="shared" si="54"/>
        <v>146.91670714815535</v>
      </c>
    </row>
    <row r="679" spans="3:9" x14ac:dyDescent="0.25">
      <c r="C679" s="41">
        <v>2627.82</v>
      </c>
      <c r="D679" s="41">
        <v>10463.24</v>
      </c>
      <c r="E679" s="34">
        <f t="shared" si="50"/>
        <v>10426.666666666279</v>
      </c>
      <c r="F679" s="35">
        <f t="shared" si="51"/>
        <v>10451.323933293093</v>
      </c>
      <c r="G679" s="35">
        <f t="shared" si="52"/>
        <v>10566.839891480115</v>
      </c>
      <c r="H679" s="36">
        <f t="shared" si="53"/>
        <v>-11.916066706906349</v>
      </c>
      <c r="I679" s="36">
        <f t="shared" si="54"/>
        <v>141.99264576344191</v>
      </c>
    </row>
    <row r="680" spans="3:9" x14ac:dyDescent="0.25">
      <c r="C680" s="41">
        <v>2630.81</v>
      </c>
      <c r="D680" s="41">
        <v>10478.89</v>
      </c>
      <c r="E680" s="34">
        <f t="shared" si="50"/>
        <v>10468.227424749684</v>
      </c>
      <c r="F680" s="35">
        <f t="shared" si="51"/>
        <v>10467.126731705357</v>
      </c>
      <c r="G680" s="35">
        <f t="shared" si="52"/>
        <v>10574.02836443585</v>
      </c>
      <c r="H680" s="36">
        <f t="shared" si="53"/>
        <v>-11.76326829464233</v>
      </c>
      <c r="I680" s="36">
        <f t="shared" si="54"/>
        <v>138.37448097173748</v>
      </c>
    </row>
    <row r="681" spans="3:9" x14ac:dyDescent="0.25">
      <c r="C681" s="41">
        <v>2633.81</v>
      </c>
      <c r="D681" s="41">
        <v>10494.53</v>
      </c>
      <c r="E681" s="34">
        <f t="shared" si="50"/>
        <v>10426.666666667492</v>
      </c>
      <c r="F681" s="35">
        <f t="shared" si="51"/>
        <v>10482.993186708516</v>
      </c>
      <c r="G681" s="35">
        <f t="shared" si="52"/>
        <v>10581.245793888414</v>
      </c>
      <c r="H681" s="36">
        <f t="shared" si="53"/>
        <v>-11.536813291484577</v>
      </c>
      <c r="I681" s="36">
        <f t="shared" si="54"/>
        <v>133.0980609225752</v>
      </c>
    </row>
    <row r="682" spans="3:9" x14ac:dyDescent="0.25">
      <c r="C682" s="41">
        <v>2636.81</v>
      </c>
      <c r="D682" s="41">
        <v>10510.18</v>
      </c>
      <c r="E682" s="34">
        <f t="shared" si="50"/>
        <v>10433.33333333309</v>
      </c>
      <c r="F682" s="35">
        <f t="shared" si="51"/>
        <v>10498.870471550192</v>
      </c>
      <c r="G682" s="35">
        <f t="shared" si="52"/>
        <v>10588.468149683726</v>
      </c>
      <c r="H682" s="36">
        <f t="shared" si="53"/>
        <v>-11.309528449808568</v>
      </c>
      <c r="I682" s="36">
        <f t="shared" si="54"/>
        <v>127.90543375702939</v>
      </c>
    </row>
    <row r="683" spans="3:9" x14ac:dyDescent="0.25">
      <c r="C683" s="41">
        <v>2639.82</v>
      </c>
      <c r="D683" s="41">
        <v>10525.82</v>
      </c>
      <c r="E683" s="34">
        <f t="shared" si="50"/>
        <v>10392.026578071949</v>
      </c>
      <c r="F683" s="35">
        <f t="shared" si="51"/>
        <v>10514.811572159846</v>
      </c>
      <c r="G683" s="35">
        <f t="shared" si="52"/>
        <v>10595.719534383301</v>
      </c>
      <c r="H683" s="36">
        <f t="shared" si="53"/>
        <v>-11.008427840153672</v>
      </c>
      <c r="I683" s="36">
        <f t="shared" si="54"/>
        <v>121.18548351187044</v>
      </c>
    </row>
    <row r="684" spans="3:9" x14ac:dyDescent="0.25">
      <c r="C684" s="41">
        <v>2642.83</v>
      </c>
      <c r="D684" s="41">
        <v>10541.46</v>
      </c>
      <c r="E684" s="34">
        <f t="shared" si="50"/>
        <v>10392.026578073519</v>
      </c>
      <c r="F684" s="35">
        <f t="shared" si="51"/>
        <v>10530.763589839973</v>
      </c>
      <c r="G684" s="35">
        <f t="shared" si="52"/>
        <v>10602.975885106223</v>
      </c>
      <c r="H684" s="36">
        <f t="shared" si="53"/>
        <v>-10.696410160026062</v>
      </c>
      <c r="I684" s="36">
        <f t="shared" si="54"/>
        <v>114.41319031150876</v>
      </c>
    </row>
    <row r="685" spans="3:9" x14ac:dyDescent="0.25">
      <c r="C685" s="41">
        <v>2645.84</v>
      </c>
      <c r="D685" s="41">
        <v>10557.11</v>
      </c>
      <c r="E685" s="34">
        <f t="shared" si="50"/>
        <v>10398.671096345728</v>
      </c>
      <c r="F685" s="35">
        <f t="shared" si="51"/>
        <v>10546.72653206701</v>
      </c>
      <c r="G685" s="35">
        <f t="shared" si="52"/>
        <v>10610.237205253419</v>
      </c>
      <c r="H685" s="36">
        <f t="shared" si="53"/>
        <v>-10.383467932990243</v>
      </c>
      <c r="I685" s="36">
        <f t="shared" si="54"/>
        <v>107.81640631543667</v>
      </c>
    </row>
    <row r="686" spans="3:9" x14ac:dyDescent="0.25">
      <c r="C686" s="41">
        <v>2648.85</v>
      </c>
      <c r="D686" s="41">
        <v>10572.75</v>
      </c>
      <c r="E686" s="34">
        <f t="shared" si="50"/>
        <v>10392.026578073519</v>
      </c>
      <c r="F686" s="35">
        <f t="shared" si="51"/>
        <v>10562.70040632249</v>
      </c>
      <c r="G686" s="35">
        <f t="shared" si="52"/>
        <v>10617.503498228132</v>
      </c>
      <c r="H686" s="36">
        <f t="shared" si="53"/>
        <v>-10.04959367750962</v>
      </c>
      <c r="I686" s="36">
        <f t="shared" si="54"/>
        <v>100.99433308304133</v>
      </c>
    </row>
    <row r="687" spans="3:9" x14ac:dyDescent="0.25">
      <c r="C687" s="41">
        <v>2651.86</v>
      </c>
      <c r="D687" s="41">
        <v>10588.4</v>
      </c>
      <c r="E687" s="34">
        <f t="shared" si="50"/>
        <v>10398.671096344518</v>
      </c>
      <c r="F687" s="35">
        <f t="shared" si="51"/>
        <v>10578.685220093086</v>
      </c>
      <c r="G687" s="35">
        <f t="shared" si="52"/>
        <v>10624.774767435949</v>
      </c>
      <c r="H687" s="36">
        <f t="shared" si="53"/>
        <v>-9.7147799069134635</v>
      </c>
      <c r="I687" s="36">
        <f t="shared" si="54"/>
        <v>94.376948639769566</v>
      </c>
    </row>
    <row r="688" spans="3:9" x14ac:dyDescent="0.25">
      <c r="C688" s="41">
        <v>2654.87</v>
      </c>
      <c r="D688" s="41">
        <v>10604.04</v>
      </c>
      <c r="E688" s="34">
        <f t="shared" si="50"/>
        <v>10392.026578074727</v>
      </c>
      <c r="F688" s="35">
        <f t="shared" si="51"/>
        <v>10594.680980870591</v>
      </c>
      <c r="G688" s="35">
        <f t="shared" si="52"/>
        <v>10632.051016284779</v>
      </c>
      <c r="H688" s="36">
        <f t="shared" si="53"/>
        <v>-9.3590191294097167</v>
      </c>
      <c r="I688" s="36">
        <f t="shared" si="54"/>
        <v>87.591239064657017</v>
      </c>
    </row>
    <row r="689" spans="3:9" x14ac:dyDescent="0.25">
      <c r="C689" s="41">
        <v>2657.87</v>
      </c>
      <c r="D689" s="41">
        <v>10619.69</v>
      </c>
      <c r="E689" s="34">
        <f t="shared" si="50"/>
        <v>10433.33333333309</v>
      </c>
      <c r="F689" s="35">
        <f t="shared" si="51"/>
        <v>10610.634499551188</v>
      </c>
      <c r="G689" s="35">
        <f t="shared" si="52"/>
        <v>10639.308049791915</v>
      </c>
      <c r="H689" s="36">
        <f t="shared" si="53"/>
        <v>-9.0555004488123814</v>
      </c>
      <c r="I689" s="36">
        <f t="shared" si="54"/>
        <v>82.002088378441243</v>
      </c>
    </row>
    <row r="690" spans="3:9" x14ac:dyDescent="0.25">
      <c r="C690" s="41">
        <v>2660.89</v>
      </c>
      <c r="D690" s="41">
        <v>10635.37</v>
      </c>
      <c r="E690" s="34">
        <f t="shared" si="50"/>
        <v>10384.105960265155</v>
      </c>
      <c r="F690" s="35">
        <f t="shared" si="51"/>
        <v>10626.705373439172</v>
      </c>
      <c r="G690" s="35">
        <f t="shared" si="52"/>
        <v>10646.618466548807</v>
      </c>
      <c r="H690" s="36">
        <f t="shared" si="53"/>
        <v>-8.6646265608287649</v>
      </c>
      <c r="I690" s="36">
        <f t="shared" si="54"/>
        <v>75.075753438619316</v>
      </c>
    </row>
    <row r="691" spans="3:9" x14ac:dyDescent="0.25">
      <c r="C691" s="41">
        <v>2663.92</v>
      </c>
      <c r="D691" s="41">
        <v>10651.13</v>
      </c>
      <c r="E691" s="34">
        <f t="shared" si="50"/>
        <v>10402.64026402466</v>
      </c>
      <c r="F691" s="35">
        <f t="shared" si="51"/>
        <v>10642.840559578564</v>
      </c>
      <c r="G691" s="35">
        <f t="shared" si="52"/>
        <v>10653.958138053367</v>
      </c>
      <c r="H691" s="36">
        <f t="shared" si="53"/>
        <v>-8.2894404214348469</v>
      </c>
      <c r="I691" s="36">
        <f t="shared" si="54"/>
        <v>68.71482250051794</v>
      </c>
    </row>
    <row r="692" spans="3:9" x14ac:dyDescent="0.25">
      <c r="C692" s="41">
        <v>2666.95</v>
      </c>
      <c r="D692" s="41">
        <v>10666.89</v>
      </c>
      <c r="E692" s="34">
        <f t="shared" si="50"/>
        <v>10402.640264027421</v>
      </c>
      <c r="F692" s="35">
        <f t="shared" si="51"/>
        <v>10658.986869152719</v>
      </c>
      <c r="G692" s="35">
        <f t="shared" si="52"/>
        <v>10661.302869453517</v>
      </c>
      <c r="H692" s="36">
        <f t="shared" si="53"/>
        <v>-7.9031308472804085</v>
      </c>
      <c r="I692" s="36">
        <f t="shared" si="54"/>
        <v>62.459477189235145</v>
      </c>
    </row>
    <row r="693" spans="3:9" x14ac:dyDescent="0.25">
      <c r="C693" s="41">
        <v>2669.98</v>
      </c>
      <c r="D693" s="41">
        <v>10682.65</v>
      </c>
      <c r="E693" s="34">
        <f t="shared" si="50"/>
        <v>10402.64026402586</v>
      </c>
      <c r="F693" s="35">
        <f t="shared" si="51"/>
        <v>10675.144309830017</v>
      </c>
      <c r="G693" s="35">
        <f t="shared" si="52"/>
        <v>10668.652664237492</v>
      </c>
      <c r="H693" s="36">
        <f t="shared" si="53"/>
        <v>-7.5056901699826994</v>
      </c>
      <c r="I693" s="36">
        <f t="shared" si="54"/>
        <v>56.335384927774925</v>
      </c>
    </row>
    <row r="694" spans="3:9" x14ac:dyDescent="0.25">
      <c r="C694" s="41">
        <v>2673.01</v>
      </c>
      <c r="D694" s="41">
        <v>10698.41</v>
      </c>
      <c r="E694" s="34">
        <f t="shared" si="50"/>
        <v>10402.64026402586</v>
      </c>
      <c r="F694" s="35">
        <f t="shared" si="51"/>
        <v>10691.312889284131</v>
      </c>
      <c r="G694" s="35">
        <f t="shared" si="52"/>
        <v>10676.007525895942</v>
      </c>
      <c r="H694" s="36">
        <f t="shared" si="53"/>
        <v>-7.0971107158693485</v>
      </c>
      <c r="I694" s="36">
        <f t="shared" si="54"/>
        <v>50.368980513307534</v>
      </c>
    </row>
    <row r="695" spans="3:9" x14ac:dyDescent="0.25">
      <c r="C695" s="41">
        <v>2676.04</v>
      </c>
      <c r="D695" s="41">
        <v>10714.16</v>
      </c>
      <c r="E695" s="34">
        <f t="shared" si="50"/>
        <v>10396.03960396127</v>
      </c>
      <c r="F695" s="35">
        <f t="shared" si="51"/>
        <v>10707.49261519402</v>
      </c>
      <c r="G695" s="35">
        <f t="shared" si="52"/>
        <v>10683.367457921919</v>
      </c>
      <c r="H695" s="36">
        <f t="shared" si="53"/>
        <v>-6.6673848059799639</v>
      </c>
      <c r="I695" s="36">
        <f t="shared" si="54"/>
        <v>44.454020151012479</v>
      </c>
    </row>
    <row r="696" spans="3:9" x14ac:dyDescent="0.25">
      <c r="C696" s="41">
        <v>2679.08</v>
      </c>
      <c r="D696" s="41">
        <v>10729.94</v>
      </c>
      <c r="E696" s="34">
        <f t="shared" si="50"/>
        <v>10381.578947368977</v>
      </c>
      <c r="F696" s="35">
        <f t="shared" si="51"/>
        <v>10723.736948967044</v>
      </c>
      <c r="G696" s="35">
        <f t="shared" si="52"/>
        <v>10690.756779165218</v>
      </c>
      <c r="H696" s="36">
        <f t="shared" si="53"/>
        <v>-6.2030510329568642</v>
      </c>
      <c r="I696" s="36">
        <f t="shared" si="54"/>
        <v>38.477842117467219</v>
      </c>
    </row>
    <row r="697" spans="3:9" x14ac:dyDescent="0.25">
      <c r="C697" s="41">
        <v>2682.12</v>
      </c>
      <c r="D697" s="41">
        <v>10745.78</v>
      </c>
      <c r="E697" s="34">
        <f t="shared" si="50"/>
        <v>10421.052631579167</v>
      </c>
      <c r="F697" s="35">
        <f t="shared" si="51"/>
        <v>10739.992518392224</v>
      </c>
      <c r="G697" s="35">
        <f t="shared" si="52"/>
        <v>10698.151211350239</v>
      </c>
      <c r="H697" s="36">
        <f t="shared" si="53"/>
        <v>-5.787481607776499</v>
      </c>
      <c r="I697" s="36">
        <f t="shared" si="54"/>
        <v>33.49494336035125</v>
      </c>
    </row>
    <row r="698" spans="3:9" x14ac:dyDescent="0.25">
      <c r="C698" s="41">
        <v>2685.17</v>
      </c>
      <c r="D698" s="41">
        <v>10761.62</v>
      </c>
      <c r="E698" s="34">
        <f t="shared" si="50"/>
        <v>10386.885245901116</v>
      </c>
      <c r="F698" s="35">
        <f t="shared" si="51"/>
        <v>10756.312859055544</v>
      </c>
      <c r="G698" s="35">
        <f t="shared" si="52"/>
        <v>10705.575107069597</v>
      </c>
      <c r="H698" s="36">
        <f t="shared" si="53"/>
        <v>-5.3071409444564779</v>
      </c>
      <c r="I698" s="36">
        <f t="shared" si="54"/>
        <v>28.165745004326396</v>
      </c>
    </row>
    <row r="699" spans="3:9" x14ac:dyDescent="0.25">
      <c r="C699" s="41">
        <v>2688.21</v>
      </c>
      <c r="D699" s="41">
        <v>10777.46</v>
      </c>
      <c r="E699" s="34">
        <f t="shared" si="50"/>
        <v>10421.05263157797</v>
      </c>
      <c r="F699" s="35">
        <f t="shared" si="51"/>
        <v>10772.590960127738</v>
      </c>
      <c r="G699" s="35">
        <f t="shared" si="52"/>
        <v>10712.979788587105</v>
      </c>
      <c r="H699" s="36">
        <f t="shared" si="53"/>
        <v>-4.8690398722610553</v>
      </c>
      <c r="I699" s="36">
        <f t="shared" si="54"/>
        <v>23.707549277667955</v>
      </c>
    </row>
    <row r="700" spans="3:9" x14ac:dyDescent="0.25">
      <c r="C700" s="41">
        <v>2691.26</v>
      </c>
      <c r="D700" s="41">
        <v>10793.29</v>
      </c>
      <c r="E700" s="34">
        <f t="shared" si="50"/>
        <v>10380.327868852984</v>
      </c>
      <c r="F700" s="35">
        <f t="shared" si="51"/>
        <v>10788.933922216695</v>
      </c>
      <c r="G700" s="35">
        <f t="shared" si="52"/>
        <v>10720.413974478</v>
      </c>
      <c r="H700" s="36">
        <f t="shared" si="53"/>
        <v>-4.3560777833063185</v>
      </c>
      <c r="I700" s="36">
        <f t="shared" si="54"/>
        <v>18.97541365421489</v>
      </c>
    </row>
    <row r="701" spans="3:9" x14ac:dyDescent="0.25">
      <c r="C701" s="41">
        <v>2694.31</v>
      </c>
      <c r="D701" s="41">
        <v>10809.13</v>
      </c>
      <c r="E701" s="34">
        <f t="shared" si="50"/>
        <v>10386.885245901472</v>
      </c>
      <c r="F701" s="35">
        <f t="shared" si="51"/>
        <v>10805.288225372329</v>
      </c>
      <c r="G701" s="35">
        <f t="shared" si="52"/>
        <v>10727.853319262209</v>
      </c>
      <c r="H701" s="36">
        <f t="shared" si="53"/>
        <v>-3.84177462767002</v>
      </c>
      <c r="I701" s="36">
        <f t="shared" si="54"/>
        <v>14.759232289809121</v>
      </c>
    </row>
    <row r="702" spans="3:9" x14ac:dyDescent="0.25">
      <c r="C702" s="41">
        <v>2697.35</v>
      </c>
      <c r="D702" s="41">
        <v>10824.97</v>
      </c>
      <c r="E702" s="34">
        <f t="shared" si="50"/>
        <v>10421.052631579167</v>
      </c>
      <c r="F702" s="35">
        <f t="shared" si="51"/>
        <v>10821.600201036606</v>
      </c>
      <c r="G702" s="35">
        <f t="shared" si="52"/>
        <v>10735.273409859979</v>
      </c>
      <c r="H702" s="36">
        <f t="shared" si="53"/>
        <v>-3.3697989633928955</v>
      </c>
      <c r="I702" s="36">
        <f t="shared" si="54"/>
        <v>11.355545053683834</v>
      </c>
    </row>
    <row r="703" spans="3:9" x14ac:dyDescent="0.25">
      <c r="C703" s="41">
        <v>2700.4</v>
      </c>
      <c r="D703" s="41">
        <v>10840.81</v>
      </c>
      <c r="E703" s="34">
        <f t="shared" si="50"/>
        <v>10386.885245901116</v>
      </c>
      <c r="F703" s="35">
        <f t="shared" si="51"/>
        <v>10837.977172692881</v>
      </c>
      <c r="G703" s="35">
        <f t="shared" si="52"/>
        <v>10742.72306622949</v>
      </c>
      <c r="H703" s="36">
        <f t="shared" si="53"/>
        <v>-2.8328273071183503</v>
      </c>
      <c r="I703" s="36">
        <f t="shared" si="54"/>
        <v>8.0249105519554043</v>
      </c>
    </row>
    <row r="704" spans="3:9" x14ac:dyDescent="0.25">
      <c r="C704" s="41">
        <v>2703.44</v>
      </c>
      <c r="D704" s="41">
        <v>10856.64</v>
      </c>
      <c r="E704" s="34">
        <f t="shared" si="50"/>
        <v>10414.473684210603</v>
      </c>
      <c r="F704" s="35">
        <f t="shared" si="51"/>
        <v>10854.311758188169</v>
      </c>
      <c r="G704" s="35">
        <f t="shared" si="52"/>
        <v>10750.15344172456</v>
      </c>
      <c r="H704" s="36">
        <f t="shared" si="53"/>
        <v>-2.3282418118305941</v>
      </c>
      <c r="I704" s="36">
        <f t="shared" si="54"/>
        <v>5.4207099343562071</v>
      </c>
    </row>
    <row r="705" spans="3:9" x14ac:dyDescent="0.25">
      <c r="C705" s="41">
        <v>2706.49</v>
      </c>
      <c r="D705" s="41">
        <v>10872.48</v>
      </c>
      <c r="E705" s="34">
        <f t="shared" si="50"/>
        <v>10386.885245902664</v>
      </c>
      <c r="F705" s="35">
        <f t="shared" si="51"/>
        <v>10870.711429765603</v>
      </c>
      <c r="G705" s="35">
        <f t="shared" si="52"/>
        <v>10757.613423972125</v>
      </c>
      <c r="H705" s="36">
        <f t="shared" si="53"/>
        <v>-1.7685702343969751</v>
      </c>
      <c r="I705" s="36">
        <f t="shared" si="54"/>
        <v>3.1278406739949718</v>
      </c>
    </row>
    <row r="706" spans="3:9" x14ac:dyDescent="0.25">
      <c r="C706" s="41">
        <v>2709.53</v>
      </c>
      <c r="D706" s="41">
        <v>10888.32</v>
      </c>
      <c r="E706" s="34">
        <f t="shared" si="50"/>
        <v>10421.05263157761</v>
      </c>
      <c r="F706" s="35">
        <f t="shared" si="51"/>
        <v>10887.068656431116</v>
      </c>
      <c r="G706" s="35">
        <f t="shared" si="52"/>
        <v>10765.054098620272</v>
      </c>
      <c r="H706" s="36">
        <f t="shared" si="53"/>
        <v>-1.2513435688833852</v>
      </c>
      <c r="I706" s="36">
        <f t="shared" si="54"/>
        <v>1.5658607273858074</v>
      </c>
    </row>
    <row r="707" spans="3:9" x14ac:dyDescent="0.25">
      <c r="C707" s="41">
        <v>2712.58</v>
      </c>
      <c r="D707" s="41">
        <v>10904.16</v>
      </c>
      <c r="E707" s="34">
        <f t="shared" si="50"/>
        <v>10386.885245902664</v>
      </c>
      <c r="F707" s="35">
        <f t="shared" si="51"/>
        <v>10903.491059393802</v>
      </c>
      <c r="G707" s="35">
        <f t="shared" si="52"/>
        <v>10772.524421058471</v>
      </c>
      <c r="H707" s="36">
        <f t="shared" si="53"/>
        <v>-0.66894060619779339</v>
      </c>
      <c r="I707" s="36">
        <f t="shared" si="54"/>
        <v>0.44748153462027129</v>
      </c>
    </row>
    <row r="708" spans="3:9" x14ac:dyDescent="0.25">
      <c r="C708" s="41">
        <v>2715.63</v>
      </c>
      <c r="D708" s="41">
        <v>10920</v>
      </c>
      <c r="E708" s="34">
        <f t="shared" si="50"/>
        <v>10386.885245901116</v>
      </c>
      <c r="F708" s="35">
        <f t="shared" si="51"/>
        <v>10919.924858550528</v>
      </c>
      <c r="G708" s="35">
        <f t="shared" si="52"/>
        <v>10779.999927466657</v>
      </c>
      <c r="H708" s="36">
        <f t="shared" si="53"/>
        <v>-7.514144947163004E-2</v>
      </c>
      <c r="I708" s="36">
        <f t="shared" si="54"/>
        <v>5.6462374286975307E-3</v>
      </c>
    </row>
    <row r="709" spans="3:9" x14ac:dyDescent="0.25">
      <c r="C709" s="41">
        <v>2718.68</v>
      </c>
      <c r="D709" s="41">
        <v>10935.88</v>
      </c>
      <c r="E709" s="34">
        <f t="shared" si="50"/>
        <v>10413.114754098768</v>
      </c>
      <c r="F709" s="35">
        <f t="shared" si="51"/>
        <v>10936.370061809588</v>
      </c>
      <c r="G709" s="35">
        <f t="shared" si="52"/>
        <v>10787.480621442201</v>
      </c>
      <c r="H709" s="36">
        <f t="shared" si="53"/>
        <v>0.49006180958895129</v>
      </c>
      <c r="I709" s="36">
        <f t="shared" si="54"/>
        <v>0.24016057721759757</v>
      </c>
    </row>
    <row r="710" spans="3:9" x14ac:dyDescent="0.25">
      <c r="C710" s="41">
        <v>2721.73</v>
      </c>
      <c r="D710" s="41">
        <v>10951.76</v>
      </c>
      <c r="E710" s="34">
        <f t="shared" si="50"/>
        <v>10413.114754098408</v>
      </c>
      <c r="F710" s="35">
        <f t="shared" si="51"/>
        <v>10952.826677084768</v>
      </c>
      <c r="G710" s="35">
        <f t="shared" si="52"/>
        <v>10794.966506584973</v>
      </c>
      <c r="H710" s="36">
        <f t="shared" si="53"/>
        <v>1.0666770847674343</v>
      </c>
      <c r="I710" s="36">
        <f t="shared" si="54"/>
        <v>1.1378000031679523</v>
      </c>
    </row>
    <row r="711" spans="3:9" x14ac:dyDescent="0.25">
      <c r="C711" s="41">
        <v>2724.79</v>
      </c>
      <c r="D711" s="41">
        <v>10967.64</v>
      </c>
      <c r="E711" s="34">
        <f t="shared" si="50"/>
        <v>10379.084967319923</v>
      </c>
      <c r="F711" s="35">
        <f t="shared" si="51"/>
        <v>10969.348724644704</v>
      </c>
      <c r="G711" s="35">
        <f t="shared" si="52"/>
        <v>10802.482155962985</v>
      </c>
      <c r="H711" s="36">
        <f t="shared" si="53"/>
        <v>1.708724644704489</v>
      </c>
      <c r="I711" s="36">
        <f t="shared" si="54"/>
        <v>2.9197399114204825</v>
      </c>
    </row>
    <row r="712" spans="3:9" x14ac:dyDescent="0.25">
      <c r="C712" s="41">
        <v>2727.84</v>
      </c>
      <c r="D712" s="41">
        <v>10983.52</v>
      </c>
      <c r="E712" s="34">
        <f t="shared" si="50"/>
        <v>10413.114754098408</v>
      </c>
      <c r="F712" s="35">
        <f t="shared" si="51"/>
        <v>10985.828225196885</v>
      </c>
      <c r="G712" s="35">
        <f t="shared" si="52"/>
        <v>10809.978451299605</v>
      </c>
      <c r="H712" s="36">
        <f t="shared" si="53"/>
        <v>2.3082251968844503</v>
      </c>
      <c r="I712" s="36">
        <f t="shared" si="54"/>
        <v>5.3279035595322588</v>
      </c>
    </row>
    <row r="713" spans="3:9" x14ac:dyDescent="0.25">
      <c r="C713" s="41">
        <v>2730.9</v>
      </c>
      <c r="D713" s="41">
        <v>10999.4</v>
      </c>
      <c r="E713" s="34">
        <f t="shared" ref="E713:E776" si="55">IF(C713="","",2*(D713-D712)/((C713-C712)/1000))</f>
        <v>10379.084967319923</v>
      </c>
      <c r="F713" s="35">
        <f t="shared" ref="F713:F776" si="56">IF(C713="","",F$7+(F$9/F$10)*(EXP(F$10*(C713-F$8)/2000)-1))</f>
        <v>11002.373249026765</v>
      </c>
      <c r="G713" s="35">
        <f t="shared" ref="G713:G776" si="57">IF(E713="","",F$9+(F713-F$7)*F$10)</f>
        <v>10817.50455226289</v>
      </c>
      <c r="H713" s="36">
        <f t="shared" ref="H713:H776" si="58">IF(F713="","",F713-D713)</f>
        <v>2.9732490267651883</v>
      </c>
      <c r="I713" s="36">
        <f t="shared" ref="I713:I776" si="59">IF(H713="","",H713^2)</f>
        <v>8.8402097751601403</v>
      </c>
    </row>
    <row r="714" spans="3:9" x14ac:dyDescent="0.25">
      <c r="C714" s="41">
        <v>2733.95</v>
      </c>
      <c r="D714" s="41">
        <v>11015.29</v>
      </c>
      <c r="E714" s="34">
        <f t="shared" si="55"/>
        <v>10419.672131149286</v>
      </c>
      <c r="F714" s="35">
        <f t="shared" si="56"/>
        <v>11018.875666681197</v>
      </c>
      <c r="G714" s="35">
        <f t="shared" si="57"/>
        <v>10825.01127227022</v>
      </c>
      <c r="H714" s="36">
        <f t="shared" si="58"/>
        <v>3.5856666811960167</v>
      </c>
      <c r="I714" s="36">
        <f t="shared" si="59"/>
        <v>12.857005548639258</v>
      </c>
    </row>
    <row r="715" spans="3:9" x14ac:dyDescent="0.25">
      <c r="C715" s="41">
        <v>2736.9</v>
      </c>
      <c r="D715" s="41">
        <v>11031.17</v>
      </c>
      <c r="E715" s="34">
        <f t="shared" si="55"/>
        <v>10766.101694913716</v>
      </c>
      <c r="F715" s="35">
        <f t="shared" si="56"/>
        <v>11034.84791605455</v>
      </c>
      <c r="G715" s="35">
        <f t="shared" si="57"/>
        <v>10832.276826108679</v>
      </c>
      <c r="H715" s="36">
        <f t="shared" si="58"/>
        <v>3.6779160545502236</v>
      </c>
      <c r="I715" s="36">
        <f t="shared" si="59"/>
        <v>13.527066504318283</v>
      </c>
    </row>
    <row r="716" spans="3:9" x14ac:dyDescent="0.25">
      <c r="C716" s="41">
        <v>2739.8</v>
      </c>
      <c r="D716" s="41">
        <v>11047.05</v>
      </c>
      <c r="E716" s="34">
        <f t="shared" si="55"/>
        <v>10951.724137930139</v>
      </c>
      <c r="F716" s="35">
        <f t="shared" si="56"/>
        <v>11050.55989857528</v>
      </c>
      <c r="G716" s="35">
        <f t="shared" si="57"/>
        <v>10839.4239881799</v>
      </c>
      <c r="H716" s="36">
        <f t="shared" si="58"/>
        <v>3.5098985752811132</v>
      </c>
      <c r="I716" s="36">
        <f t="shared" si="59"/>
        <v>12.319388008760388</v>
      </c>
    </row>
    <row r="717" spans="3:9" x14ac:dyDescent="0.25">
      <c r="C717" s="41">
        <v>2742.71</v>
      </c>
      <c r="D717" s="41">
        <v>11062.93</v>
      </c>
      <c r="E717" s="34">
        <f t="shared" si="55"/>
        <v>10914.089347080284</v>
      </c>
      <c r="F717" s="35">
        <f t="shared" si="56"/>
        <v>11066.336480840537</v>
      </c>
      <c r="G717" s="35">
        <f t="shared" si="57"/>
        <v>10846.600535775404</v>
      </c>
      <c r="H717" s="36">
        <f t="shared" si="58"/>
        <v>3.4064808405364602</v>
      </c>
      <c r="I717" s="36">
        <f t="shared" si="59"/>
        <v>11.604111716941988</v>
      </c>
    </row>
    <row r="718" spans="3:9" x14ac:dyDescent="0.25">
      <c r="C718" s="41">
        <v>2745.61</v>
      </c>
      <c r="D718" s="41">
        <v>11078.81</v>
      </c>
      <c r="E718" s="34">
        <f t="shared" si="55"/>
        <v>10951.724137930139</v>
      </c>
      <c r="F718" s="35">
        <f t="shared" si="56"/>
        <v>11082.069239591372</v>
      </c>
      <c r="G718" s="35">
        <f t="shared" si="57"/>
        <v>10853.757148664405</v>
      </c>
      <c r="H718" s="36">
        <f t="shared" si="58"/>
        <v>3.2592395913725341</v>
      </c>
      <c r="I718" s="36">
        <f t="shared" si="59"/>
        <v>10.622642713970203</v>
      </c>
    </row>
    <row r="719" spans="3:9" x14ac:dyDescent="0.25">
      <c r="C719" s="41">
        <v>2748.51</v>
      </c>
      <c r="D719" s="41">
        <v>11094.7</v>
      </c>
      <c r="E719" s="34">
        <f t="shared" si="55"/>
        <v>10958.620689655681</v>
      </c>
      <c r="F719" s="35">
        <f t="shared" si="56"/>
        <v>11097.81237885394</v>
      </c>
      <c r="G719" s="35">
        <f t="shared" si="57"/>
        <v>10860.918483503654</v>
      </c>
      <c r="H719" s="36">
        <f t="shared" si="58"/>
        <v>3.1123788539389352</v>
      </c>
      <c r="I719" s="36">
        <f t="shared" si="59"/>
        <v>9.6869021304462404</v>
      </c>
    </row>
    <row r="720" spans="3:9" x14ac:dyDescent="0.25">
      <c r="C720" s="41">
        <v>2751.42</v>
      </c>
      <c r="D720" s="41">
        <v>11110.58</v>
      </c>
      <c r="E720" s="34">
        <f t="shared" si="55"/>
        <v>10914.089347079032</v>
      </c>
      <c r="F720" s="35">
        <f t="shared" si="56"/>
        <v>11113.620245961831</v>
      </c>
      <c r="G720" s="35">
        <f t="shared" si="57"/>
        <v>10868.109262138452</v>
      </c>
      <c r="H720" s="36">
        <f t="shared" si="58"/>
        <v>3.0402459618308058</v>
      </c>
      <c r="I720" s="36">
        <f t="shared" si="59"/>
        <v>9.2430955084285209</v>
      </c>
    </row>
    <row r="721" spans="3:9" x14ac:dyDescent="0.25">
      <c r="C721" s="41">
        <v>2754.33</v>
      </c>
      <c r="D721" s="41">
        <v>11126.51</v>
      </c>
      <c r="E721" s="34">
        <f t="shared" si="55"/>
        <v>10948.45360824817</v>
      </c>
      <c r="F721" s="35">
        <f t="shared" si="56"/>
        <v>11129.438579115778</v>
      </c>
      <c r="G721" s="35">
        <f t="shared" si="57"/>
        <v>10875.304801631872</v>
      </c>
      <c r="H721" s="36">
        <f t="shared" si="58"/>
        <v>2.9285791157781205</v>
      </c>
      <c r="I721" s="36">
        <f t="shared" si="59"/>
        <v>8.5765756373717572</v>
      </c>
    </row>
    <row r="722" spans="3:9" x14ac:dyDescent="0.25">
      <c r="C722" s="41">
        <v>2757.24</v>
      </c>
      <c r="D722" s="41">
        <v>11142.45</v>
      </c>
      <c r="E722" s="34">
        <f t="shared" si="55"/>
        <v>10955.326460481998</v>
      </c>
      <c r="F722" s="35">
        <f t="shared" si="56"/>
        <v>11145.267385245123</v>
      </c>
      <c r="G722" s="35">
        <f t="shared" si="57"/>
        <v>10882.505105135971</v>
      </c>
      <c r="H722" s="36">
        <f t="shared" si="58"/>
        <v>2.8173852451218409</v>
      </c>
      <c r="I722" s="36">
        <f t="shared" si="59"/>
        <v>7.9376596194302556</v>
      </c>
    </row>
    <row r="723" spans="3:9" x14ac:dyDescent="0.25">
      <c r="C723" s="41">
        <v>2760.16</v>
      </c>
      <c r="D723" s="41">
        <v>11158.4</v>
      </c>
      <c r="E723" s="34">
        <f t="shared" si="55"/>
        <v>10924.657534245556</v>
      </c>
      <c r="F723" s="35">
        <f t="shared" si="56"/>
        <v>11161.161119896595</v>
      </c>
      <c r="G723" s="35">
        <f t="shared" si="57"/>
        <v>10889.734943720705</v>
      </c>
      <c r="H723" s="36">
        <f t="shared" si="58"/>
        <v>2.7611198965951189</v>
      </c>
      <c r="I723" s="36">
        <f t="shared" si="59"/>
        <v>7.6237830833734401</v>
      </c>
    </row>
    <row r="724" spans="3:9" x14ac:dyDescent="0.25">
      <c r="C724" s="41">
        <v>2763.07</v>
      </c>
      <c r="D724" s="41">
        <v>11174.34</v>
      </c>
      <c r="E724" s="34">
        <f t="shared" si="55"/>
        <v>10955.326460480286</v>
      </c>
      <c r="F724" s="35">
        <f t="shared" si="56"/>
        <v>11177.010928832369</v>
      </c>
      <c r="G724" s="35">
        <f t="shared" si="57"/>
        <v>10896.944801109001</v>
      </c>
      <c r="H724" s="36">
        <f t="shared" si="58"/>
        <v>2.6709288323690998</v>
      </c>
      <c r="I724" s="36">
        <f t="shared" si="59"/>
        <v>7.1338608275805626</v>
      </c>
    </row>
    <row r="725" spans="3:9" x14ac:dyDescent="0.25">
      <c r="C725" s="41">
        <v>2765.99</v>
      </c>
      <c r="D725" s="41">
        <v>11190.28</v>
      </c>
      <c r="E725" s="34">
        <f t="shared" si="55"/>
        <v>10917.808219179858</v>
      </c>
      <c r="F725" s="35">
        <f t="shared" si="56"/>
        <v>11192.925752442126</v>
      </c>
      <c r="G725" s="35">
        <f t="shared" si="57"/>
        <v>10904.184232767211</v>
      </c>
      <c r="H725" s="36">
        <f t="shared" si="58"/>
        <v>2.6457524421257403</v>
      </c>
      <c r="I725" s="36">
        <f t="shared" si="59"/>
        <v>7.0000059850143188</v>
      </c>
    </row>
    <row r="726" spans="3:9" x14ac:dyDescent="0.25">
      <c r="C726" s="41">
        <v>2768.9</v>
      </c>
      <c r="D726" s="41">
        <v>11206.22</v>
      </c>
      <c r="E726" s="34">
        <f t="shared" si="55"/>
        <v>10955.326460479037</v>
      </c>
      <c r="F726" s="35">
        <f t="shared" si="56"/>
        <v>11208.796592052367</v>
      </c>
      <c r="G726" s="35">
        <f t="shared" si="57"/>
        <v>10911.403656716486</v>
      </c>
      <c r="H726" s="36">
        <f t="shared" si="58"/>
        <v>2.5765920523681416</v>
      </c>
      <c r="I726" s="36">
        <f t="shared" si="59"/>
        <v>6.6388266043266722</v>
      </c>
    </row>
    <row r="727" spans="3:9" x14ac:dyDescent="0.25">
      <c r="C727" s="41">
        <v>2771.82</v>
      </c>
      <c r="D727" s="41">
        <v>11222.16</v>
      </c>
      <c r="E727" s="34">
        <f t="shared" si="55"/>
        <v>10917.80821917816</v>
      </c>
      <c r="F727" s="35">
        <f t="shared" si="56"/>
        <v>11224.732532602779</v>
      </c>
      <c r="G727" s="35">
        <f t="shared" si="57"/>
        <v>10918.652694176963</v>
      </c>
      <c r="H727" s="36">
        <f t="shared" si="58"/>
        <v>2.572532602778665</v>
      </c>
      <c r="I727" s="36">
        <f t="shared" si="59"/>
        <v>6.6179239923591728</v>
      </c>
    </row>
    <row r="728" spans="3:9" x14ac:dyDescent="0.25">
      <c r="C728" s="41">
        <v>2774.73</v>
      </c>
      <c r="D728" s="41">
        <v>11238.11</v>
      </c>
      <c r="E728" s="34">
        <f t="shared" si="55"/>
        <v>10962.199312715824</v>
      </c>
      <c r="F728" s="35">
        <f t="shared" si="56"/>
        <v>11240.624430792503</v>
      </c>
      <c r="G728" s="35">
        <f t="shared" si="57"/>
        <v>10925.881697380817</v>
      </c>
      <c r="H728" s="36">
        <f t="shared" si="58"/>
        <v>2.5144307925020257</v>
      </c>
      <c r="I728" s="36">
        <f t="shared" si="59"/>
        <v>6.3223622102823649</v>
      </c>
    </row>
    <row r="729" spans="3:9" x14ac:dyDescent="0.25">
      <c r="C729" s="41">
        <v>2777.65</v>
      </c>
      <c r="D729" s="41">
        <v>11254.05</v>
      </c>
      <c r="E729" s="34">
        <f t="shared" si="55"/>
        <v>10917.808219176914</v>
      </c>
      <c r="F729" s="35">
        <f t="shared" si="56"/>
        <v>11256.581516303046</v>
      </c>
      <c r="G729" s="35">
        <f t="shared" si="57"/>
        <v>10933.140353389232</v>
      </c>
      <c r="H729" s="36">
        <f t="shared" si="58"/>
        <v>2.5315163030463737</v>
      </c>
      <c r="I729" s="36">
        <f t="shared" si="59"/>
        <v>6.4085747925895795</v>
      </c>
    </row>
    <row r="730" spans="3:9" x14ac:dyDescent="0.25">
      <c r="C730" s="41">
        <v>2780.56</v>
      </c>
      <c r="D730" s="41">
        <v>11269.99</v>
      </c>
      <c r="E730" s="34">
        <f t="shared" si="55"/>
        <v>10955.326460481998</v>
      </c>
      <c r="F730" s="35">
        <f t="shared" si="56"/>
        <v>11272.494501014309</v>
      </c>
      <c r="G730" s="35">
        <f t="shared" si="57"/>
        <v>10940.378948558122</v>
      </c>
      <c r="H730" s="36">
        <f t="shared" si="58"/>
        <v>2.504501014309426</v>
      </c>
      <c r="I730" s="36">
        <f t="shared" si="59"/>
        <v>6.2725253306769435</v>
      </c>
    </row>
    <row r="731" spans="3:9" x14ac:dyDescent="0.25">
      <c r="C731" s="41">
        <v>2783.47</v>
      </c>
      <c r="D731" s="41">
        <v>11285.93</v>
      </c>
      <c r="E731" s="34">
        <f t="shared" si="55"/>
        <v>10955.326460481998</v>
      </c>
      <c r="F731" s="35">
        <f t="shared" si="56"/>
        <v>11288.418021367719</v>
      </c>
      <c r="G731" s="35">
        <f t="shared" si="57"/>
        <v>10947.622336243923</v>
      </c>
      <c r="H731" s="36">
        <f t="shared" si="58"/>
        <v>2.4880213677188294</v>
      </c>
      <c r="I731" s="36">
        <f t="shared" si="59"/>
        <v>6.1902503262254749</v>
      </c>
    </row>
    <row r="732" spans="3:9" x14ac:dyDescent="0.25">
      <c r="C732" s="41">
        <v>2786.39</v>
      </c>
      <c r="D732" s="41">
        <v>11301.88</v>
      </c>
      <c r="E732" s="34">
        <f t="shared" si="55"/>
        <v>10924.657534245556</v>
      </c>
      <c r="F732" s="35">
        <f t="shared" si="56"/>
        <v>11304.406858753577</v>
      </c>
      <c r="G732" s="35">
        <f t="shared" si="57"/>
        <v>10954.895435738297</v>
      </c>
      <c r="H732" s="36">
        <f t="shared" si="58"/>
        <v>2.5268587535774714</v>
      </c>
      <c r="I732" s="36">
        <f t="shared" si="59"/>
        <v>6.3850151605310925</v>
      </c>
    </row>
    <row r="733" spans="3:9" x14ac:dyDescent="0.25">
      <c r="C733" s="41">
        <v>2789.31</v>
      </c>
      <c r="D733" s="41">
        <v>11317.86</v>
      </c>
      <c r="E733" s="34">
        <f t="shared" si="55"/>
        <v>10945.205479452728</v>
      </c>
      <c r="F733" s="35">
        <f t="shared" si="56"/>
        <v>11320.406318391606</v>
      </c>
      <c r="G733" s="35">
        <f t="shared" si="57"/>
        <v>10962.173367147276</v>
      </c>
      <c r="H733" s="36">
        <f t="shared" si="58"/>
        <v>2.5463183916053822</v>
      </c>
      <c r="I733" s="36">
        <f t="shared" si="59"/>
        <v>6.4837373514278207</v>
      </c>
    </row>
    <row r="734" spans="3:9" x14ac:dyDescent="0.25">
      <c r="C734" s="41">
        <v>2792.24</v>
      </c>
      <c r="D734" s="41">
        <v>11333.87</v>
      </c>
      <c r="E734" s="34">
        <f t="shared" si="55"/>
        <v>10928.327645051953</v>
      </c>
      <c r="F734" s="35">
        <f t="shared" si="56"/>
        <v>11336.471254681783</v>
      </c>
      <c r="G734" s="35">
        <f t="shared" si="57"/>
        <v>10969.481082973603</v>
      </c>
      <c r="H734" s="36">
        <f t="shared" si="58"/>
        <v>2.6012546817819384</v>
      </c>
      <c r="I734" s="36">
        <f t="shared" si="59"/>
        <v>6.7665259194924534</v>
      </c>
    </row>
    <row r="735" spans="3:9" x14ac:dyDescent="0.25">
      <c r="C735" s="41">
        <v>2795.16</v>
      </c>
      <c r="D735" s="41">
        <v>11349.88</v>
      </c>
      <c r="E735" s="34">
        <f t="shared" si="55"/>
        <v>10965.753424656164</v>
      </c>
      <c r="F735" s="35">
        <f t="shared" si="56"/>
        <v>11352.49201643772</v>
      </c>
      <c r="G735" s="35">
        <f t="shared" si="57"/>
        <v>10976.768704419403</v>
      </c>
      <c r="H735" s="36">
        <f t="shared" si="58"/>
        <v>2.6120164377207402</v>
      </c>
      <c r="I735" s="36">
        <f t="shared" si="59"/>
        <v>6.8226298709233459</v>
      </c>
    </row>
    <row r="736" spans="3:9" x14ac:dyDescent="0.25">
      <c r="C736" s="41">
        <v>2798.09</v>
      </c>
      <c r="D736" s="41">
        <v>11365.88</v>
      </c>
      <c r="E736" s="34">
        <f t="shared" si="55"/>
        <v>10921.501706483557</v>
      </c>
      <c r="F736" s="35">
        <f t="shared" si="56"/>
        <v>11368.578342023211</v>
      </c>
      <c r="G736" s="35">
        <f t="shared" si="57"/>
        <v>10984.086149938339</v>
      </c>
      <c r="H736" s="36">
        <f t="shared" si="58"/>
        <v>2.6983420232118078</v>
      </c>
      <c r="I736" s="36">
        <f t="shared" si="59"/>
        <v>7.2810496742307924</v>
      </c>
    </row>
    <row r="737" spans="3:9" x14ac:dyDescent="0.25">
      <c r="C737" s="41">
        <v>2801.02</v>
      </c>
      <c r="D737" s="41">
        <v>11381.89</v>
      </c>
      <c r="E737" s="34">
        <f t="shared" si="55"/>
        <v>10928.327645051953</v>
      </c>
      <c r="F737" s="35">
        <f t="shared" si="56"/>
        <v>11384.675391239141</v>
      </c>
      <c r="G737" s="35">
        <f t="shared" si="57"/>
        <v>10991.408473487445</v>
      </c>
      <c r="H737" s="36">
        <f t="shared" si="58"/>
        <v>2.7853912391419726</v>
      </c>
      <c r="I737" s="36">
        <f t="shared" si="59"/>
        <v>7.758404355088854</v>
      </c>
    </row>
    <row r="738" spans="3:9" x14ac:dyDescent="0.25">
      <c r="C738" s="41">
        <v>2803.94</v>
      </c>
      <c r="D738" s="41">
        <v>11397.9</v>
      </c>
      <c r="E738" s="34">
        <f t="shared" si="55"/>
        <v>10965.753424657411</v>
      </c>
      <c r="F738" s="35">
        <f t="shared" si="56"/>
        <v>11400.72817761837</v>
      </c>
      <c r="G738" s="35">
        <f t="shared" si="57"/>
        <v>10998.71066248846</v>
      </c>
      <c r="H738" s="36">
        <f t="shared" si="58"/>
        <v>2.8281776183703187</v>
      </c>
      <c r="I738" s="36">
        <f t="shared" si="59"/>
        <v>7.9985886410508078</v>
      </c>
    </row>
    <row r="739" spans="3:9" x14ac:dyDescent="0.25">
      <c r="C739" s="41">
        <v>2806.87</v>
      </c>
      <c r="D739" s="41">
        <v>11413.91</v>
      </c>
      <c r="E739" s="34">
        <f t="shared" si="55"/>
        <v>10928.327645051953</v>
      </c>
      <c r="F739" s="35">
        <f t="shared" si="56"/>
        <v>11416.846658885641</v>
      </c>
      <c r="G739" s="35">
        <f t="shared" si="57"/>
        <v>11006.042735179293</v>
      </c>
      <c r="H739" s="36">
        <f t="shared" si="58"/>
        <v>2.936658885641009</v>
      </c>
      <c r="I739" s="36">
        <f t="shared" si="59"/>
        <v>8.6239654106142929</v>
      </c>
    </row>
    <row r="740" spans="3:9" x14ac:dyDescent="0.25">
      <c r="C740" s="41">
        <v>2809.8</v>
      </c>
      <c r="D740" s="41">
        <v>11429.91</v>
      </c>
      <c r="E740" s="34">
        <f t="shared" si="55"/>
        <v>10921.501706483557</v>
      </c>
      <c r="F740" s="35">
        <f t="shared" si="56"/>
        <v>11432.975885219312</v>
      </c>
      <c r="G740" s="35">
        <f t="shared" si="57"/>
        <v>11013.379695651218</v>
      </c>
      <c r="H740" s="36">
        <f t="shared" si="58"/>
        <v>3.0658852193118946</v>
      </c>
      <c r="I740" s="36">
        <f t="shared" si="59"/>
        <v>9.3996521779951436</v>
      </c>
    </row>
    <row r="741" spans="3:9" x14ac:dyDescent="0.25">
      <c r="C741" s="41">
        <v>2812.72</v>
      </c>
      <c r="D741" s="41">
        <v>11445.92</v>
      </c>
      <c r="E741" s="34">
        <f t="shared" si="55"/>
        <v>10965.753424659117</v>
      </c>
      <c r="F741" s="35">
        <f t="shared" si="56"/>
        <v>11449.060760237286</v>
      </c>
      <c r="G741" s="35">
        <f t="shared" si="57"/>
        <v>11020.696481327188</v>
      </c>
      <c r="H741" s="36">
        <f t="shared" si="58"/>
        <v>3.1407602372855763</v>
      </c>
      <c r="I741" s="36">
        <f t="shared" si="59"/>
        <v>9.8643748681141492</v>
      </c>
    </row>
    <row r="742" spans="3:9" x14ac:dyDescent="0.25">
      <c r="C742" s="41">
        <v>2815.65</v>
      </c>
      <c r="D742" s="41">
        <v>11461.93</v>
      </c>
      <c r="E742" s="34">
        <f t="shared" si="55"/>
        <v>10928.327645050258</v>
      </c>
      <c r="F742" s="35">
        <f t="shared" si="56"/>
        <v>11465.211461463787</v>
      </c>
      <c r="G742" s="35">
        <f t="shared" si="57"/>
        <v>11028.043210428837</v>
      </c>
      <c r="H742" s="36">
        <f t="shared" si="58"/>
        <v>3.2814614637863997</v>
      </c>
      <c r="I742" s="36">
        <f t="shared" si="59"/>
        <v>10.76798933831518</v>
      </c>
    </row>
    <row r="743" spans="3:9" x14ac:dyDescent="0.25">
      <c r="C743" s="41">
        <v>2818.58</v>
      </c>
      <c r="D743" s="41">
        <v>11477.94</v>
      </c>
      <c r="E743" s="34">
        <f t="shared" si="55"/>
        <v>10928.327645051953</v>
      </c>
      <c r="F743" s="35">
        <f t="shared" si="56"/>
        <v>11481.372929235482</v>
      </c>
      <c r="G743" s="35">
        <f t="shared" si="57"/>
        <v>11035.394837081982</v>
      </c>
      <c r="H743" s="36">
        <f t="shared" si="58"/>
        <v>3.4329292354814243</v>
      </c>
      <c r="I743" s="36">
        <f t="shared" si="59"/>
        <v>11.785003135823077</v>
      </c>
    </row>
    <row r="744" spans="3:9" x14ac:dyDescent="0.25">
      <c r="C744" s="41">
        <v>2821.5</v>
      </c>
      <c r="D744" s="41">
        <v>11493.94</v>
      </c>
      <c r="E744" s="34">
        <f t="shared" si="55"/>
        <v>10958.904109588768</v>
      </c>
      <c r="F744" s="35">
        <f t="shared" si="56"/>
        <v>11497.489957035634</v>
      </c>
      <c r="G744" s="35">
        <f t="shared" si="57"/>
        <v>11042.726248610863</v>
      </c>
      <c r="H744" s="36">
        <f t="shared" si="58"/>
        <v>3.5499570356332697</v>
      </c>
      <c r="I744" s="36">
        <f t="shared" si="59"/>
        <v>12.602194954842151</v>
      </c>
    </row>
    <row r="745" spans="3:9" x14ac:dyDescent="0.25">
      <c r="C745" s="41">
        <v>2824.43</v>
      </c>
      <c r="D745" s="41">
        <v>11509.96</v>
      </c>
      <c r="E745" s="34">
        <f t="shared" si="55"/>
        <v>10935.153583617415</v>
      </c>
      <c r="F745" s="35">
        <f t="shared" si="56"/>
        <v>11513.672942627296</v>
      </c>
      <c r="G745" s="35">
        <f t="shared" si="57"/>
        <v>11050.087663420687</v>
      </c>
      <c r="H745" s="36">
        <f t="shared" si="58"/>
        <v>3.7129426272967976</v>
      </c>
      <c r="I745" s="36">
        <f t="shared" si="59"/>
        <v>13.785942953597646</v>
      </c>
    </row>
    <row r="746" spans="3:9" x14ac:dyDescent="0.25">
      <c r="C746" s="41">
        <v>2827.36</v>
      </c>
      <c r="D746" s="41">
        <v>11525.98</v>
      </c>
      <c r="E746" s="34">
        <f t="shared" si="55"/>
        <v>10935.153583616961</v>
      </c>
      <c r="F746" s="35">
        <f t="shared" si="56"/>
        <v>11529.866716285876</v>
      </c>
      <c r="G746" s="35">
        <f t="shared" si="57"/>
        <v>11057.453985571941</v>
      </c>
      <c r="H746" s="36">
        <f t="shared" si="58"/>
        <v>3.8867162858769007</v>
      </c>
      <c r="I746" s="36">
        <f t="shared" si="59"/>
        <v>15.106563486900729</v>
      </c>
    </row>
    <row r="747" spans="3:9" x14ac:dyDescent="0.25">
      <c r="C747" s="41">
        <v>2830.29</v>
      </c>
      <c r="D747" s="41">
        <v>11542.01</v>
      </c>
      <c r="E747" s="34">
        <f t="shared" si="55"/>
        <v>10941.979522185358</v>
      </c>
      <c r="F747" s="35">
        <f t="shared" si="56"/>
        <v>11546.071285203036</v>
      </c>
      <c r="G747" s="35">
        <f t="shared" si="57"/>
        <v>11064.825218336004</v>
      </c>
      <c r="H747" s="36">
        <f t="shared" si="58"/>
        <v>4.0612852030353679</v>
      </c>
      <c r="I747" s="36">
        <f t="shared" si="59"/>
        <v>16.494037500394029</v>
      </c>
    </row>
    <row r="748" spans="3:9" x14ac:dyDescent="0.25">
      <c r="C748" s="41">
        <v>2833.22</v>
      </c>
      <c r="D748" s="41">
        <v>11558.03</v>
      </c>
      <c r="E748" s="34">
        <f t="shared" si="55"/>
        <v>10935.153583618656</v>
      </c>
      <c r="F748" s="35">
        <f t="shared" si="56"/>
        <v>11562.286656575216</v>
      </c>
      <c r="G748" s="35">
        <f t="shared" si="57"/>
        <v>11072.20136498644</v>
      </c>
      <c r="H748" s="36">
        <f t="shared" si="58"/>
        <v>4.2566565752149472</v>
      </c>
      <c r="I748" s="36">
        <f t="shared" si="59"/>
        <v>18.119125199320642</v>
      </c>
    </row>
    <row r="749" spans="3:9" x14ac:dyDescent="0.25">
      <c r="C749" s="41">
        <v>2836.15</v>
      </c>
      <c r="D749" s="41">
        <v>11574.05</v>
      </c>
      <c r="E749" s="34">
        <f t="shared" si="55"/>
        <v>10935.153583615718</v>
      </c>
      <c r="F749" s="35">
        <f t="shared" si="56"/>
        <v>11578.512837603661</v>
      </c>
      <c r="G749" s="35">
        <f t="shared" si="57"/>
        <v>11079.582428798996</v>
      </c>
      <c r="H749" s="36">
        <f t="shared" si="58"/>
        <v>4.4628376036616828</v>
      </c>
      <c r="I749" s="36">
        <f t="shared" si="59"/>
        <v>19.916919476656751</v>
      </c>
    </row>
    <row r="750" spans="3:9" x14ac:dyDescent="0.25">
      <c r="C750" s="41">
        <v>2839.08</v>
      </c>
      <c r="D750" s="41">
        <v>11590.07</v>
      </c>
      <c r="E750" s="34">
        <f t="shared" si="55"/>
        <v>10935.153583618656</v>
      </c>
      <c r="F750" s="35">
        <f t="shared" si="56"/>
        <v>11594.749835494413</v>
      </c>
      <c r="G750" s="35">
        <f t="shared" si="57"/>
        <v>11086.968413051596</v>
      </c>
      <c r="H750" s="36">
        <f t="shared" si="58"/>
        <v>4.6798354944130551</v>
      </c>
      <c r="I750" s="36">
        <f t="shared" si="59"/>
        <v>21.900860254768283</v>
      </c>
    </row>
    <row r="751" spans="3:9" x14ac:dyDescent="0.25">
      <c r="C751" s="41">
        <v>2842.02</v>
      </c>
      <c r="D751" s="41">
        <v>11606.1</v>
      </c>
      <c r="E751" s="34">
        <f t="shared" si="55"/>
        <v>10904.761904762148</v>
      </c>
      <c r="F751" s="35">
        <f t="shared" si="56"/>
        <v>11611.053129318008</v>
      </c>
      <c r="G751" s="35">
        <f t="shared" si="57"/>
        <v>11094.384554400929</v>
      </c>
      <c r="H751" s="36">
        <f t="shared" si="58"/>
        <v>4.9531293180079956</v>
      </c>
      <c r="I751" s="36">
        <f t="shared" si="59"/>
        <v>24.533490040910351</v>
      </c>
    </row>
    <row r="752" spans="3:9" x14ac:dyDescent="0.25">
      <c r="C752" s="41">
        <v>2844.95</v>
      </c>
      <c r="D752" s="41">
        <v>11622.12</v>
      </c>
      <c r="E752" s="34">
        <f t="shared" si="55"/>
        <v>10935.153583618656</v>
      </c>
      <c r="F752" s="35">
        <f t="shared" si="56"/>
        <v>11627.311819549937</v>
      </c>
      <c r="G752" s="35">
        <f t="shared" si="57"/>
        <v>11101.780406197482</v>
      </c>
      <c r="H752" s="36">
        <f t="shared" si="58"/>
        <v>5.1918195499365538</v>
      </c>
      <c r="I752" s="36">
        <f t="shared" si="59"/>
        <v>26.954990239103399</v>
      </c>
    </row>
    <row r="753" spans="3:9" x14ac:dyDescent="0.25">
      <c r="C753" s="41">
        <v>2847.89</v>
      </c>
      <c r="D753" s="41">
        <v>11638.14</v>
      </c>
      <c r="E753" s="34">
        <f t="shared" si="55"/>
        <v>10897.959183672327</v>
      </c>
      <c r="F753" s="35">
        <f t="shared" si="56"/>
        <v>11643.636894284904</v>
      </c>
      <c r="G753" s="35">
        <f t="shared" si="57"/>
        <v>11109.206455380114</v>
      </c>
      <c r="H753" s="36">
        <f t="shared" si="58"/>
        <v>5.4968942849045561</v>
      </c>
      <c r="I753" s="36">
        <f t="shared" si="59"/>
        <v>30.215846779416371</v>
      </c>
    </row>
    <row r="754" spans="3:9" x14ac:dyDescent="0.25">
      <c r="C754" s="41">
        <v>2850.82</v>
      </c>
      <c r="D754" s="41">
        <v>11654.17</v>
      </c>
      <c r="E754" s="34">
        <f t="shared" si="55"/>
        <v>10941.979522183661</v>
      </c>
      <c r="F754" s="35">
        <f t="shared" si="56"/>
        <v>11659.917305838602</v>
      </c>
      <c r="G754" s="35">
        <f t="shared" si="57"/>
        <v>11116.612187903489</v>
      </c>
      <c r="H754" s="36">
        <f t="shared" si="58"/>
        <v>5.7473058386021876</v>
      </c>
      <c r="I754" s="36">
        <f t="shared" si="59"/>
        <v>33.031524402430797</v>
      </c>
    </row>
    <row r="755" spans="3:9" x14ac:dyDescent="0.25">
      <c r="C755" s="41">
        <v>2853.76</v>
      </c>
      <c r="D755" s="41">
        <v>11670.19</v>
      </c>
      <c r="E755" s="34">
        <f t="shared" si="55"/>
        <v>10897.959183673564</v>
      </c>
      <c r="F755" s="35">
        <f t="shared" si="56"/>
        <v>11676.264190583846</v>
      </c>
      <c r="G755" s="35">
        <f t="shared" si="57"/>
        <v>11124.048158156107</v>
      </c>
      <c r="H755" s="36">
        <f t="shared" si="58"/>
        <v>6.0741905838458479</v>
      </c>
      <c r="I755" s="36">
        <f t="shared" si="59"/>
        <v>36.895791248881565</v>
      </c>
    </row>
    <row r="756" spans="3:9" x14ac:dyDescent="0.25">
      <c r="C756" s="41">
        <v>2856.69</v>
      </c>
      <c r="D756" s="41">
        <v>11686.21</v>
      </c>
      <c r="E756" s="34">
        <f t="shared" si="55"/>
        <v>10935.153583617415</v>
      </c>
      <c r="F756" s="35">
        <f t="shared" si="56"/>
        <v>11692.566352478605</v>
      </c>
      <c r="G756" s="35">
        <f t="shared" si="57"/>
        <v>11131.463784606773</v>
      </c>
      <c r="H756" s="36">
        <f t="shared" si="58"/>
        <v>6.3563524786059133</v>
      </c>
      <c r="I756" s="36">
        <f t="shared" si="59"/>
        <v>40.40321683227954</v>
      </c>
    </row>
    <row r="757" spans="3:9" x14ac:dyDescent="0.25">
      <c r="C757" s="41">
        <v>2859.63</v>
      </c>
      <c r="D757" s="41">
        <v>11702.24</v>
      </c>
      <c r="E757" s="34">
        <f t="shared" si="55"/>
        <v>10904.761904762148</v>
      </c>
      <c r="F757" s="35">
        <f t="shared" si="56"/>
        <v>11708.935076371921</v>
      </c>
      <c r="G757" s="35">
        <f t="shared" si="57"/>
        <v>11138.909689183756</v>
      </c>
      <c r="H757" s="36">
        <f t="shared" si="58"/>
        <v>6.6950763719214592</v>
      </c>
      <c r="I757" s="36">
        <f t="shared" si="59"/>
        <v>44.824047625861006</v>
      </c>
    </row>
    <row r="758" spans="3:9" x14ac:dyDescent="0.25">
      <c r="C758" s="41">
        <v>2862.56</v>
      </c>
      <c r="D758" s="41">
        <v>11718.26</v>
      </c>
      <c r="E758" s="34">
        <f t="shared" si="55"/>
        <v>10935.153583618656</v>
      </c>
      <c r="F758" s="35">
        <f t="shared" si="56"/>
        <v>11725.25901766581</v>
      </c>
      <c r="G758" s="35">
        <f t="shared" si="57"/>
        <v>11146.335222779824</v>
      </c>
      <c r="H758" s="36">
        <f t="shared" si="58"/>
        <v>6.9990176658102428</v>
      </c>
      <c r="I758" s="36">
        <f t="shared" si="59"/>
        <v>48.986248286323857</v>
      </c>
    </row>
    <row r="759" spans="3:9" x14ac:dyDescent="0.25">
      <c r="C759" s="41">
        <v>2865.5</v>
      </c>
      <c r="D759" s="41">
        <v>11734.28</v>
      </c>
      <c r="E759" s="34">
        <f t="shared" si="55"/>
        <v>10897.959183673564</v>
      </c>
      <c r="F759" s="35">
        <f t="shared" si="56"/>
        <v>11741.649609883907</v>
      </c>
      <c r="G759" s="35">
        <f t="shared" si="57"/>
        <v>11153.791074953251</v>
      </c>
      <c r="H759" s="36">
        <f t="shared" si="58"/>
        <v>7.3696098839063779</v>
      </c>
      <c r="I759" s="36">
        <f t="shared" si="59"/>
        <v>54.311149840970579</v>
      </c>
    </row>
    <row r="760" spans="3:9" x14ac:dyDescent="0.25">
      <c r="C760" s="41">
        <v>2868.43</v>
      </c>
      <c r="D760" s="41">
        <v>11750.31</v>
      </c>
      <c r="E760" s="34">
        <f t="shared" si="55"/>
        <v>10941.979522184116</v>
      </c>
      <c r="F760" s="35">
        <f t="shared" si="56"/>
        <v>11757.995359673827</v>
      </c>
      <c r="G760" s="35">
        <f t="shared" si="57"/>
        <v>11161.226528930496</v>
      </c>
      <c r="H760" s="36">
        <f t="shared" si="58"/>
        <v>7.6853596738274064</v>
      </c>
      <c r="I760" s="36">
        <f t="shared" si="59"/>
        <v>59.064753316092499</v>
      </c>
    </row>
    <row r="761" spans="3:9" x14ac:dyDescent="0.25">
      <c r="C761" s="41">
        <v>2871.37</v>
      </c>
      <c r="D761" s="41">
        <v>11766.33</v>
      </c>
      <c r="E761" s="34">
        <f t="shared" si="55"/>
        <v>10897.959183673564</v>
      </c>
      <c r="F761" s="35">
        <f t="shared" si="56"/>
        <v>11774.407849432397</v>
      </c>
      <c r="G761" s="35">
        <f t="shared" si="57"/>
        <v>11168.692341990178</v>
      </c>
      <c r="H761" s="36">
        <f t="shared" si="58"/>
        <v>8.0778494323967607</v>
      </c>
      <c r="I761" s="36">
        <f t="shared" si="59"/>
        <v>65.251651452472672</v>
      </c>
    </row>
    <row r="762" spans="3:9" x14ac:dyDescent="0.25">
      <c r="C762" s="41">
        <v>2874.3</v>
      </c>
      <c r="D762" s="41">
        <v>11782.35</v>
      </c>
      <c r="E762" s="34">
        <f t="shared" si="55"/>
        <v>10935.153583616961</v>
      </c>
      <c r="F762" s="35">
        <f t="shared" si="56"/>
        <v>11790.775436854105</v>
      </c>
      <c r="G762" s="35">
        <f t="shared" si="57"/>
        <v>11176.137729602051</v>
      </c>
      <c r="H762" s="36">
        <f t="shared" si="58"/>
        <v>8.4254368541041913</v>
      </c>
      <c r="I762" s="36">
        <f t="shared" si="59"/>
        <v>70.987986182497139</v>
      </c>
    </row>
    <row r="763" spans="3:9" x14ac:dyDescent="0.25">
      <c r="C763" s="41">
        <v>2877.23</v>
      </c>
      <c r="D763" s="41">
        <v>11798.38</v>
      </c>
      <c r="E763" s="34">
        <f t="shared" si="55"/>
        <v>10941.979522184116</v>
      </c>
      <c r="F763" s="35">
        <f t="shared" si="56"/>
        <v>11807.153935403889</v>
      </c>
      <c r="G763" s="35">
        <f t="shared" si="57"/>
        <v>11183.588080534157</v>
      </c>
      <c r="H763" s="36">
        <f t="shared" si="58"/>
        <v>8.7739354038894817</v>
      </c>
      <c r="I763" s="36">
        <f t="shared" si="59"/>
        <v>76.981942471625288</v>
      </c>
    </row>
    <row r="764" spans="3:9" x14ac:dyDescent="0.25">
      <c r="C764" s="41">
        <v>2880.17</v>
      </c>
      <c r="D764" s="41">
        <v>11814.4</v>
      </c>
      <c r="E764" s="34">
        <f t="shared" si="55"/>
        <v>10897.959183673564</v>
      </c>
      <c r="F764" s="35">
        <f t="shared" si="56"/>
        <v>11823.599307636066</v>
      </c>
      <c r="G764" s="35">
        <f t="shared" si="57"/>
        <v>11191.068851373218</v>
      </c>
      <c r="H764" s="36">
        <f t="shared" si="58"/>
        <v>9.1993076360668056</v>
      </c>
      <c r="I764" s="36">
        <f t="shared" si="59"/>
        <v>84.627260982997043</v>
      </c>
    </row>
    <row r="765" spans="3:9" x14ac:dyDescent="0.25">
      <c r="C765" s="41">
        <v>2883.1</v>
      </c>
      <c r="D765" s="41">
        <v>11830.42</v>
      </c>
      <c r="E765" s="34">
        <f t="shared" si="55"/>
        <v>10935.153583618656</v>
      </c>
      <c r="F765" s="35">
        <f t="shared" si="56"/>
        <v>11839.999687569396</v>
      </c>
      <c r="G765" s="35">
        <f t="shared" si="57"/>
        <v>11198.529155842018</v>
      </c>
      <c r="H765" s="36">
        <f t="shared" si="58"/>
        <v>9.5796875693959009</v>
      </c>
      <c r="I765" s="36">
        <f t="shared" si="59"/>
        <v>91.770413927238337</v>
      </c>
    </row>
    <row r="766" spans="3:9" x14ac:dyDescent="0.25">
      <c r="C766" s="41">
        <v>2886.04</v>
      </c>
      <c r="D766" s="41">
        <v>11846.44</v>
      </c>
      <c r="E766" s="34">
        <f t="shared" si="55"/>
        <v>10897.959183673564</v>
      </c>
      <c r="F766" s="35">
        <f t="shared" si="56"/>
        <v>11856.467030527177</v>
      </c>
      <c r="G766" s="35">
        <f t="shared" si="57"/>
        <v>11206.019920858231</v>
      </c>
      <c r="H766" s="36">
        <f t="shared" si="58"/>
        <v>10.027030527176976</v>
      </c>
      <c r="I766" s="36">
        <f t="shared" si="59"/>
        <v>100.54134119293899</v>
      </c>
    </row>
    <row r="767" spans="3:9" x14ac:dyDescent="0.25">
      <c r="C767" s="41">
        <v>2888.97</v>
      </c>
      <c r="D767" s="41">
        <v>11862.47</v>
      </c>
      <c r="E767" s="34">
        <f t="shared" si="55"/>
        <v>10941.979522184116</v>
      </c>
      <c r="F767" s="35">
        <f t="shared" si="56"/>
        <v>11872.889321077202</v>
      </c>
      <c r="G767" s="35">
        <f t="shared" si="57"/>
        <v>11213.490192161476</v>
      </c>
      <c r="H767" s="36">
        <f t="shared" si="58"/>
        <v>10.419321077202767</v>
      </c>
      <c r="I767" s="36">
        <f t="shared" si="59"/>
        <v>108.56225170984183</v>
      </c>
    </row>
    <row r="768" spans="3:9" x14ac:dyDescent="0.25">
      <c r="C768" s="41">
        <v>2891.91</v>
      </c>
      <c r="D768" s="41">
        <v>11878.49</v>
      </c>
      <c r="E768" s="34">
        <f t="shared" si="55"/>
        <v>10897.959183673564</v>
      </c>
      <c r="F768" s="35">
        <f t="shared" si="56"/>
        <v>11889.378664113083</v>
      </c>
      <c r="G768" s="35">
        <f t="shared" si="57"/>
        <v>11220.990964706882</v>
      </c>
      <c r="H768" s="36">
        <f t="shared" si="58"/>
        <v>10.888664113082996</v>
      </c>
      <c r="I768" s="36">
        <f t="shared" si="59"/>
        <v>118.5630061675415</v>
      </c>
    </row>
    <row r="769" spans="3:9" x14ac:dyDescent="0.25">
      <c r="C769" s="41">
        <v>2894.84</v>
      </c>
      <c r="D769" s="41">
        <v>11894.51</v>
      </c>
      <c r="E769" s="34">
        <f t="shared" si="55"/>
        <v>10935.153583616961</v>
      </c>
      <c r="F769" s="35">
        <f t="shared" si="56"/>
        <v>11905.822894551997</v>
      </c>
      <c r="G769" s="35">
        <f t="shared" si="57"/>
        <v>11228.471216160087</v>
      </c>
      <c r="H769" s="36">
        <f t="shared" si="58"/>
        <v>11.312894551996578</v>
      </c>
      <c r="I769" s="36">
        <f t="shared" si="59"/>
        <v>127.98158314459386</v>
      </c>
    </row>
    <row r="770" spans="3:9" x14ac:dyDescent="0.25">
      <c r="C770" s="41">
        <v>2897.78</v>
      </c>
      <c r="D770" s="41">
        <v>11910.54</v>
      </c>
      <c r="E770" s="34">
        <f t="shared" si="55"/>
        <v>10904.761904762148</v>
      </c>
      <c r="F770" s="35">
        <f t="shared" si="56"/>
        <v>11922.334267057699</v>
      </c>
      <c r="G770" s="35">
        <f t="shared" si="57"/>
        <v>11235.98200960457</v>
      </c>
      <c r="H770" s="36">
        <f t="shared" si="58"/>
        <v>11.794267057697652</v>
      </c>
      <c r="I770" s="36">
        <f t="shared" si="59"/>
        <v>139.10473542829203</v>
      </c>
    </row>
    <row r="771" spans="3:9" x14ac:dyDescent="0.25">
      <c r="C771" s="41">
        <v>2900.71</v>
      </c>
      <c r="D771" s="41">
        <v>11926.56</v>
      </c>
      <c r="E771" s="34">
        <f t="shared" si="55"/>
        <v>10935.153583617415</v>
      </c>
      <c r="F771" s="35">
        <f t="shared" si="56"/>
        <v>11938.800466696799</v>
      </c>
      <c r="G771" s="35">
        <f t="shared" si="57"/>
        <v>11243.472254541035</v>
      </c>
      <c r="H771" s="36">
        <f t="shared" si="58"/>
        <v>12.240466696799558</v>
      </c>
      <c r="I771" s="36">
        <f t="shared" si="59"/>
        <v>149.82902495545909</v>
      </c>
    </row>
    <row r="772" spans="3:9" x14ac:dyDescent="0.25">
      <c r="C772" s="41">
        <v>2903.65</v>
      </c>
      <c r="D772" s="41">
        <v>11942.58</v>
      </c>
      <c r="E772" s="34">
        <f t="shared" si="55"/>
        <v>10897.959183673564</v>
      </c>
      <c r="F772" s="35">
        <f t="shared" si="56"/>
        <v>11955.333898103298</v>
      </c>
      <c r="G772" s="35">
        <f t="shared" si="57"/>
        <v>11250.993082272338</v>
      </c>
      <c r="H772" s="36">
        <f t="shared" si="58"/>
        <v>12.753898103297615</v>
      </c>
      <c r="I772" s="36">
        <f t="shared" si="59"/>
        <v>162.66191682929852</v>
      </c>
    </row>
    <row r="773" spans="3:9" x14ac:dyDescent="0.25">
      <c r="C773" s="41">
        <v>2906.58</v>
      </c>
      <c r="D773" s="41">
        <v>11958.61</v>
      </c>
      <c r="E773" s="34">
        <f t="shared" si="55"/>
        <v>10941.979522185358</v>
      </c>
      <c r="F773" s="35">
        <f t="shared" si="56"/>
        <v>11971.82209629305</v>
      </c>
      <c r="G773" s="35">
        <f t="shared" si="57"/>
        <v>11258.493334043182</v>
      </c>
      <c r="H773" s="36">
        <f t="shared" si="58"/>
        <v>13.212096293049399</v>
      </c>
      <c r="I773" s="36">
        <f t="shared" si="59"/>
        <v>174.55948845680967</v>
      </c>
    </row>
    <row r="774" spans="3:9" x14ac:dyDescent="0.25">
      <c r="C774" s="41">
        <v>2909.52</v>
      </c>
      <c r="D774" s="41">
        <v>11974.63</v>
      </c>
      <c r="E774" s="34">
        <f t="shared" si="55"/>
        <v>10897.959183672327</v>
      </c>
      <c r="F774" s="35">
        <f t="shared" si="56"/>
        <v>11988.377616070647</v>
      </c>
      <c r="G774" s="35">
        <f t="shared" si="57"/>
        <v>11266.024209466934</v>
      </c>
      <c r="H774" s="36">
        <f t="shared" si="58"/>
        <v>13.747616070648291</v>
      </c>
      <c r="I774" s="36">
        <f t="shared" si="59"/>
        <v>188.99694762594717</v>
      </c>
    </row>
    <row r="775" spans="3:9" x14ac:dyDescent="0.25">
      <c r="C775" s="41">
        <v>2912.45</v>
      </c>
      <c r="D775" s="41">
        <v>11990.65</v>
      </c>
      <c r="E775" s="34">
        <f t="shared" si="55"/>
        <v>10935.153583618656</v>
      </c>
      <c r="F775" s="35">
        <f t="shared" si="56"/>
        <v>12004.887842200722</v>
      </c>
      <c r="G775" s="35">
        <f t="shared" si="57"/>
        <v>11273.534481441107</v>
      </c>
      <c r="H775" s="36">
        <f t="shared" si="58"/>
        <v>14.237842200722298</v>
      </c>
      <c r="I775" s="36">
        <f t="shared" si="59"/>
        <v>202.71615053266876</v>
      </c>
    </row>
    <row r="776" spans="3:9" x14ac:dyDescent="0.25">
      <c r="C776" s="41">
        <v>2915.38</v>
      </c>
      <c r="D776" s="41">
        <v>12006.68</v>
      </c>
      <c r="E776" s="34">
        <f t="shared" si="55"/>
        <v>10941.979522183661</v>
      </c>
      <c r="F776" s="35">
        <f t="shared" si="56"/>
        <v>12021.409074546149</v>
      </c>
      <c r="G776" s="35">
        <f t="shared" si="57"/>
        <v>11281.04975998939</v>
      </c>
      <c r="H776" s="36">
        <f t="shared" si="58"/>
        <v>14.729074546148695</v>
      </c>
      <c r="I776" s="36">
        <f t="shared" si="59"/>
        <v>216.94563698600538</v>
      </c>
    </row>
    <row r="777" spans="3:9" x14ac:dyDescent="0.25">
      <c r="C777" s="41">
        <v>2918.32</v>
      </c>
      <c r="D777" s="41">
        <v>12022.7</v>
      </c>
      <c r="E777" s="34">
        <f t="shared" ref="E777:E840" si="60">IF(C777="","",2*(D777-D776)/((C777-C776)/1000))</f>
        <v>10897.959183673564</v>
      </c>
      <c r="F777" s="35">
        <f t="shared" ref="F777:F840" si="61">IF(C777="","",F$7+(F$9/F$10)*(EXP(F$10*(C777-F$8)/2000)-1))</f>
        <v>12037.997763358431</v>
      </c>
      <c r="G777" s="35">
        <f t="shared" ref="G777:G840" si="62">IF(E777="","",F$9+(F777-F$7)*F$10)</f>
        <v>11288.595723545168</v>
      </c>
      <c r="H777" s="36">
        <f t="shared" ref="H777:H840" si="63">IF(F777="","",F777-D777)</f>
        <v>15.297763358430529</v>
      </c>
      <c r="I777" s="36">
        <f t="shared" ref="I777:I840" si="64">IF(H777="","",H777^2)</f>
        <v>234.0215637705397</v>
      </c>
    </row>
    <row r="778" spans="3:9" x14ac:dyDescent="0.25">
      <c r="C778" s="41">
        <v>2921.25</v>
      </c>
      <c r="D778" s="41">
        <v>12038.72</v>
      </c>
      <c r="E778" s="34">
        <f t="shared" si="60"/>
        <v>10935.153583617415</v>
      </c>
      <c r="F778" s="35">
        <f t="shared" si="61"/>
        <v>12054.541067777222</v>
      </c>
      <c r="G778" s="35">
        <f t="shared" si="62"/>
        <v>11296.121042372288</v>
      </c>
      <c r="H778" s="36">
        <f t="shared" si="63"/>
        <v>15.821067777222197</v>
      </c>
      <c r="I778" s="36">
        <f t="shared" si="64"/>
        <v>250.30618561145852</v>
      </c>
    </row>
    <row r="779" spans="3:9" x14ac:dyDescent="0.25">
      <c r="C779" s="41">
        <v>2924.19</v>
      </c>
      <c r="D779" s="41">
        <v>12054.74</v>
      </c>
      <c r="E779" s="34">
        <f t="shared" si="60"/>
        <v>10897.959183673564</v>
      </c>
      <c r="F779" s="35">
        <f t="shared" si="61"/>
        <v>12071.151918783515</v>
      </c>
      <c r="G779" s="35">
        <f t="shared" si="62"/>
        <v>11303.677087201526</v>
      </c>
      <c r="H779" s="36">
        <f t="shared" si="63"/>
        <v>16.411918783514921</v>
      </c>
      <c r="I779" s="36">
        <f t="shared" si="64"/>
        <v>269.35107815668988</v>
      </c>
    </row>
    <row r="780" spans="3:9" x14ac:dyDescent="0.25">
      <c r="C780" s="41">
        <v>2927.12</v>
      </c>
      <c r="D780" s="41">
        <v>12070.77</v>
      </c>
      <c r="E780" s="34">
        <f t="shared" si="60"/>
        <v>10941.979522185358</v>
      </c>
      <c r="F780" s="35">
        <f t="shared" si="61"/>
        <v>12087.717324763582</v>
      </c>
      <c r="G780" s="35">
        <f t="shared" si="62"/>
        <v>11311.212459721124</v>
      </c>
      <c r="H780" s="36">
        <f t="shared" si="63"/>
        <v>16.947324763581491</v>
      </c>
      <c r="I780" s="36">
        <f t="shared" si="64"/>
        <v>287.21181664230244</v>
      </c>
    </row>
    <row r="781" spans="3:9" x14ac:dyDescent="0.25">
      <c r="C781" s="41">
        <v>2930.06</v>
      </c>
      <c r="D781" s="41">
        <v>12086.79</v>
      </c>
      <c r="E781" s="34">
        <f t="shared" si="60"/>
        <v>10897.959183673564</v>
      </c>
      <c r="F781" s="35">
        <f t="shared" si="61"/>
        <v>12104.350367572182</v>
      </c>
      <c r="G781" s="35">
        <f t="shared" si="62"/>
        <v>11318.778599292229</v>
      </c>
      <c r="H781" s="36">
        <f t="shared" si="63"/>
        <v>17.560367572181349</v>
      </c>
      <c r="I781" s="36">
        <f t="shared" si="64"/>
        <v>308.36650927011829</v>
      </c>
    </row>
    <row r="782" spans="3:9" x14ac:dyDescent="0.25">
      <c r="C782" s="41">
        <v>2932.99</v>
      </c>
      <c r="D782" s="41">
        <v>12102.81</v>
      </c>
      <c r="E782" s="34">
        <f t="shared" si="60"/>
        <v>10935.153583617415</v>
      </c>
      <c r="F782" s="35">
        <f t="shared" si="61"/>
        <v>12120.937904640808</v>
      </c>
      <c r="G782" s="35">
        <f t="shared" si="62"/>
        <v>11326.324038935854</v>
      </c>
      <c r="H782" s="36">
        <f t="shared" si="63"/>
        <v>18.127904640808993</v>
      </c>
      <c r="I782" s="36">
        <f t="shared" si="64"/>
        <v>328.62092666626421</v>
      </c>
    </row>
    <row r="783" spans="3:9" x14ac:dyDescent="0.25">
      <c r="C783" s="41">
        <v>2935.81</v>
      </c>
      <c r="D783" s="41">
        <v>12118.84</v>
      </c>
      <c r="E783" s="34">
        <f t="shared" si="60"/>
        <v>11368.794326240941</v>
      </c>
      <c r="F783" s="35">
        <f t="shared" si="61"/>
        <v>12136.913144162432</v>
      </c>
      <c r="G783" s="35">
        <f t="shared" si="62"/>
        <v>11333.590952951126</v>
      </c>
      <c r="H783" s="36">
        <f t="shared" si="63"/>
        <v>18.073144162432072</v>
      </c>
      <c r="I783" s="36">
        <f t="shared" si="64"/>
        <v>326.63853991605248</v>
      </c>
    </row>
    <row r="784" spans="3:9" x14ac:dyDescent="0.25">
      <c r="C784" s="41">
        <v>2938.43</v>
      </c>
      <c r="D784" s="41">
        <v>12134.86</v>
      </c>
      <c r="E784" s="34">
        <f t="shared" si="60"/>
        <v>12229.00763358863</v>
      </c>
      <c r="F784" s="35">
        <f t="shared" si="61"/>
        <v>12151.76457286014</v>
      </c>
      <c r="G784" s="35">
        <f t="shared" si="62"/>
        <v>11340.346661070815</v>
      </c>
      <c r="H784" s="36">
        <f t="shared" si="63"/>
        <v>16.904572860139524</v>
      </c>
      <c r="I784" s="36">
        <f t="shared" si="64"/>
        <v>285.76458358376578</v>
      </c>
    </row>
    <row r="785" spans="3:9" x14ac:dyDescent="0.25">
      <c r="C785" s="41">
        <v>2941.05</v>
      </c>
      <c r="D785" s="41">
        <v>12150.88</v>
      </c>
      <c r="E785" s="34">
        <f t="shared" si="60"/>
        <v>12229.007633585117</v>
      </c>
      <c r="F785" s="35">
        <f t="shared" si="61"/>
        <v>12166.624854172866</v>
      </c>
      <c r="G785" s="35">
        <f t="shared" si="62"/>
        <v>11347.10639612181</v>
      </c>
      <c r="H785" s="36">
        <f t="shared" si="63"/>
        <v>15.744854172866326</v>
      </c>
      <c r="I785" s="36">
        <f t="shared" si="64"/>
        <v>247.90043292482616</v>
      </c>
    </row>
    <row r="786" spans="3:9" x14ac:dyDescent="0.25">
      <c r="C786" s="41">
        <v>2943.67</v>
      </c>
      <c r="D786" s="41">
        <v>12166.91</v>
      </c>
      <c r="E786" s="34">
        <f t="shared" si="60"/>
        <v>12236.641221375057</v>
      </c>
      <c r="F786" s="35">
        <f t="shared" si="61"/>
        <v>12181.493993377459</v>
      </c>
      <c r="G786" s="35">
        <f t="shared" si="62"/>
        <v>11353.870160504473</v>
      </c>
      <c r="H786" s="36">
        <f t="shared" si="63"/>
        <v>14.583993377458683</v>
      </c>
      <c r="I786" s="36">
        <f t="shared" si="64"/>
        <v>212.69286283375871</v>
      </c>
    </row>
    <row r="787" spans="3:9" x14ac:dyDescent="0.25">
      <c r="C787" s="41">
        <v>2946.28</v>
      </c>
      <c r="D787" s="41">
        <v>12182.93</v>
      </c>
      <c r="E787" s="34">
        <f t="shared" si="60"/>
        <v>12275.862068965253</v>
      </c>
      <c r="F787" s="35">
        <f t="shared" si="61"/>
        <v>12196.315192628725</v>
      </c>
      <c r="G787" s="35">
        <f t="shared" si="62"/>
        <v>11360.612117669898</v>
      </c>
      <c r="H787" s="36">
        <f t="shared" si="63"/>
        <v>13.385192628724326</v>
      </c>
      <c r="I787" s="36">
        <f t="shared" si="64"/>
        <v>179.16338170805602</v>
      </c>
    </row>
    <row r="788" spans="3:9" x14ac:dyDescent="0.25">
      <c r="C788" s="41">
        <v>2948.9</v>
      </c>
      <c r="D788" s="41">
        <v>12198.95</v>
      </c>
      <c r="E788" s="34">
        <f t="shared" si="60"/>
        <v>12229.00763358863</v>
      </c>
      <c r="F788" s="35">
        <f t="shared" si="61"/>
        <v>12211.202029601076</v>
      </c>
      <c r="G788" s="35">
        <f t="shared" si="62"/>
        <v>11367.383932520686</v>
      </c>
      <c r="H788" s="36">
        <f t="shared" si="63"/>
        <v>12.252029601075265</v>
      </c>
      <c r="I788" s="36">
        <f t="shared" si="64"/>
        <v>150.11222934562451</v>
      </c>
    </row>
    <row r="789" spans="3:9" x14ac:dyDescent="0.25">
      <c r="C789" s="41">
        <v>2951.52</v>
      </c>
      <c r="D789" s="41">
        <v>12214.98</v>
      </c>
      <c r="E789" s="34">
        <f t="shared" si="60"/>
        <v>12236.641221373668</v>
      </c>
      <c r="F789" s="35">
        <f t="shared" si="61"/>
        <v>12226.097740294545</v>
      </c>
      <c r="G789" s="35">
        <f t="shared" si="62"/>
        <v>11374.159783903653</v>
      </c>
      <c r="H789" s="36">
        <f t="shared" si="63"/>
        <v>11.117740294545001</v>
      </c>
      <c r="I789" s="36">
        <f t="shared" si="64"/>
        <v>123.60414925694957</v>
      </c>
    </row>
    <row r="790" spans="3:9" x14ac:dyDescent="0.25">
      <c r="C790" s="41">
        <v>2954.14</v>
      </c>
      <c r="D790" s="41">
        <v>12231</v>
      </c>
      <c r="E790" s="34">
        <f t="shared" si="60"/>
        <v>12229.00763358863</v>
      </c>
      <c r="F790" s="35">
        <f t="shared" si="61"/>
        <v>12241.002329998573</v>
      </c>
      <c r="G790" s="35">
        <f t="shared" si="62"/>
        <v>11380.93967422489</v>
      </c>
      <c r="H790" s="36">
        <f t="shared" si="63"/>
        <v>10.002329998573259</v>
      </c>
      <c r="I790" s="36">
        <f t="shared" si="64"/>
        <v>100.04660540035853</v>
      </c>
    </row>
    <row r="791" spans="3:9" x14ac:dyDescent="0.25">
      <c r="C791" s="41">
        <v>2956.76</v>
      </c>
      <c r="D791" s="41">
        <v>12247.02</v>
      </c>
      <c r="E791" s="34">
        <f t="shared" si="60"/>
        <v>12229.007633586507</v>
      </c>
      <c r="F791" s="35">
        <f t="shared" si="61"/>
        <v>12255.915804005737</v>
      </c>
      <c r="G791" s="35">
        <f t="shared" si="62"/>
        <v>11387.723605891915</v>
      </c>
      <c r="H791" s="36">
        <f t="shared" si="63"/>
        <v>8.8958040057368635</v>
      </c>
      <c r="I791" s="36">
        <f t="shared" si="64"/>
        <v>79.135328908484027</v>
      </c>
    </row>
    <row r="792" spans="3:9" x14ac:dyDescent="0.25">
      <c r="C792" s="41">
        <v>2959.38</v>
      </c>
      <c r="D792" s="41">
        <v>12263.04</v>
      </c>
      <c r="E792" s="34">
        <f t="shared" si="60"/>
        <v>12229.00763358863</v>
      </c>
      <c r="F792" s="35">
        <f t="shared" si="61"/>
        <v>12270.838167611784</v>
      </c>
      <c r="G792" s="35">
        <f t="shared" si="62"/>
        <v>11394.511581313693</v>
      </c>
      <c r="H792" s="36">
        <f t="shared" si="63"/>
        <v>7.7981676117833558</v>
      </c>
      <c r="I792" s="36">
        <f t="shared" si="64"/>
        <v>60.811418101466927</v>
      </c>
    </row>
    <row r="793" spans="3:9" x14ac:dyDescent="0.25">
      <c r="C793" s="41">
        <v>2961.99</v>
      </c>
      <c r="D793" s="41">
        <v>12279.07</v>
      </c>
      <c r="E793" s="34">
        <f t="shared" si="60"/>
        <v>12283.524904215208</v>
      </c>
      <c r="F793" s="35">
        <f t="shared" si="61"/>
        <v>12285.712419662417</v>
      </c>
      <c r="G793" s="35">
        <f t="shared" si="62"/>
        <v>11401.277671458829</v>
      </c>
      <c r="H793" s="36">
        <f t="shared" si="63"/>
        <v>6.6424196624175238</v>
      </c>
      <c r="I793" s="36">
        <f t="shared" si="64"/>
        <v>44.121738971670929</v>
      </c>
    </row>
    <row r="794" spans="3:9" x14ac:dyDescent="0.25">
      <c r="C794" s="41">
        <v>2964.61</v>
      </c>
      <c r="D794" s="41">
        <v>12295.09</v>
      </c>
      <c r="E794" s="34">
        <f t="shared" si="60"/>
        <v>12229.007633586507</v>
      </c>
      <c r="F794" s="35">
        <f t="shared" si="61"/>
        <v>12300.652544385766</v>
      </c>
      <c r="G794" s="35">
        <f t="shared" si="62"/>
        <v>11408.073726165556</v>
      </c>
      <c r="H794" s="36">
        <f t="shared" si="63"/>
        <v>5.5625443857661594</v>
      </c>
      <c r="I794" s="36">
        <f t="shared" si="64"/>
        <v>30.94190004361862</v>
      </c>
    </row>
    <row r="795" spans="3:9" x14ac:dyDescent="0.25">
      <c r="C795" s="41">
        <v>2967.23</v>
      </c>
      <c r="D795" s="41">
        <v>12311.11</v>
      </c>
      <c r="E795" s="34">
        <f t="shared" si="60"/>
        <v>12229.00763358863</v>
      </c>
      <c r="F795" s="35">
        <f t="shared" si="61"/>
        <v>12315.601574593902</v>
      </c>
      <c r="G795" s="35">
        <f t="shared" si="62"/>
        <v>11414.873831853311</v>
      </c>
      <c r="H795" s="36">
        <f t="shared" si="63"/>
        <v>4.4915745939015324</v>
      </c>
      <c r="I795" s="36">
        <f t="shared" si="64"/>
        <v>20.174242332581716</v>
      </c>
    </row>
    <row r="796" spans="3:9" x14ac:dyDescent="0.25">
      <c r="C796" s="41">
        <v>2969.85</v>
      </c>
      <c r="D796" s="41">
        <v>12327.14</v>
      </c>
      <c r="E796" s="34">
        <f t="shared" si="60"/>
        <v>12236.641221373668</v>
      </c>
      <c r="F796" s="35">
        <f t="shared" si="61"/>
        <v>12330.559515595203</v>
      </c>
      <c r="G796" s="35">
        <f t="shared" si="62"/>
        <v>11421.6779909368</v>
      </c>
      <c r="H796" s="36">
        <f t="shared" si="63"/>
        <v>3.4195155952038476</v>
      </c>
      <c r="I796" s="36">
        <f t="shared" si="64"/>
        <v>11.693086905842325</v>
      </c>
    </row>
    <row r="797" spans="3:9" x14ac:dyDescent="0.25">
      <c r="C797" s="41">
        <v>2972.47</v>
      </c>
      <c r="D797" s="41">
        <v>12343.16</v>
      </c>
      <c r="E797" s="34">
        <f t="shared" si="60"/>
        <v>12229.00763358863</v>
      </c>
      <c r="F797" s="35">
        <f t="shared" si="61"/>
        <v>12345.526372701193</v>
      </c>
      <c r="G797" s="35">
        <f t="shared" si="62"/>
        <v>11428.486205832161</v>
      </c>
      <c r="H797" s="36">
        <f t="shared" si="63"/>
        <v>2.3663727011935407</v>
      </c>
      <c r="I797" s="36">
        <f t="shared" si="64"/>
        <v>5.5997197609540139</v>
      </c>
    </row>
    <row r="798" spans="3:9" x14ac:dyDescent="0.25">
      <c r="C798" s="41">
        <v>2975.08</v>
      </c>
      <c r="D798" s="41">
        <v>12359.18</v>
      </c>
      <c r="E798" s="34">
        <f t="shared" si="60"/>
        <v>12275.862068965253</v>
      </c>
      <c r="F798" s="35">
        <f t="shared" si="61"/>
        <v>12360.444974799202</v>
      </c>
      <c r="G798" s="35">
        <f t="shared" si="62"/>
        <v>11435.272470196309</v>
      </c>
      <c r="H798" s="36">
        <f t="shared" si="63"/>
        <v>1.2649747992018092</v>
      </c>
      <c r="I798" s="36">
        <f t="shared" si="64"/>
        <v>1.6001612426156575</v>
      </c>
    </row>
    <row r="799" spans="3:9" x14ac:dyDescent="0.25">
      <c r="C799" s="41">
        <v>2977.7</v>
      </c>
      <c r="D799" s="41">
        <v>12375.21</v>
      </c>
      <c r="E799" s="34">
        <f t="shared" si="60"/>
        <v>12236.641221373668</v>
      </c>
      <c r="F799" s="35">
        <f t="shared" si="61"/>
        <v>12375.429645980208</v>
      </c>
      <c r="G799" s="35">
        <f t="shared" si="62"/>
        <v>11442.088788466348</v>
      </c>
      <c r="H799" s="36">
        <f t="shared" si="63"/>
        <v>0.2196459802089521</v>
      </c>
      <c r="I799" s="36">
        <f t="shared" si="64"/>
        <v>4.8244356621951374E-2</v>
      </c>
    </row>
    <row r="800" spans="3:9" x14ac:dyDescent="0.25">
      <c r="C800" s="41">
        <v>2980.32</v>
      </c>
      <c r="D800" s="41">
        <v>12391.23</v>
      </c>
      <c r="E800" s="34">
        <f t="shared" si="60"/>
        <v>12229.007633586507</v>
      </c>
      <c r="F800" s="35">
        <f t="shared" si="61"/>
        <v>12390.423249199188</v>
      </c>
      <c r="G800" s="35">
        <f t="shared" si="62"/>
        <v>11448.90916979609</v>
      </c>
      <c r="H800" s="36">
        <f t="shared" si="63"/>
        <v>-0.80675080081164197</v>
      </c>
      <c r="I800" s="36">
        <f t="shared" si="64"/>
        <v>0.65084685461022562</v>
      </c>
    </row>
    <row r="801" spans="3:9" x14ac:dyDescent="0.25">
      <c r="C801" s="41">
        <v>2982.94</v>
      </c>
      <c r="D801" s="41">
        <v>12407.25</v>
      </c>
      <c r="E801" s="34">
        <f t="shared" si="60"/>
        <v>12229.00763358863</v>
      </c>
      <c r="F801" s="35">
        <f t="shared" si="61"/>
        <v>12405.425789780333</v>
      </c>
      <c r="G801" s="35">
        <f t="shared" si="62"/>
        <v>11455.733616607435</v>
      </c>
      <c r="H801" s="36">
        <f t="shared" si="63"/>
        <v>-1.8242102196672931</v>
      </c>
      <c r="I801" s="36">
        <f t="shared" si="64"/>
        <v>3.327742925538594</v>
      </c>
    </row>
    <row r="802" spans="3:9" x14ac:dyDescent="0.25">
      <c r="C802" s="41">
        <v>2985.56</v>
      </c>
      <c r="D802" s="41">
        <v>12423.27</v>
      </c>
      <c r="E802" s="34">
        <f t="shared" si="60"/>
        <v>12229.00763358863</v>
      </c>
      <c r="F802" s="35">
        <f t="shared" si="61"/>
        <v>12420.437273051017</v>
      </c>
      <c r="G802" s="35">
        <f t="shared" si="62"/>
        <v>11462.562131323732</v>
      </c>
      <c r="H802" s="36">
        <f t="shared" si="63"/>
        <v>-2.8327269489836908</v>
      </c>
      <c r="I802" s="36">
        <f t="shared" si="64"/>
        <v>8.0243419674984491</v>
      </c>
    </row>
    <row r="803" spans="3:9" x14ac:dyDescent="0.25">
      <c r="C803" s="41">
        <v>2988.17</v>
      </c>
      <c r="D803" s="41">
        <v>12439.3</v>
      </c>
      <c r="E803" s="34">
        <f t="shared" si="60"/>
        <v>12283.524904213067</v>
      </c>
      <c r="F803" s="35">
        <f t="shared" si="61"/>
        <v>12435.400357433415</v>
      </c>
      <c r="G803" s="35">
        <f t="shared" si="62"/>
        <v>11469.368630059664</v>
      </c>
      <c r="H803" s="36">
        <f t="shared" si="63"/>
        <v>-3.8996425665845891</v>
      </c>
      <c r="I803" s="36">
        <f t="shared" si="64"/>
        <v>15.207212147118442</v>
      </c>
    </row>
    <row r="804" spans="3:9" x14ac:dyDescent="0.25">
      <c r="C804" s="41">
        <v>2990.79</v>
      </c>
      <c r="D804" s="41">
        <v>12455.32</v>
      </c>
      <c r="E804" s="34">
        <f t="shared" si="60"/>
        <v>12229.00763358863</v>
      </c>
      <c r="F804" s="35">
        <f t="shared" si="61"/>
        <v>12450.429707894727</v>
      </c>
      <c r="G804" s="35">
        <f t="shared" si="62"/>
        <v>11476.205272312189</v>
      </c>
      <c r="H804" s="36">
        <f t="shared" si="63"/>
        <v>-4.8902921052722377</v>
      </c>
      <c r="I804" s="36">
        <f t="shared" si="64"/>
        <v>23.914956874887974</v>
      </c>
    </row>
    <row r="805" spans="3:9" x14ac:dyDescent="0.25">
      <c r="C805" s="41">
        <v>2993.41</v>
      </c>
      <c r="D805" s="41">
        <v>12471.34</v>
      </c>
      <c r="E805" s="34">
        <f t="shared" si="60"/>
        <v>12229.00763358863</v>
      </c>
      <c r="F805" s="35">
        <f t="shared" si="61"/>
        <v>12465.468017026365</v>
      </c>
      <c r="G805" s="35">
        <f t="shared" si="62"/>
        <v>11483.045989739105</v>
      </c>
      <c r="H805" s="36">
        <f t="shared" si="63"/>
        <v>-5.8719829736346583</v>
      </c>
      <c r="I805" s="36">
        <f t="shared" si="64"/>
        <v>34.480184042655324</v>
      </c>
    </row>
    <row r="806" spans="3:9" x14ac:dyDescent="0.25">
      <c r="C806" s="41">
        <v>2996.03</v>
      </c>
      <c r="D806" s="41">
        <v>12487.37</v>
      </c>
      <c r="E806" s="34">
        <f t="shared" si="60"/>
        <v>12236.641221372931</v>
      </c>
      <c r="F806" s="35">
        <f t="shared" si="61"/>
        <v>12480.515290168396</v>
      </c>
      <c r="G806" s="35">
        <f t="shared" si="62"/>
        <v>11489.89078476953</v>
      </c>
      <c r="H806" s="36">
        <f t="shared" si="63"/>
        <v>-6.8547098316048505</v>
      </c>
      <c r="I806" s="36">
        <f t="shared" si="64"/>
        <v>46.987046875500198</v>
      </c>
    </row>
    <row r="807" spans="3:9" x14ac:dyDescent="0.25">
      <c r="C807" s="41">
        <v>2998.65</v>
      </c>
      <c r="D807" s="41">
        <v>12503.39</v>
      </c>
      <c r="E807" s="34">
        <f t="shared" si="60"/>
        <v>12229.007633587242</v>
      </c>
      <c r="F807" s="35">
        <f t="shared" si="61"/>
        <v>12495.571532664075</v>
      </c>
      <c r="G807" s="35">
        <f t="shared" si="62"/>
        <v>11496.739659834037</v>
      </c>
      <c r="H807" s="36">
        <f t="shared" si="63"/>
        <v>-7.8184673359246517</v>
      </c>
      <c r="I807" s="36">
        <f t="shared" si="64"/>
        <v>61.128431482920718</v>
      </c>
    </row>
    <row r="808" spans="3:9" x14ac:dyDescent="0.25">
      <c r="C808" s="41">
        <v>3001.27</v>
      </c>
      <c r="D808" s="41">
        <v>12519.41</v>
      </c>
      <c r="E808" s="34">
        <f t="shared" si="60"/>
        <v>12229.00763358863</v>
      </c>
      <c r="F808" s="35">
        <f t="shared" si="61"/>
        <v>12510.636749859837</v>
      </c>
      <c r="G808" s="35">
        <f t="shared" si="62"/>
        <v>11503.592617364648</v>
      </c>
      <c r="H808" s="36">
        <f t="shared" si="63"/>
        <v>-8.7732501401624177</v>
      </c>
      <c r="I808" s="36">
        <f t="shared" si="64"/>
        <v>76.969918021859883</v>
      </c>
    </row>
    <row r="809" spans="3:9" x14ac:dyDescent="0.25">
      <c r="C809" s="41">
        <v>3003.88</v>
      </c>
      <c r="D809" s="41">
        <v>12535.44</v>
      </c>
      <c r="E809" s="34">
        <f t="shared" si="60"/>
        <v>12283.524904214462</v>
      </c>
      <c r="F809" s="35">
        <f t="shared" si="61"/>
        <v>12525.653394922461</v>
      </c>
      <c r="G809" s="35">
        <f t="shared" si="62"/>
        <v>11510.423480108224</v>
      </c>
      <c r="H809" s="36">
        <f t="shared" si="63"/>
        <v>-9.7866050775392068</v>
      </c>
      <c r="I809" s="36">
        <f t="shared" si="64"/>
        <v>95.777638943716184</v>
      </c>
    </row>
    <row r="810" spans="3:9" x14ac:dyDescent="0.25">
      <c r="C810" s="41">
        <v>3006.5</v>
      </c>
      <c r="D810" s="41">
        <v>12551.46</v>
      </c>
      <c r="E810" s="34">
        <f t="shared" si="60"/>
        <v>12229.007633587242</v>
      </c>
      <c r="F810" s="35">
        <f t="shared" si="61"/>
        <v>12540.736543264842</v>
      </c>
      <c r="G810" s="35">
        <f t="shared" si="62"/>
        <v>11517.284594267752</v>
      </c>
      <c r="H810" s="36">
        <f t="shared" si="63"/>
        <v>-10.723456735157015</v>
      </c>
      <c r="I810" s="36">
        <f t="shared" si="64"/>
        <v>114.99252435078435</v>
      </c>
    </row>
    <row r="811" spans="3:9" x14ac:dyDescent="0.25">
      <c r="C811" s="41">
        <v>3009.12</v>
      </c>
      <c r="D811" s="41">
        <v>12567.48</v>
      </c>
      <c r="E811" s="34">
        <f t="shared" si="60"/>
        <v>12229.00763358863</v>
      </c>
      <c r="F811" s="35">
        <f t="shared" si="61"/>
        <v>12555.828682345302</v>
      </c>
      <c r="G811" s="35">
        <f t="shared" si="62"/>
        <v>11524.149798188844</v>
      </c>
      <c r="H811" s="36">
        <f t="shared" si="63"/>
        <v>-11.651317654697777</v>
      </c>
      <c r="I811" s="36">
        <f t="shared" si="64"/>
        <v>135.75320309067212</v>
      </c>
    </row>
    <row r="812" spans="3:9" x14ac:dyDescent="0.25">
      <c r="C812" s="41">
        <v>3011.74</v>
      </c>
      <c r="D812" s="41">
        <v>12583.51</v>
      </c>
      <c r="E812" s="34">
        <f t="shared" si="60"/>
        <v>12236.641221375057</v>
      </c>
      <c r="F812" s="35">
        <f t="shared" si="61"/>
        <v>12570.929817523023</v>
      </c>
      <c r="G812" s="35">
        <f t="shared" si="62"/>
        <v>11531.019094309317</v>
      </c>
      <c r="H812" s="36">
        <f t="shared" si="63"/>
        <v>-12.580182476976915</v>
      </c>
      <c r="I812" s="36">
        <f t="shared" si="64"/>
        <v>158.26099115403704</v>
      </c>
    </row>
    <row r="813" spans="3:9" x14ac:dyDescent="0.25">
      <c r="C813" s="41">
        <v>3014.36</v>
      </c>
      <c r="D813" s="41">
        <v>12599.53</v>
      </c>
      <c r="E813" s="34">
        <f t="shared" si="60"/>
        <v>12229.007633586507</v>
      </c>
      <c r="F813" s="35">
        <f t="shared" si="61"/>
        <v>12586.039954160384</v>
      </c>
      <c r="G813" s="35">
        <f t="shared" si="62"/>
        <v>11537.892485068442</v>
      </c>
      <c r="H813" s="36">
        <f t="shared" si="63"/>
        <v>-13.490045839616869</v>
      </c>
      <c r="I813" s="36">
        <f t="shared" si="64"/>
        <v>181.98133675496439</v>
      </c>
    </row>
    <row r="814" spans="3:9" x14ac:dyDescent="0.25">
      <c r="C814" s="41">
        <v>3016.97</v>
      </c>
      <c r="D814" s="41">
        <v>12615.55</v>
      </c>
      <c r="E814" s="34">
        <f t="shared" si="60"/>
        <v>12275.862068965998</v>
      </c>
      <c r="F814" s="35">
        <f t="shared" si="61"/>
        <v>12601.101373838741</v>
      </c>
      <c r="G814" s="35">
        <f t="shared" si="62"/>
        <v>11544.743715161261</v>
      </c>
      <c r="H814" s="36">
        <f t="shared" si="63"/>
        <v>-14.448626161258289</v>
      </c>
      <c r="I814" s="36">
        <f t="shared" si="64"/>
        <v>208.76279794779745</v>
      </c>
    </row>
    <row r="815" spans="3:9" x14ac:dyDescent="0.25">
      <c r="C815" s="41">
        <v>3019.59</v>
      </c>
      <c r="D815" s="41">
        <v>12631.57</v>
      </c>
      <c r="E815" s="34">
        <f t="shared" si="60"/>
        <v>12229.007633586507</v>
      </c>
      <c r="F815" s="35">
        <f t="shared" si="61"/>
        <v>12616.229495087411</v>
      </c>
      <c r="G815" s="35">
        <f t="shared" si="62"/>
        <v>11551.625286869647</v>
      </c>
      <c r="H815" s="36">
        <f t="shared" si="63"/>
        <v>-15.340504912588585</v>
      </c>
      <c r="I815" s="36">
        <f t="shared" si="64"/>
        <v>235.33109097315452</v>
      </c>
    </row>
    <row r="816" spans="3:9" x14ac:dyDescent="0.25">
      <c r="C816" s="41">
        <v>3022.21</v>
      </c>
      <c r="D816" s="41">
        <v>12647.6</v>
      </c>
      <c r="E816" s="34">
        <f t="shared" si="60"/>
        <v>12236.641221375057</v>
      </c>
      <c r="F816" s="35">
        <f t="shared" si="61"/>
        <v>12631.366633881527</v>
      </c>
      <c r="G816" s="35">
        <f t="shared" si="62"/>
        <v>11558.510960533895</v>
      </c>
      <c r="H816" s="36">
        <f t="shared" si="63"/>
        <v>-16.233366118472986</v>
      </c>
      <c r="I816" s="36">
        <f t="shared" si="64"/>
        <v>263.52217553638673</v>
      </c>
    </row>
    <row r="817" spans="3:9" x14ac:dyDescent="0.25">
      <c r="C817" s="41">
        <v>3024.83</v>
      </c>
      <c r="D817" s="41">
        <v>12663.62</v>
      </c>
      <c r="E817" s="34">
        <f t="shared" si="60"/>
        <v>12229.00763358863</v>
      </c>
      <c r="F817" s="35">
        <f t="shared" si="61"/>
        <v>12646.512795596262</v>
      </c>
      <c r="G817" s="35">
        <f t="shared" si="62"/>
        <v>11565.400738599094</v>
      </c>
      <c r="H817" s="36">
        <f t="shared" si="63"/>
        <v>-17.107204403739161</v>
      </c>
      <c r="I817" s="36">
        <f t="shared" si="64"/>
        <v>292.65644251131255</v>
      </c>
    </row>
    <row r="818" spans="3:9" x14ac:dyDescent="0.25">
      <c r="C818" s="41">
        <v>3027.45</v>
      </c>
      <c r="D818" s="41">
        <v>12679.64</v>
      </c>
      <c r="E818" s="34">
        <f t="shared" si="60"/>
        <v>12229.007633587242</v>
      </c>
      <c r="F818" s="35">
        <f t="shared" si="61"/>
        <v>12661.667985609982</v>
      </c>
      <c r="G818" s="35">
        <f t="shared" si="62"/>
        <v>11572.294623511789</v>
      </c>
      <c r="H818" s="36">
        <f t="shared" si="63"/>
        <v>-17.972014390017648</v>
      </c>
      <c r="I818" s="36">
        <f t="shared" si="64"/>
        <v>322.99330123500141</v>
      </c>
    </row>
    <row r="819" spans="3:9" x14ac:dyDescent="0.25">
      <c r="C819" s="41">
        <v>3030.07</v>
      </c>
      <c r="D819" s="41">
        <v>12695.67</v>
      </c>
      <c r="E819" s="34">
        <f t="shared" si="60"/>
        <v>12236.641221372931</v>
      </c>
      <c r="F819" s="35">
        <f t="shared" si="61"/>
        <v>12676.832209304261</v>
      </c>
      <c r="G819" s="35">
        <f t="shared" si="62"/>
        <v>11579.192617719984</v>
      </c>
      <c r="H819" s="36">
        <f t="shared" si="63"/>
        <v>-18.837790695739386</v>
      </c>
      <c r="I819" s="36">
        <f t="shared" si="64"/>
        <v>354.86235829648541</v>
      </c>
    </row>
    <row r="820" spans="3:9" x14ac:dyDescent="0.25">
      <c r="C820" s="41">
        <v>3032.68</v>
      </c>
      <c r="D820" s="41">
        <v>12711.69</v>
      </c>
      <c r="E820" s="34">
        <f t="shared" si="60"/>
        <v>12275.862068967392</v>
      </c>
      <c r="F820" s="35">
        <f t="shared" si="61"/>
        <v>12691.947541656129</v>
      </c>
      <c r="G820" s="35">
        <f t="shared" si="62"/>
        <v>11586.06837193729</v>
      </c>
      <c r="H820" s="36">
        <f t="shared" si="63"/>
        <v>-19.742458343871476</v>
      </c>
      <c r="I820" s="36">
        <f t="shared" si="64"/>
        <v>389.76466145950047</v>
      </c>
    </row>
    <row r="821" spans="3:9" x14ac:dyDescent="0.25">
      <c r="C821" s="41">
        <v>3035.33</v>
      </c>
      <c r="D821" s="41">
        <v>12727.71</v>
      </c>
      <c r="E821" s="34">
        <f t="shared" si="60"/>
        <v>12090.56603773439</v>
      </c>
      <c r="F821" s="35">
        <f t="shared" si="61"/>
        <v>12707.303709549926</v>
      </c>
      <c r="G821" s="35">
        <f t="shared" si="62"/>
        <v>11593.05367888917</v>
      </c>
      <c r="H821" s="36">
        <f t="shared" si="63"/>
        <v>-20.406290450073357</v>
      </c>
      <c r="I821" s="36">
        <f t="shared" si="64"/>
        <v>416.41668993275505</v>
      </c>
    </row>
    <row r="822" spans="3:9" x14ac:dyDescent="0.25">
      <c r="C822" s="41">
        <v>3038.12</v>
      </c>
      <c r="D822" s="41">
        <v>12743.74</v>
      </c>
      <c r="E822" s="34">
        <f t="shared" si="60"/>
        <v>11491.039426523917</v>
      </c>
      <c r="F822" s="35">
        <f t="shared" si="61"/>
        <v>12723.481151717118</v>
      </c>
      <c r="G822" s="35">
        <f t="shared" si="62"/>
        <v>11600.412572072393</v>
      </c>
      <c r="H822" s="36">
        <f t="shared" si="63"/>
        <v>-20.258848282881445</v>
      </c>
      <c r="I822" s="36">
        <f t="shared" si="64"/>
        <v>410.42093374880847</v>
      </c>
    </row>
    <row r="823" spans="3:9" x14ac:dyDescent="0.25">
      <c r="C823" s="41">
        <v>3040.9</v>
      </c>
      <c r="D823" s="41">
        <v>12759.76</v>
      </c>
      <c r="E823" s="34">
        <f t="shared" si="60"/>
        <v>11525.179856114592</v>
      </c>
      <c r="F823" s="35">
        <f t="shared" si="61"/>
        <v>12739.61082398343</v>
      </c>
      <c r="G823" s="35">
        <f t="shared" si="62"/>
        <v>11607.749735392863</v>
      </c>
      <c r="H823" s="36">
        <f t="shared" si="63"/>
        <v>-20.149176016569982</v>
      </c>
      <c r="I823" s="36">
        <f t="shared" si="64"/>
        <v>405.98929414671898</v>
      </c>
    </row>
    <row r="824" spans="3:9" x14ac:dyDescent="0.25">
      <c r="C824" s="41">
        <v>3043.69</v>
      </c>
      <c r="D824" s="41">
        <v>12775.78</v>
      </c>
      <c r="E824" s="34">
        <f t="shared" si="60"/>
        <v>11483.870967742399</v>
      </c>
      <c r="F824" s="35">
        <f t="shared" si="61"/>
        <v>12755.808773655441</v>
      </c>
      <c r="G824" s="35">
        <f t="shared" si="62"/>
        <v>11615.117957154478</v>
      </c>
      <c r="H824" s="36">
        <f t="shared" si="63"/>
        <v>-19.971226344559909</v>
      </c>
      <c r="I824" s="36">
        <f t="shared" si="64"/>
        <v>398.84988170564372</v>
      </c>
    </row>
    <row r="825" spans="3:9" x14ac:dyDescent="0.25">
      <c r="C825" s="41">
        <v>3046.48</v>
      </c>
      <c r="D825" s="41">
        <v>12791.8</v>
      </c>
      <c r="E825" s="34">
        <f t="shared" si="60"/>
        <v>11483.870967741095</v>
      </c>
      <c r="F825" s="35">
        <f t="shared" si="61"/>
        <v>12772.017005258745</v>
      </c>
      <c r="G825" s="35">
        <f t="shared" si="62"/>
        <v>11622.490856023469</v>
      </c>
      <c r="H825" s="36">
        <f t="shared" si="63"/>
        <v>-19.782994741253788</v>
      </c>
      <c r="I825" s="36">
        <f t="shared" si="64"/>
        <v>391.366880932475</v>
      </c>
    </row>
    <row r="826" spans="3:9" x14ac:dyDescent="0.25">
      <c r="C826" s="41">
        <v>3049.26</v>
      </c>
      <c r="D826" s="41">
        <v>12807.83</v>
      </c>
      <c r="E826" s="34">
        <f t="shared" si="60"/>
        <v>11532.374100719066</v>
      </c>
      <c r="F826" s="35">
        <f t="shared" si="61"/>
        <v>12788.177376043939</v>
      </c>
      <c r="G826" s="35">
        <f t="shared" si="62"/>
        <v>11629.841983672726</v>
      </c>
      <c r="H826" s="36">
        <f t="shared" si="63"/>
        <v>-19.652623956060779</v>
      </c>
      <c r="I826" s="36">
        <f t="shared" si="64"/>
        <v>386.22562835833401</v>
      </c>
    </row>
    <row r="827" spans="3:9" x14ac:dyDescent="0.25">
      <c r="C827" s="41">
        <v>3052.05</v>
      </c>
      <c r="D827" s="41">
        <v>12823.85</v>
      </c>
      <c r="E827" s="34">
        <f t="shared" si="60"/>
        <v>11483.870967742399</v>
      </c>
      <c r="F827" s="35">
        <f t="shared" si="61"/>
        <v>12804.406154182614</v>
      </c>
      <c r="G827" s="35">
        <f t="shared" si="62"/>
        <v>11637.224228874562</v>
      </c>
      <c r="H827" s="36">
        <f t="shared" si="63"/>
        <v>-19.443845817386318</v>
      </c>
      <c r="I827" s="36">
        <f t="shared" si="64"/>
        <v>378.06314017029143</v>
      </c>
    </row>
    <row r="828" spans="3:9" x14ac:dyDescent="0.25">
      <c r="C828" s="41">
        <v>3054.84</v>
      </c>
      <c r="D828" s="41">
        <v>12839.87</v>
      </c>
      <c r="E828" s="34">
        <f t="shared" si="60"/>
        <v>11483.870967742399</v>
      </c>
      <c r="F828" s="35">
        <f t="shared" si="61"/>
        <v>12820.645233821486</v>
      </c>
      <c r="G828" s="35">
        <f t="shared" si="62"/>
        <v>11644.611160085398</v>
      </c>
      <c r="H828" s="36">
        <f t="shared" si="63"/>
        <v>-19.224766178514983</v>
      </c>
      <c r="I828" s="36">
        <f t="shared" si="64"/>
        <v>369.59163461857361</v>
      </c>
    </row>
    <row r="829" spans="3:9" x14ac:dyDescent="0.25">
      <c r="C829" s="41">
        <v>3057.62</v>
      </c>
      <c r="D829" s="41">
        <v>12855.9</v>
      </c>
      <c r="E829" s="34">
        <f t="shared" si="60"/>
        <v>11532.374100719644</v>
      </c>
      <c r="F829" s="35">
        <f t="shared" si="61"/>
        <v>12836.836361551979</v>
      </c>
      <c r="G829" s="35">
        <f t="shared" si="62"/>
        <v>11651.976278640805</v>
      </c>
      <c r="H829" s="36">
        <f t="shared" si="63"/>
        <v>-19.063638448020356</v>
      </c>
      <c r="I829" s="36">
        <f t="shared" si="64"/>
        <v>363.42231087683996</v>
      </c>
    </row>
    <row r="830" spans="3:9" x14ac:dyDescent="0.25">
      <c r="C830" s="41">
        <v>3060.41</v>
      </c>
      <c r="D830" s="41">
        <v>12871.92</v>
      </c>
      <c r="E830" s="34">
        <f t="shared" si="60"/>
        <v>11483.870967742399</v>
      </c>
      <c r="F830" s="35">
        <f t="shared" si="61"/>
        <v>12853.096026831065</v>
      </c>
      <c r="G830" s="35">
        <f t="shared" si="62"/>
        <v>11659.372573972734</v>
      </c>
      <c r="H830" s="36">
        <f t="shared" si="63"/>
        <v>-18.823973168935481</v>
      </c>
      <c r="I830" s="36">
        <f t="shared" si="64"/>
        <v>354.34196586480289</v>
      </c>
    </row>
    <row r="831" spans="3:9" x14ac:dyDescent="0.25">
      <c r="C831" s="41">
        <v>3063.2</v>
      </c>
      <c r="D831" s="41">
        <v>12887.94</v>
      </c>
      <c r="E831" s="34">
        <f t="shared" si="60"/>
        <v>11483.870967742399</v>
      </c>
      <c r="F831" s="35">
        <f t="shared" si="61"/>
        <v>12869.366013216502</v>
      </c>
      <c r="G831" s="35">
        <f t="shared" si="62"/>
        <v>11666.773564232228</v>
      </c>
      <c r="H831" s="36">
        <f t="shared" si="63"/>
        <v>-18.573986783498185</v>
      </c>
      <c r="I831" s="36">
        <f t="shared" si="64"/>
        <v>344.99298503356528</v>
      </c>
    </row>
    <row r="832" spans="3:9" x14ac:dyDescent="0.25">
      <c r="C832" s="41">
        <v>3065.98</v>
      </c>
      <c r="D832" s="41">
        <v>12903.97</v>
      </c>
      <c r="E832" s="34">
        <f t="shared" si="60"/>
        <v>11532.374100717756</v>
      </c>
      <c r="F832" s="35">
        <f t="shared" si="61"/>
        <v>12885.587956429919</v>
      </c>
      <c r="G832" s="35">
        <f t="shared" si="62"/>
        <v>11674.152700321734</v>
      </c>
      <c r="H832" s="36">
        <f t="shared" si="63"/>
        <v>-18.382043570079986</v>
      </c>
      <c r="I832" s="36">
        <f t="shared" si="64"/>
        <v>337.89952581231898</v>
      </c>
    </row>
    <row r="833" spans="3:9" x14ac:dyDescent="0.25">
      <c r="C833" s="41">
        <v>3068.77</v>
      </c>
      <c r="D833" s="41">
        <v>12919.99</v>
      </c>
      <c r="E833" s="34">
        <f t="shared" si="60"/>
        <v>11483.870967742399</v>
      </c>
      <c r="F833" s="35">
        <f t="shared" si="61"/>
        <v>12901.878567634829</v>
      </c>
      <c r="G833" s="35">
        <f t="shared" si="62"/>
        <v>11681.563072524423</v>
      </c>
      <c r="H833" s="36">
        <f t="shared" si="63"/>
        <v>-18.111432365170913</v>
      </c>
      <c r="I833" s="36">
        <f t="shared" si="64"/>
        <v>328.02398231816045</v>
      </c>
    </row>
    <row r="834" spans="3:9" x14ac:dyDescent="0.25">
      <c r="C834" s="41">
        <v>3071.56</v>
      </c>
      <c r="D834" s="41">
        <v>12936.01</v>
      </c>
      <c r="E834" s="34">
        <f t="shared" si="60"/>
        <v>11483.870967742399</v>
      </c>
      <c r="F834" s="35">
        <f t="shared" si="61"/>
        <v>12918.179519589559</v>
      </c>
      <c r="G834" s="35">
        <f t="shared" si="62"/>
        <v>11688.978148590217</v>
      </c>
      <c r="H834" s="36">
        <f t="shared" si="63"/>
        <v>-17.830480410440941</v>
      </c>
      <c r="I834" s="36">
        <f t="shared" si="64"/>
        <v>317.92603166711814</v>
      </c>
    </row>
    <row r="835" spans="3:9" x14ac:dyDescent="0.25">
      <c r="C835" s="41">
        <v>3074.34</v>
      </c>
      <c r="D835" s="41">
        <v>12952.04</v>
      </c>
      <c r="E835" s="34">
        <f t="shared" si="60"/>
        <v>11532.374100719066</v>
      </c>
      <c r="F835" s="35">
        <f t="shared" si="61"/>
        <v>12934.432336934928</v>
      </c>
      <c r="G835" s="35">
        <f t="shared" si="62"/>
        <v>11696.371328892448</v>
      </c>
      <c r="H835" s="36">
        <f t="shared" si="63"/>
        <v>-17.607663065073211</v>
      </c>
      <c r="I835" s="36">
        <f t="shared" si="64"/>
        <v>310.02979861314333</v>
      </c>
    </row>
    <row r="836" spans="3:9" x14ac:dyDescent="0.25">
      <c r="C836" s="41">
        <v>3077.13</v>
      </c>
      <c r="D836" s="41">
        <v>12968.06</v>
      </c>
      <c r="E836" s="34">
        <f t="shared" si="60"/>
        <v>11483.870967741095</v>
      </c>
      <c r="F836" s="35">
        <f t="shared" si="61"/>
        <v>12950.753952962959</v>
      </c>
      <c r="G836" s="35">
        <f t="shared" si="62"/>
        <v>11703.795804757458</v>
      </c>
      <c r="H836" s="36">
        <f t="shared" si="63"/>
        <v>-17.306047037040116</v>
      </c>
      <c r="I836" s="36">
        <f t="shared" si="64"/>
        <v>299.49926404824498</v>
      </c>
    </row>
    <row r="837" spans="3:9" x14ac:dyDescent="0.25">
      <c r="C837" s="41">
        <v>3079.92</v>
      </c>
      <c r="D837" s="41">
        <v>12984.08</v>
      </c>
      <c r="E837" s="34">
        <f t="shared" si="60"/>
        <v>11483.870967742399</v>
      </c>
      <c r="F837" s="35">
        <f t="shared" si="61"/>
        <v>12967.085929421666</v>
      </c>
      <c r="G837" s="35">
        <f t="shared" si="62"/>
        <v>11711.224993438116</v>
      </c>
      <c r="H837" s="36">
        <f t="shared" si="63"/>
        <v>-16.994070578333776</v>
      </c>
      <c r="I837" s="36">
        <f t="shared" si="64"/>
        <v>288.79843482138966</v>
      </c>
    </row>
    <row r="838" spans="3:9" x14ac:dyDescent="0.25">
      <c r="C838" s="41">
        <v>3082.7</v>
      </c>
      <c r="D838" s="41">
        <v>13000.1</v>
      </c>
      <c r="E838" s="34">
        <f t="shared" si="60"/>
        <v>11525.179856116478</v>
      </c>
      <c r="F838" s="35">
        <f t="shared" si="61"/>
        <v>12983.369679659641</v>
      </c>
      <c r="G838" s="35">
        <f t="shared" si="62"/>
        <v>11718.632244682478</v>
      </c>
      <c r="H838" s="36">
        <f t="shared" si="63"/>
        <v>-16.730320340358958</v>
      </c>
      <c r="I838" s="36">
        <f t="shared" si="64"/>
        <v>279.90361869102867</v>
      </c>
    </row>
    <row r="839" spans="3:9" x14ac:dyDescent="0.25">
      <c r="C839" s="41">
        <v>3085.49</v>
      </c>
      <c r="D839" s="41">
        <v>13016.13</v>
      </c>
      <c r="E839" s="34">
        <f t="shared" si="60"/>
        <v>11491.039426522613</v>
      </c>
      <c r="F839" s="35">
        <f t="shared" si="61"/>
        <v>12999.722359520187</v>
      </c>
      <c r="G839" s="35">
        <f t="shared" si="62"/>
        <v>11726.070851052356</v>
      </c>
      <c r="H839" s="36">
        <f t="shared" si="63"/>
        <v>-16.407640479812471</v>
      </c>
      <c r="I839" s="36">
        <f t="shared" si="64"/>
        <v>269.21066611478085</v>
      </c>
    </row>
    <row r="840" spans="3:9" x14ac:dyDescent="0.25">
      <c r="C840" s="41">
        <v>3088.28</v>
      </c>
      <c r="D840" s="41">
        <v>13032.15</v>
      </c>
      <c r="E840" s="34">
        <f t="shared" si="60"/>
        <v>11483.870967740526</v>
      </c>
      <c r="F840" s="35">
        <f t="shared" si="61"/>
        <v>13016.085419529712</v>
      </c>
      <c r="G840" s="35">
        <f t="shared" si="62"/>
        <v>11733.514179207468</v>
      </c>
      <c r="H840" s="36">
        <f t="shared" si="63"/>
        <v>-16.064580470287183</v>
      </c>
      <c r="I840" s="36">
        <f t="shared" si="64"/>
        <v>258.07074568633237</v>
      </c>
    </row>
    <row r="841" spans="3:9" x14ac:dyDescent="0.25">
      <c r="C841" s="41">
        <v>3091.06</v>
      </c>
      <c r="D841" s="41">
        <v>13048.17</v>
      </c>
      <c r="E841" s="34">
        <f t="shared" ref="E841:E904" si="65">IF(C841="","",2*(D841-D840)/((C841-C840)/1000))</f>
        <v>11525.179856116478</v>
      </c>
      <c r="F841" s="35">
        <f t="shared" ref="F841:F904" si="66">IF(C841="","",F$7+(F$9/F$10)*(EXP(F$10*(C841-F$8)/2000)-1))</f>
        <v>13032.400161532796</v>
      </c>
      <c r="G841" s="35">
        <f t="shared" ref="G841:G904" si="67">IF(E841="","",F$9+(F841-F$7)*F$10)</f>
        <v>11740.935528174243</v>
      </c>
      <c r="H841" s="36">
        <f t="shared" ref="H841:H904" si="68">IF(F841="","",F841-D841)</f>
        <v>-15.769838467203954</v>
      </c>
      <c r="I841" s="36">
        <f t="shared" ref="I841:I904" si="69">IF(H841="","",H841^2)</f>
        <v>248.68780528170555</v>
      </c>
    </row>
    <row r="842" spans="3:9" x14ac:dyDescent="0.25">
      <c r="C842" s="41">
        <v>3093.85</v>
      </c>
      <c r="D842" s="41">
        <v>13064.2</v>
      </c>
      <c r="E842" s="34">
        <f t="shared" si="65"/>
        <v>11491.039426523917</v>
      </c>
      <c r="F842" s="35">
        <f t="shared" si="66"/>
        <v>13048.783964347555</v>
      </c>
      <c r="G842" s="35">
        <f t="shared" si="67"/>
        <v>11748.388291942629</v>
      </c>
      <c r="H842" s="36">
        <f t="shared" si="68"/>
        <v>-15.416035652446226</v>
      </c>
      <c r="I842" s="36">
        <f t="shared" si="69"/>
        <v>237.65415523749314</v>
      </c>
    </row>
    <row r="843" spans="3:9" x14ac:dyDescent="0.25">
      <c r="C843" s="41">
        <v>3096.64</v>
      </c>
      <c r="D843" s="41">
        <v>13080.22</v>
      </c>
      <c r="E843" s="34">
        <f t="shared" si="65"/>
        <v>11483.870967741095</v>
      </c>
      <c r="F843" s="35">
        <f t="shared" si="66"/>
        <v>13065.178167067124</v>
      </c>
      <c r="G843" s="35">
        <f t="shared" si="67"/>
        <v>11755.8457864829</v>
      </c>
      <c r="H843" s="36">
        <f t="shared" si="68"/>
        <v>-15.041832932874968</v>
      </c>
      <c r="I843" s="36">
        <f t="shared" si="69"/>
        <v>226.25673798052196</v>
      </c>
    </row>
    <row r="844" spans="3:9" x14ac:dyDescent="0.25">
      <c r="C844" s="41">
        <v>3099.42</v>
      </c>
      <c r="D844" s="41">
        <v>13096.24</v>
      </c>
      <c r="E844" s="34">
        <f t="shared" si="65"/>
        <v>11525.179856114592</v>
      </c>
      <c r="F844" s="35">
        <f t="shared" si="66"/>
        <v>13081.523959819857</v>
      </c>
      <c r="G844" s="35">
        <f t="shared" si="67"/>
        <v>11763.281260003332</v>
      </c>
      <c r="H844" s="36">
        <f t="shared" si="68"/>
        <v>-14.716040180142954</v>
      </c>
      <c r="I844" s="36">
        <f t="shared" si="69"/>
        <v>216.56183858358187</v>
      </c>
    </row>
    <row r="845" spans="3:9" x14ac:dyDescent="0.25">
      <c r="C845" s="41">
        <v>3102.21</v>
      </c>
      <c r="D845" s="41">
        <v>13112.27</v>
      </c>
      <c r="E845" s="34">
        <f t="shared" si="65"/>
        <v>11491.039426523917</v>
      </c>
      <c r="F845" s="35">
        <f t="shared" si="66"/>
        <v>13097.938944823049</v>
      </c>
      <c r="G845" s="35">
        <f t="shared" si="67"/>
        <v>11770.748208115047</v>
      </c>
      <c r="H845" s="36">
        <f t="shared" si="68"/>
        <v>-14.33105517695185</v>
      </c>
      <c r="I845" s="36">
        <f t="shared" si="69"/>
        <v>205.37914248483841</v>
      </c>
    </row>
    <row r="846" spans="3:9" x14ac:dyDescent="0.25">
      <c r="C846" s="41">
        <v>3105</v>
      </c>
      <c r="D846" s="41">
        <v>13128.29</v>
      </c>
      <c r="E846" s="34">
        <f t="shared" si="65"/>
        <v>11483.870967742399</v>
      </c>
      <c r="F846" s="35">
        <f t="shared" si="66"/>
        <v>13114.364349524494</v>
      </c>
      <c r="G846" s="35">
        <f t="shared" si="67"/>
        <v>11778.219896002411</v>
      </c>
      <c r="H846" s="36">
        <f t="shared" si="68"/>
        <v>-13.9256504755067</v>
      </c>
      <c r="I846" s="36">
        <f t="shared" si="69"/>
        <v>193.92374116597998</v>
      </c>
    </row>
    <row r="847" spans="3:9" x14ac:dyDescent="0.25">
      <c r="C847" s="41">
        <v>3107.78</v>
      </c>
      <c r="D847" s="41">
        <v>13144.31</v>
      </c>
      <c r="E847" s="34">
        <f t="shared" si="65"/>
        <v>11525.179856113284</v>
      </c>
      <c r="F847" s="35">
        <f t="shared" si="66"/>
        <v>13130.741252123671</v>
      </c>
      <c r="G847" s="35">
        <f t="shared" si="67"/>
        <v>11785.669520958807</v>
      </c>
      <c r="H847" s="36">
        <f t="shared" si="68"/>
        <v>-13.568747876328416</v>
      </c>
      <c r="I847" s="36">
        <f t="shared" si="69"/>
        <v>184.11091893136691</v>
      </c>
    </row>
    <row r="848" spans="3:9" x14ac:dyDescent="0.25">
      <c r="C848" s="41">
        <v>3110.57</v>
      </c>
      <c r="D848" s="41">
        <v>13160.33</v>
      </c>
      <c r="E848" s="34">
        <f t="shared" si="65"/>
        <v>11483.870967742399</v>
      </c>
      <c r="F848" s="35">
        <f t="shared" si="66"/>
        <v>13147.18747866225</v>
      </c>
      <c r="G848" s="35">
        <f t="shared" si="67"/>
        <v>11793.150680409955</v>
      </c>
      <c r="H848" s="36">
        <f t="shared" si="68"/>
        <v>-13.142521337749713</v>
      </c>
      <c r="I848" s="36">
        <f t="shared" si="69"/>
        <v>172.7258671132065</v>
      </c>
    </row>
    <row r="849" spans="3:9" x14ac:dyDescent="0.25">
      <c r="C849" s="41">
        <v>3113.36</v>
      </c>
      <c r="D849" s="41">
        <v>13176.36</v>
      </c>
      <c r="E849" s="34">
        <f t="shared" si="65"/>
        <v>11491.039426523917</v>
      </c>
      <c r="F849" s="35">
        <f t="shared" si="66"/>
        <v>13163.644144730206</v>
      </c>
      <c r="G849" s="35">
        <f t="shared" si="67"/>
        <v>11800.636588657655</v>
      </c>
      <c r="H849" s="36">
        <f t="shared" si="68"/>
        <v>-12.715855269794702</v>
      </c>
      <c r="I849" s="36">
        <f t="shared" si="69"/>
        <v>161.69297524236569</v>
      </c>
    </row>
    <row r="850" spans="3:9" x14ac:dyDescent="0.25">
      <c r="C850" s="41">
        <v>3116.14</v>
      </c>
      <c r="D850" s="41">
        <v>13192.38</v>
      </c>
      <c r="E850" s="34">
        <f t="shared" si="65"/>
        <v>11525.17985611517</v>
      </c>
      <c r="F850" s="35">
        <f t="shared" si="66"/>
        <v>13180.052216385096</v>
      </c>
      <c r="G850" s="35">
        <f t="shared" si="67"/>
        <v>11808.100391983491</v>
      </c>
      <c r="H850" s="36">
        <f t="shared" si="68"/>
        <v>-12.327783614902728</v>
      </c>
      <c r="I850" s="36">
        <f t="shared" si="69"/>
        <v>151.97424885586418</v>
      </c>
    </row>
    <row r="851" spans="3:9" x14ac:dyDescent="0.25">
      <c r="C851" s="41">
        <v>3118.93</v>
      </c>
      <c r="D851" s="41">
        <v>13208.4</v>
      </c>
      <c r="E851" s="34">
        <f t="shared" si="65"/>
        <v>11483.870967742399</v>
      </c>
      <c r="F851" s="35">
        <f t="shared" si="66"/>
        <v>13196.529743918982</v>
      </c>
      <c r="G851" s="35">
        <f t="shared" si="67"/>
        <v>11815.59578982156</v>
      </c>
      <c r="H851" s="36">
        <f t="shared" si="68"/>
        <v>-11.870256081017942</v>
      </c>
      <c r="I851" s="36">
        <f t="shared" si="69"/>
        <v>140.90297942894344</v>
      </c>
    </row>
    <row r="852" spans="3:9" x14ac:dyDescent="0.25">
      <c r="C852" s="41">
        <v>3121.72</v>
      </c>
      <c r="D852" s="41">
        <v>13224.43</v>
      </c>
      <c r="E852" s="34">
        <f t="shared" si="65"/>
        <v>11491.039426523917</v>
      </c>
      <c r="F852" s="35">
        <f t="shared" si="66"/>
        <v>13213.017730851087</v>
      </c>
      <c r="G852" s="35">
        <f t="shared" si="67"/>
        <v>11823.095945494242</v>
      </c>
      <c r="H852" s="36">
        <f t="shared" si="68"/>
        <v>-11.412269148913765</v>
      </c>
      <c r="I852" s="36">
        <f t="shared" si="69"/>
        <v>130.23988712724892</v>
      </c>
    </row>
    <row r="853" spans="3:9" x14ac:dyDescent="0.25">
      <c r="C853" s="41">
        <v>3124.5</v>
      </c>
      <c r="D853" s="41">
        <v>13240.45</v>
      </c>
      <c r="E853" s="34">
        <f t="shared" si="65"/>
        <v>11525.179856114592</v>
      </c>
      <c r="F853" s="35">
        <f t="shared" si="66"/>
        <v>13229.457030883665</v>
      </c>
      <c r="G853" s="35">
        <f t="shared" si="67"/>
        <v>11830.573954174257</v>
      </c>
      <c r="H853" s="36">
        <f t="shared" si="68"/>
        <v>-10.992969116336099</v>
      </c>
      <c r="I853" s="36">
        <f t="shared" si="69"/>
        <v>120.84536999271926</v>
      </c>
    </row>
    <row r="854" spans="3:9" x14ac:dyDescent="0.25">
      <c r="C854" s="41">
        <v>3127.29</v>
      </c>
      <c r="D854" s="41">
        <v>13256.47</v>
      </c>
      <c r="E854" s="34">
        <f t="shared" si="65"/>
        <v>11483.870967741095</v>
      </c>
      <c r="F854" s="35">
        <f t="shared" si="66"/>
        <v>13245.965918985932</v>
      </c>
      <c r="G854" s="35">
        <f t="shared" si="67"/>
        <v>11838.083617498211</v>
      </c>
      <c r="H854" s="36">
        <f t="shared" si="68"/>
        <v>-10.504081014067197</v>
      </c>
      <c r="I854" s="36">
        <f t="shared" si="69"/>
        <v>110.33571795008694</v>
      </c>
    </row>
    <row r="855" spans="3:9" x14ac:dyDescent="0.25">
      <c r="C855" s="41">
        <v>3130.08</v>
      </c>
      <c r="D855" s="41">
        <v>13272.5</v>
      </c>
      <c r="E855" s="34">
        <f t="shared" si="65"/>
        <v>11491.039426523917</v>
      </c>
      <c r="F855" s="35">
        <f t="shared" si="66"/>
        <v>13262.485286393094</v>
      </c>
      <c r="G855" s="35">
        <f t="shared" si="67"/>
        <v>11845.598047712047</v>
      </c>
      <c r="H855" s="36">
        <f t="shared" si="68"/>
        <v>-10.014713606906298</v>
      </c>
      <c r="I855" s="36">
        <f t="shared" si="69"/>
        <v>100.29448862835416</v>
      </c>
    </row>
    <row r="856" spans="3:9" x14ac:dyDescent="0.25">
      <c r="C856" s="41">
        <v>3132.86</v>
      </c>
      <c r="D856" s="41">
        <v>13288.52</v>
      </c>
      <c r="E856" s="34">
        <f t="shared" si="65"/>
        <v>11525.179856114592</v>
      </c>
      <c r="F856" s="35">
        <f t="shared" si="66"/>
        <v>13278.955874238218</v>
      </c>
      <c r="G856" s="35">
        <f t="shared" si="67"/>
        <v>11853.090288782329</v>
      </c>
      <c r="H856" s="36">
        <f t="shared" si="68"/>
        <v>-9.5641257617826341</v>
      </c>
      <c r="I856" s="36">
        <f t="shared" si="69"/>
        <v>91.472501587194245</v>
      </c>
    </row>
    <row r="857" spans="3:9" x14ac:dyDescent="0.25">
      <c r="C857" s="41">
        <v>3135.69</v>
      </c>
      <c r="D857" s="41">
        <v>13304.54</v>
      </c>
      <c r="E857" s="34">
        <f t="shared" si="65"/>
        <v>11321.55477031862</v>
      </c>
      <c r="F857" s="35">
        <f t="shared" si="66"/>
        <v>13295.733395959265</v>
      </c>
      <c r="G857" s="35">
        <f t="shared" si="67"/>
        <v>11860.722149798949</v>
      </c>
      <c r="H857" s="36">
        <f t="shared" si="68"/>
        <v>-8.8066040407356923</v>
      </c>
      <c r="I857" s="36">
        <f t="shared" si="69"/>
        <v>77.556274730302221</v>
      </c>
    </row>
    <row r="858" spans="3:9" x14ac:dyDescent="0.25">
      <c r="C858" s="41">
        <v>3138.6</v>
      </c>
      <c r="D858" s="41">
        <v>13320.57</v>
      </c>
      <c r="E858" s="34">
        <f t="shared" si="65"/>
        <v>11017.182130583942</v>
      </c>
      <c r="F858" s="35">
        <f t="shared" si="66"/>
        <v>13312.996458915904</v>
      </c>
      <c r="G858" s="35">
        <f t="shared" si="67"/>
        <v>11868.574876762843</v>
      </c>
      <c r="H858" s="36">
        <f t="shared" si="68"/>
        <v>-7.5735410840952682</v>
      </c>
      <c r="I858" s="36">
        <f t="shared" si="69"/>
        <v>57.358524552478933</v>
      </c>
    </row>
    <row r="859" spans="3:9" x14ac:dyDescent="0.25">
      <c r="C859" s="41">
        <v>3141.51</v>
      </c>
      <c r="D859" s="41">
        <v>13336.59</v>
      </c>
      <c r="E859" s="34">
        <f t="shared" si="65"/>
        <v>11010.309278349647</v>
      </c>
      <c r="F859" s="35">
        <f t="shared" si="66"/>
        <v>13330.270951372222</v>
      </c>
      <c r="G859" s="35">
        <f t="shared" si="67"/>
        <v>11876.432802846994</v>
      </c>
      <c r="H859" s="36">
        <f t="shared" si="68"/>
        <v>-6.3190486277781019</v>
      </c>
      <c r="I859" s="36">
        <f t="shared" si="69"/>
        <v>39.930375560224313</v>
      </c>
    </row>
    <row r="860" spans="3:9" x14ac:dyDescent="0.25">
      <c r="C860" s="41">
        <v>3144.43</v>
      </c>
      <c r="D860" s="41">
        <v>13352.61</v>
      </c>
      <c r="E860" s="34">
        <f t="shared" si="65"/>
        <v>10972.602739727761</v>
      </c>
      <c r="F860" s="35">
        <f t="shared" si="66"/>
        <v>13347.616302442666</v>
      </c>
      <c r="G860" s="35">
        <f t="shared" si="67"/>
        <v>11884.322961528058</v>
      </c>
      <c r="H860" s="36">
        <f t="shared" si="68"/>
        <v>-4.993697557334599</v>
      </c>
      <c r="I860" s="36">
        <f t="shared" si="69"/>
        <v>24.937015294129541</v>
      </c>
    </row>
    <row r="861" spans="3:9" x14ac:dyDescent="0.25">
      <c r="C861" s="41">
        <v>3147.34</v>
      </c>
      <c r="D861" s="41">
        <v>13368.63</v>
      </c>
      <c r="E861" s="34">
        <f t="shared" si="65"/>
        <v>11010.309278348395</v>
      </c>
      <c r="F861" s="35">
        <f t="shared" si="66"/>
        <v>13364.913715946732</v>
      </c>
      <c r="G861" s="35">
        <f t="shared" si="67"/>
        <v>11892.191314077672</v>
      </c>
      <c r="H861" s="36">
        <f t="shared" si="68"/>
        <v>-3.7162840532673727</v>
      </c>
      <c r="I861" s="36">
        <f t="shared" si="69"/>
        <v>13.810767164569372</v>
      </c>
    </row>
    <row r="862" spans="3:9" x14ac:dyDescent="0.25">
      <c r="C862" s="41">
        <v>3150.25</v>
      </c>
      <c r="D862" s="41">
        <v>13384.66</v>
      </c>
      <c r="E862" s="34">
        <f t="shared" si="65"/>
        <v>11017.182130585194</v>
      </c>
      <c r="F862" s="35">
        <f t="shared" si="66"/>
        <v>13382.222581693226</v>
      </c>
      <c r="G862" s="35">
        <f t="shared" si="67"/>
        <v>11900.064876092903</v>
      </c>
      <c r="H862" s="36">
        <f t="shared" si="68"/>
        <v>-2.4374183067739068</v>
      </c>
      <c r="I862" s="36">
        <f t="shared" si="69"/>
        <v>5.941008002196579</v>
      </c>
    </row>
    <row r="863" spans="3:9" x14ac:dyDescent="0.25">
      <c r="C863" s="41">
        <v>3153.17</v>
      </c>
      <c r="D863" s="41">
        <v>13400.68</v>
      </c>
      <c r="E863" s="34">
        <f t="shared" si="65"/>
        <v>10972.602739726053</v>
      </c>
      <c r="F863" s="35">
        <f t="shared" si="66"/>
        <v>13399.602447050387</v>
      </c>
      <c r="G863" s="35">
        <f t="shared" si="67"/>
        <v>11907.970734842411</v>
      </c>
      <c r="H863" s="36">
        <f t="shared" si="68"/>
        <v>-1.0775529496131639</v>
      </c>
      <c r="I863" s="36">
        <f t="shared" si="69"/>
        <v>1.1611203592200299</v>
      </c>
    </row>
    <row r="864" spans="3:9" x14ac:dyDescent="0.25">
      <c r="C864" s="41">
        <v>3156.08</v>
      </c>
      <c r="D864" s="41">
        <v>13416.7</v>
      </c>
      <c r="E864" s="34">
        <f t="shared" si="65"/>
        <v>11010.309278351366</v>
      </c>
      <c r="F864" s="35">
        <f t="shared" si="66"/>
        <v>13416.934279453602</v>
      </c>
      <c r="G864" s="35">
        <f t="shared" si="67"/>
        <v>11915.854744069991</v>
      </c>
      <c r="H864" s="36">
        <f t="shared" si="68"/>
        <v>0.23427945360162994</v>
      </c>
      <c r="I864" s="36">
        <f t="shared" si="69"/>
        <v>5.4886862379878276E-2</v>
      </c>
    </row>
    <row r="865" spans="3:9" x14ac:dyDescent="0.25">
      <c r="C865" s="41">
        <v>3158.99</v>
      </c>
      <c r="D865" s="41">
        <v>13432.73</v>
      </c>
      <c r="E865" s="34">
        <f t="shared" si="65"/>
        <v>11017.182130583942</v>
      </c>
      <c r="F865" s="35">
        <f t="shared" si="66"/>
        <v>13434.27758688725</v>
      </c>
      <c r="G865" s="35">
        <f t="shared" si="67"/>
        <v>11923.743973129134</v>
      </c>
      <c r="H865" s="36">
        <f t="shared" si="68"/>
        <v>1.5475868872508727</v>
      </c>
      <c r="I865" s="36">
        <f t="shared" si="69"/>
        <v>2.3950251735908452</v>
      </c>
    </row>
    <row r="866" spans="3:9" x14ac:dyDescent="0.25">
      <c r="C866" s="41">
        <v>3161.91</v>
      </c>
      <c r="D866" s="41">
        <v>13448.75</v>
      </c>
      <c r="E866" s="34">
        <f t="shared" si="65"/>
        <v>10972.602739726053</v>
      </c>
      <c r="F866" s="35">
        <f t="shared" si="66"/>
        <v>13451.692035208673</v>
      </c>
      <c r="G866" s="35">
        <f t="shared" si="67"/>
        <v>11931.665563187542</v>
      </c>
      <c r="H866" s="36">
        <f t="shared" si="68"/>
        <v>2.942035208672678</v>
      </c>
      <c r="I866" s="36">
        <f t="shared" si="69"/>
        <v>8.6555711690696882</v>
      </c>
    </row>
    <row r="867" spans="3:9" x14ac:dyDescent="0.25">
      <c r="C867" s="41">
        <v>3164.82</v>
      </c>
      <c r="D867" s="41">
        <v>13464.77</v>
      </c>
      <c r="E867" s="34">
        <f t="shared" si="65"/>
        <v>11010.309278349647</v>
      </c>
      <c r="F867" s="35">
        <f t="shared" si="66"/>
        <v>13469.058354998768</v>
      </c>
      <c r="G867" s="35">
        <f t="shared" si="67"/>
        <v>11939.565260247204</v>
      </c>
      <c r="H867" s="36">
        <f t="shared" si="68"/>
        <v>4.2883549987673177</v>
      </c>
      <c r="I867" s="36">
        <f t="shared" si="69"/>
        <v>18.389988595452643</v>
      </c>
    </row>
    <row r="868" spans="3:9" x14ac:dyDescent="0.25">
      <c r="C868" s="41">
        <v>3167.73</v>
      </c>
      <c r="D868" s="41">
        <v>13480.8</v>
      </c>
      <c r="E868" s="34">
        <f t="shared" si="65"/>
        <v>11017.182130583942</v>
      </c>
      <c r="F868" s="35">
        <f t="shared" si="66"/>
        <v>13486.436172652651</v>
      </c>
      <c r="G868" s="35">
        <f t="shared" si="67"/>
        <v>11947.470187525001</v>
      </c>
      <c r="H868" s="36">
        <f t="shared" si="68"/>
        <v>5.6361726526520215</v>
      </c>
      <c r="I868" s="36">
        <f t="shared" si="69"/>
        <v>31.766442170502525</v>
      </c>
    </row>
    <row r="869" spans="3:9" x14ac:dyDescent="0.25">
      <c r="C869" s="41">
        <v>3170.65</v>
      </c>
      <c r="D869" s="41">
        <v>13496.82</v>
      </c>
      <c r="E869" s="34">
        <f t="shared" si="65"/>
        <v>10972.602739726053</v>
      </c>
      <c r="F869" s="35">
        <f t="shared" si="66"/>
        <v>13503.885272752525</v>
      </c>
      <c r="G869" s="35">
        <f t="shared" si="67"/>
        <v>11955.407540194927</v>
      </c>
      <c r="H869" s="36">
        <f t="shared" si="68"/>
        <v>7.0652727525248338</v>
      </c>
      <c r="I869" s="36">
        <f t="shared" si="69"/>
        <v>49.918079067569842</v>
      </c>
    </row>
    <row r="870" spans="3:9" x14ac:dyDescent="0.25">
      <c r="C870" s="41">
        <v>3173.56</v>
      </c>
      <c r="D870" s="41">
        <v>13512.84</v>
      </c>
      <c r="E870" s="34">
        <f t="shared" si="65"/>
        <v>11010.309278351366</v>
      </c>
      <c r="F870" s="35">
        <f t="shared" si="66"/>
        <v>13521.28614855351</v>
      </c>
      <c r="G870" s="35">
        <f t="shared" si="67"/>
        <v>11963.322956302776</v>
      </c>
      <c r="H870" s="36">
        <f t="shared" si="68"/>
        <v>8.4461485535102838</v>
      </c>
      <c r="I870" s="36">
        <f t="shared" si="69"/>
        <v>71.337425387963862</v>
      </c>
    </row>
    <row r="871" spans="3:9" x14ac:dyDescent="0.25">
      <c r="C871" s="41">
        <v>3176.47</v>
      </c>
      <c r="D871" s="41">
        <v>13528.87</v>
      </c>
      <c r="E871" s="34">
        <f t="shared" si="65"/>
        <v>11017.182130585194</v>
      </c>
      <c r="F871" s="35">
        <f t="shared" si="66"/>
        <v>13538.698545097064</v>
      </c>
      <c r="G871" s="35">
        <f t="shared" si="67"/>
        <v>11971.243613036</v>
      </c>
      <c r="H871" s="36">
        <f t="shared" si="68"/>
        <v>9.8285450970633974</v>
      </c>
      <c r="I871" s="36">
        <f t="shared" si="69"/>
        <v>96.600298725008955</v>
      </c>
    </row>
    <row r="872" spans="3:9" x14ac:dyDescent="0.25">
      <c r="C872" s="41">
        <v>3179.38</v>
      </c>
      <c r="D872" s="41">
        <v>13544.89</v>
      </c>
      <c r="E872" s="34">
        <f t="shared" si="65"/>
        <v>11010.309278348395</v>
      </c>
      <c r="F872" s="35">
        <f t="shared" si="66"/>
        <v>13556.122470010832</v>
      </c>
      <c r="G872" s="35">
        <f t="shared" si="67"/>
        <v>11979.169513864314</v>
      </c>
      <c r="H872" s="36">
        <f t="shared" si="68"/>
        <v>11.232470010832913</v>
      </c>
      <c r="I872" s="36">
        <f t="shared" si="69"/>
        <v>126.16838254426072</v>
      </c>
    </row>
    <row r="873" spans="3:9" x14ac:dyDescent="0.25">
      <c r="C873" s="41">
        <v>3182.3</v>
      </c>
      <c r="D873" s="41">
        <v>13560.91</v>
      </c>
      <c r="E873" s="34">
        <f t="shared" si="65"/>
        <v>10972.602739726053</v>
      </c>
      <c r="F873" s="35">
        <f t="shared" si="66"/>
        <v>13573.617866498958</v>
      </c>
      <c r="G873" s="35">
        <f t="shared" si="67"/>
        <v>11987.127926116613</v>
      </c>
      <c r="H873" s="36">
        <f t="shared" si="68"/>
        <v>12.707866498958538</v>
      </c>
      <c r="I873" s="36">
        <f t="shared" si="69"/>
        <v>161.48987095535273</v>
      </c>
    </row>
    <row r="874" spans="3:9" x14ac:dyDescent="0.25">
      <c r="C874" s="41">
        <v>3185.21</v>
      </c>
      <c r="D874" s="41">
        <v>13576.93</v>
      </c>
      <c r="E874" s="34">
        <f t="shared" si="65"/>
        <v>11010.309278351366</v>
      </c>
      <c r="F874" s="35">
        <f t="shared" si="66"/>
        <v>13591.064910738274</v>
      </c>
      <c r="G874" s="35">
        <f t="shared" si="67"/>
        <v>11995.064343604197</v>
      </c>
      <c r="H874" s="36">
        <f t="shared" si="68"/>
        <v>14.134910738273902</v>
      </c>
      <c r="I874" s="36">
        <f t="shared" si="69"/>
        <v>199.79570157897086</v>
      </c>
    </row>
    <row r="875" spans="3:9" x14ac:dyDescent="0.25">
      <c r="C875" s="41">
        <v>3188.12</v>
      </c>
      <c r="D875" s="41">
        <v>13592.96</v>
      </c>
      <c r="E875" s="34">
        <f t="shared" si="65"/>
        <v>11017.182130583942</v>
      </c>
      <c r="F875" s="35">
        <f t="shared" si="66"/>
        <v>13608.523506287289</v>
      </c>
      <c r="G875" s="35">
        <f t="shared" si="67"/>
        <v>12003.006015621721</v>
      </c>
      <c r="H875" s="36">
        <f t="shared" si="68"/>
        <v>15.563506287289783</v>
      </c>
      <c r="I875" s="36">
        <f t="shared" si="69"/>
        <v>242.22272795450863</v>
      </c>
    </row>
    <row r="876" spans="3:9" x14ac:dyDescent="0.25">
      <c r="C876" s="41">
        <v>3191.04</v>
      </c>
      <c r="D876" s="41">
        <v>13608.98</v>
      </c>
      <c r="E876" s="34">
        <f t="shared" si="65"/>
        <v>10972.602739726053</v>
      </c>
      <c r="F876" s="35">
        <f t="shared" si="66"/>
        <v>13626.053715626889</v>
      </c>
      <c r="G876" s="35">
        <f t="shared" si="67"/>
        <v>12010.980263755413</v>
      </c>
      <c r="H876" s="36">
        <f t="shared" si="68"/>
        <v>17.07371562688968</v>
      </c>
      <c r="I876" s="36">
        <f t="shared" si="69"/>
        <v>291.51176530789684</v>
      </c>
    </row>
    <row r="877" spans="3:9" x14ac:dyDescent="0.25">
      <c r="C877" s="41">
        <v>3193.95</v>
      </c>
      <c r="D877" s="41">
        <v>13625</v>
      </c>
      <c r="E877" s="34">
        <f t="shared" si="65"/>
        <v>11010.309278351366</v>
      </c>
      <c r="F877" s="35">
        <f t="shared" si="66"/>
        <v>13643.535476504972</v>
      </c>
      <c r="G877" s="35">
        <f t="shared" si="67"/>
        <v>12018.932473358571</v>
      </c>
      <c r="H877" s="36">
        <f t="shared" si="68"/>
        <v>18.535476504972394</v>
      </c>
      <c r="I877" s="36">
        <f t="shared" si="69"/>
        <v>343.56388926638363</v>
      </c>
    </row>
    <row r="878" spans="3:9" x14ac:dyDescent="0.25">
      <c r="C878" s="41">
        <v>3196.86</v>
      </c>
      <c r="D878" s="41">
        <v>13641.03</v>
      </c>
      <c r="E878" s="34">
        <f t="shared" si="65"/>
        <v>11017.182130583473</v>
      </c>
      <c r="F878" s="35">
        <f t="shared" si="66"/>
        <v>13661.028811677888</v>
      </c>
      <c r="G878" s="35">
        <f t="shared" si="67"/>
        <v>12026.889947947282</v>
      </c>
      <c r="H878" s="36">
        <f t="shared" si="68"/>
        <v>19.998811677887716</v>
      </c>
      <c r="I878" s="36">
        <f t="shared" si="69"/>
        <v>399.95246852761807</v>
      </c>
    </row>
    <row r="879" spans="3:9" x14ac:dyDescent="0.25">
      <c r="C879" s="41">
        <v>3199.78</v>
      </c>
      <c r="D879" s="41">
        <v>13657.05</v>
      </c>
      <c r="E879" s="34">
        <f t="shared" si="65"/>
        <v>10972.602739724807</v>
      </c>
      <c r="F879" s="35">
        <f t="shared" si="66"/>
        <v>13678.593903140596</v>
      </c>
      <c r="G879" s="35">
        <f t="shared" si="67"/>
        <v>12034.880063473071</v>
      </c>
      <c r="H879" s="36">
        <f t="shared" si="68"/>
        <v>21.54390314059674</v>
      </c>
      <c r="I879" s="36">
        <f t="shared" si="69"/>
        <v>464.13976253141408</v>
      </c>
    </row>
    <row r="880" spans="3:9" x14ac:dyDescent="0.25">
      <c r="C880" s="41">
        <v>3202.69</v>
      </c>
      <c r="D880" s="41">
        <v>13673.07</v>
      </c>
      <c r="E880" s="34">
        <f t="shared" si="65"/>
        <v>11010.309278351366</v>
      </c>
      <c r="F880" s="35">
        <f t="shared" si="66"/>
        <v>13696.110449737622</v>
      </c>
      <c r="G880" s="35">
        <f t="shared" si="67"/>
        <v>12042.848096615409</v>
      </c>
      <c r="H880" s="36">
        <f t="shared" si="68"/>
        <v>23.040449737622112</v>
      </c>
      <c r="I880" s="36">
        <f t="shared" si="69"/>
        <v>530.86232411189087</v>
      </c>
    </row>
    <row r="881" spans="3:9" x14ac:dyDescent="0.25">
      <c r="C881" s="41">
        <v>3205.6</v>
      </c>
      <c r="D881" s="41">
        <v>13689.1</v>
      </c>
      <c r="E881" s="34">
        <f t="shared" si="65"/>
        <v>11017.182130585194</v>
      </c>
      <c r="F881" s="35">
        <f t="shared" si="66"/>
        <v>13713.638593660346</v>
      </c>
      <c r="G881" s="35">
        <f t="shared" si="67"/>
        <v>12050.821405219725</v>
      </c>
      <c r="H881" s="36">
        <f t="shared" si="68"/>
        <v>24.538593660345214</v>
      </c>
      <c r="I881" s="36">
        <f t="shared" si="69"/>
        <v>602.14257882753429</v>
      </c>
    </row>
    <row r="882" spans="3:9" x14ac:dyDescent="0.25">
      <c r="C882" s="41">
        <v>3208.52</v>
      </c>
      <c r="D882" s="41">
        <v>13705.12</v>
      </c>
      <c r="E882" s="34">
        <f t="shared" si="65"/>
        <v>10972.602739726053</v>
      </c>
      <c r="F882" s="35">
        <f t="shared" si="66"/>
        <v>13731.238636655635</v>
      </c>
      <c r="G882" s="35">
        <f t="shared" si="67"/>
        <v>12058.827419711009</v>
      </c>
      <c r="H882" s="36">
        <f t="shared" si="68"/>
        <v>26.118636655633964</v>
      </c>
      <c r="I882" s="36">
        <f t="shared" si="69"/>
        <v>682.18318074902606</v>
      </c>
    </row>
    <row r="883" spans="3:9" x14ac:dyDescent="0.25">
      <c r="C883" s="41">
        <v>3211.43</v>
      </c>
      <c r="D883" s="41">
        <v>13721.14</v>
      </c>
      <c r="E883" s="34">
        <f t="shared" si="65"/>
        <v>11010.309278350116</v>
      </c>
      <c r="F883" s="35">
        <f t="shared" si="66"/>
        <v>13748.790038189249</v>
      </c>
      <c r="G883" s="35">
        <f t="shared" si="67"/>
        <v>12066.811307878674</v>
      </c>
      <c r="H883" s="36">
        <f t="shared" si="68"/>
        <v>27.650038189249244</v>
      </c>
      <c r="I883" s="36">
        <f t="shared" si="69"/>
        <v>764.52461186694165</v>
      </c>
    </row>
    <row r="884" spans="3:9" x14ac:dyDescent="0.25">
      <c r="C884" s="41">
        <v>3214.34</v>
      </c>
      <c r="D884" s="41">
        <v>13737.16</v>
      </c>
      <c r="E884" s="34">
        <f t="shared" si="65"/>
        <v>11010.309278349647</v>
      </c>
      <c r="F884" s="35">
        <f t="shared" si="66"/>
        <v>13766.353060125255</v>
      </c>
      <c r="G884" s="35">
        <f t="shared" si="67"/>
        <v>12074.800482005581</v>
      </c>
      <c r="H884" s="36">
        <f t="shared" si="68"/>
        <v>29.193060125255215</v>
      </c>
      <c r="I884" s="36">
        <f t="shared" si="69"/>
        <v>852.23475947676604</v>
      </c>
    </row>
    <row r="885" spans="3:9" x14ac:dyDescent="0.25">
      <c r="C885" s="41">
        <v>3217.26</v>
      </c>
      <c r="D885" s="41">
        <v>13753.19</v>
      </c>
      <c r="E885" s="34">
        <f t="shared" si="65"/>
        <v>10979.452054794696</v>
      </c>
      <c r="F885" s="35">
        <f t="shared" si="66"/>
        <v>13783.988124200701</v>
      </c>
      <c r="G885" s="35">
        <f t="shared" si="67"/>
        <v>12082.822427098588</v>
      </c>
      <c r="H885" s="36">
        <f t="shared" si="68"/>
        <v>30.79812420070084</v>
      </c>
      <c r="I885" s="36">
        <f t="shared" si="69"/>
        <v>948.52445428179476</v>
      </c>
    </row>
    <row r="886" spans="3:9" x14ac:dyDescent="0.25">
      <c r="C886" s="41">
        <v>3220.17</v>
      </c>
      <c r="D886" s="41">
        <v>13769.21</v>
      </c>
      <c r="E886" s="34">
        <f t="shared" si="65"/>
        <v>11010.309278350116</v>
      </c>
      <c r="F886" s="35">
        <f t="shared" si="66"/>
        <v>13801.574450026274</v>
      </c>
      <c r="G886" s="35">
        <f t="shared" si="67"/>
        <v>12090.822201840369</v>
      </c>
      <c r="H886" s="36">
        <f t="shared" si="68"/>
        <v>32.364450026274426</v>
      </c>
      <c r="I886" s="36">
        <f t="shared" si="69"/>
        <v>1047.4576255032148</v>
      </c>
    </row>
    <row r="887" spans="3:9" x14ac:dyDescent="0.25">
      <c r="C887" s="41">
        <v>3223.08</v>
      </c>
      <c r="D887" s="41">
        <v>13785.23</v>
      </c>
      <c r="E887" s="34">
        <f t="shared" si="65"/>
        <v>11010.309278351366</v>
      </c>
      <c r="F887" s="35">
        <f t="shared" si="66"/>
        <v>13819.172419376846</v>
      </c>
      <c r="G887" s="35">
        <f t="shared" si="67"/>
        <v>12098.827273059545</v>
      </c>
      <c r="H887" s="36">
        <f t="shared" si="68"/>
        <v>33.942419376846374</v>
      </c>
      <c r="I887" s="36">
        <f t="shared" si="69"/>
        <v>1152.0878331537162</v>
      </c>
    </row>
    <row r="888" spans="3:9" x14ac:dyDescent="0.25">
      <c r="C888" s="41">
        <v>3226</v>
      </c>
      <c r="D888" s="41">
        <v>13801.26</v>
      </c>
      <c r="E888" s="34">
        <f t="shared" si="65"/>
        <v>10979.452054794696</v>
      </c>
      <c r="F888" s="35">
        <f t="shared" si="66"/>
        <v>13836.842574218424</v>
      </c>
      <c r="G888" s="35">
        <f t="shared" si="67"/>
        <v>12106.865180453455</v>
      </c>
      <c r="H888" s="36">
        <f t="shared" si="68"/>
        <v>35.58257421842427</v>
      </c>
      <c r="I888" s="36">
        <f t="shared" si="69"/>
        <v>1266.1195880096716</v>
      </c>
    </row>
    <row r="889" spans="3:9" x14ac:dyDescent="0.25">
      <c r="C889" s="41">
        <v>3228.91</v>
      </c>
      <c r="D889" s="41">
        <v>13817.28</v>
      </c>
      <c r="E889" s="34">
        <f t="shared" si="65"/>
        <v>11010.309278351366</v>
      </c>
      <c r="F889" s="35">
        <f t="shared" si="66"/>
        <v>13854.463893829328</v>
      </c>
      <c r="G889" s="35">
        <f t="shared" si="67"/>
        <v>12114.880873380922</v>
      </c>
      <c r="H889" s="36">
        <f t="shared" si="68"/>
        <v>37.183893829327644</v>
      </c>
      <c r="I889" s="36">
        <f t="shared" si="69"/>
        <v>1382.6419603107104</v>
      </c>
    </row>
    <row r="890" spans="3:9" x14ac:dyDescent="0.25">
      <c r="C890" s="41">
        <v>3231.82</v>
      </c>
      <c r="D890" s="41">
        <v>13833.3</v>
      </c>
      <c r="E890" s="34">
        <f t="shared" si="65"/>
        <v>11010.309278348395</v>
      </c>
      <c r="F890" s="35">
        <f t="shared" si="66"/>
        <v>13872.096880133869</v>
      </c>
      <c r="G890" s="35">
        <f t="shared" si="67"/>
        <v>12122.901873324874</v>
      </c>
      <c r="H890" s="36">
        <f t="shared" si="68"/>
        <v>38.796880133870218</v>
      </c>
      <c r="I890" s="36">
        <f t="shared" si="69"/>
        <v>1505.1979081218935</v>
      </c>
    </row>
    <row r="891" spans="3:9" x14ac:dyDescent="0.25">
      <c r="C891" s="41">
        <v>3234.74</v>
      </c>
      <c r="D891" s="41">
        <v>13849.33</v>
      </c>
      <c r="E891" s="34">
        <f t="shared" si="65"/>
        <v>10979.452054796404</v>
      </c>
      <c r="F891" s="35">
        <f t="shared" si="66"/>
        <v>13889.802195566204</v>
      </c>
      <c r="G891" s="35">
        <f t="shared" si="67"/>
        <v>12130.955774781933</v>
      </c>
      <c r="H891" s="36">
        <f t="shared" si="68"/>
        <v>40.472195566204391</v>
      </c>
      <c r="I891" s="36">
        <f t="shared" si="69"/>
        <v>1637.9986139490943</v>
      </c>
    </row>
    <row r="892" spans="3:9" x14ac:dyDescent="0.25">
      <c r="C892" s="41">
        <v>3237.51</v>
      </c>
      <c r="D892" s="41">
        <v>13865.35</v>
      </c>
      <c r="E892" s="34">
        <f t="shared" si="65"/>
        <v>11566.787003608601</v>
      </c>
      <c r="F892" s="35">
        <f t="shared" si="66"/>
        <v>13906.608863003275</v>
      </c>
      <c r="G892" s="35">
        <f t="shared" si="67"/>
        <v>12138.600893778937</v>
      </c>
      <c r="H892" s="36">
        <f t="shared" si="68"/>
        <v>41.25886300327511</v>
      </c>
      <c r="I892" s="36">
        <f t="shared" si="69"/>
        <v>1702.2937763230236</v>
      </c>
    </row>
    <row r="893" spans="3:9" x14ac:dyDescent="0.25">
      <c r="C893" s="41">
        <v>3240.28</v>
      </c>
      <c r="D893" s="41">
        <v>13881.37</v>
      </c>
      <c r="E893" s="34">
        <f t="shared" si="65"/>
        <v>11566.7870036105</v>
      </c>
      <c r="F893" s="35">
        <f t="shared" si="66"/>
        <v>13923.426122266321</v>
      </c>
      <c r="G893" s="35">
        <f t="shared" si="67"/>
        <v>12146.250830850095</v>
      </c>
      <c r="H893" s="36">
        <f t="shared" si="68"/>
        <v>42.056122266320017</v>
      </c>
      <c r="I893" s="36">
        <f t="shared" si="69"/>
        <v>1768.7174200796583</v>
      </c>
    </row>
    <row r="894" spans="3:9" x14ac:dyDescent="0.25">
      <c r="C894" s="41">
        <v>3243.05</v>
      </c>
      <c r="D894" s="41">
        <v>13897.4</v>
      </c>
      <c r="E894" s="34">
        <f t="shared" si="65"/>
        <v>11574.007220215843</v>
      </c>
      <c r="F894" s="35">
        <f t="shared" si="66"/>
        <v>13940.253980030475</v>
      </c>
      <c r="G894" s="35">
        <f t="shared" si="67"/>
        <v>12153.905589031832</v>
      </c>
      <c r="H894" s="36">
        <f t="shared" si="68"/>
        <v>42.853980030475213</v>
      </c>
      <c r="I894" s="36">
        <f t="shared" si="69"/>
        <v>1836.4636044523684</v>
      </c>
    </row>
    <row r="895" spans="3:9" x14ac:dyDescent="0.25">
      <c r="C895" s="41">
        <v>3245.82</v>
      </c>
      <c r="D895" s="41">
        <v>13913.42</v>
      </c>
      <c r="E895" s="34">
        <f t="shared" si="65"/>
        <v>11566.7870036105</v>
      </c>
      <c r="F895" s="35">
        <f t="shared" si="66"/>
        <v>13957.092442975087</v>
      </c>
      <c r="G895" s="35">
        <f t="shared" si="67"/>
        <v>12161.56517136249</v>
      </c>
      <c r="H895" s="36">
        <f t="shared" si="68"/>
        <v>43.672442975086597</v>
      </c>
      <c r="I895" s="36">
        <f t="shared" si="69"/>
        <v>1907.2822754121905</v>
      </c>
    </row>
    <row r="896" spans="3:9" x14ac:dyDescent="0.25">
      <c r="C896" s="41">
        <v>3248.59</v>
      </c>
      <c r="D896" s="41">
        <v>13929.44</v>
      </c>
      <c r="E896" s="34">
        <f t="shared" si="65"/>
        <v>11566.7870036105</v>
      </c>
      <c r="F896" s="35">
        <f t="shared" si="66"/>
        <v>13973.941517783702</v>
      </c>
      <c r="G896" s="35">
        <f t="shared" si="67"/>
        <v>12169.22958088232</v>
      </c>
      <c r="H896" s="36">
        <f t="shared" si="68"/>
        <v>44.501517783701274</v>
      </c>
      <c r="I896" s="36">
        <f t="shared" si="69"/>
        <v>1980.3850850530807</v>
      </c>
    </row>
    <row r="897" spans="3:9" x14ac:dyDescent="0.25">
      <c r="C897" s="41">
        <v>3251.36</v>
      </c>
      <c r="D897" s="41">
        <v>13945.46</v>
      </c>
      <c r="E897" s="34">
        <f t="shared" si="65"/>
        <v>11566.787003609186</v>
      </c>
      <c r="F897" s="35">
        <f t="shared" si="66"/>
        <v>13990.801211144086</v>
      </c>
      <c r="G897" s="35">
        <f t="shared" si="67"/>
        <v>12176.898820633494</v>
      </c>
      <c r="H897" s="36">
        <f t="shared" si="68"/>
        <v>45.341211144086628</v>
      </c>
      <c r="I897" s="36">
        <f t="shared" si="69"/>
        <v>2055.8254280126453</v>
      </c>
    </row>
    <row r="898" spans="3:9" x14ac:dyDescent="0.25">
      <c r="C898" s="41">
        <v>3254.12</v>
      </c>
      <c r="D898" s="41">
        <v>13961.49</v>
      </c>
      <c r="E898" s="34">
        <f t="shared" si="65"/>
        <v>11615.942028986978</v>
      </c>
      <c r="F898" s="35">
        <f t="shared" si="66"/>
        <v>14007.610606953032</v>
      </c>
      <c r="G898" s="35">
        <f t="shared" si="67"/>
        <v>12184.545180728875</v>
      </c>
      <c r="H898" s="36">
        <f t="shared" si="68"/>
        <v>46.12060695303262</v>
      </c>
      <c r="I898" s="36">
        <f t="shared" si="69"/>
        <v>2127.1103857161211</v>
      </c>
    </row>
    <row r="899" spans="3:9" x14ac:dyDescent="0.25">
      <c r="C899" s="41">
        <v>3256.89</v>
      </c>
      <c r="D899" s="41">
        <v>13977.51</v>
      </c>
      <c r="E899" s="34">
        <f t="shared" si="65"/>
        <v>11566.7870036105</v>
      </c>
      <c r="F899" s="35">
        <f t="shared" si="66"/>
        <v>14024.491519102607</v>
      </c>
      <c r="G899" s="35">
        <f t="shared" si="67"/>
        <v>12192.224072611796</v>
      </c>
      <c r="H899" s="36">
        <f t="shared" si="68"/>
        <v>46.981519102606399</v>
      </c>
      <c r="I899" s="36">
        <f t="shared" si="69"/>
        <v>2207.26313718857</v>
      </c>
    </row>
    <row r="900" spans="3:9" x14ac:dyDescent="0.25">
      <c r="C900" s="41">
        <v>3259.66</v>
      </c>
      <c r="D900" s="41">
        <v>13993.53</v>
      </c>
      <c r="E900" s="34">
        <f t="shared" si="65"/>
        <v>11566.7870036105</v>
      </c>
      <c r="F900" s="35">
        <f t="shared" si="66"/>
        <v>14041.383069868336</v>
      </c>
      <c r="G900" s="35">
        <f t="shared" si="67"/>
        <v>12199.907803853073</v>
      </c>
      <c r="H900" s="36">
        <f t="shared" si="68"/>
        <v>47.853069868335297</v>
      </c>
      <c r="I900" s="36">
        <f t="shared" si="69"/>
        <v>2289.9162958237794</v>
      </c>
    </row>
    <row r="901" spans="3:9" x14ac:dyDescent="0.25">
      <c r="C901" s="41">
        <v>3262.43</v>
      </c>
      <c r="D901" s="41">
        <v>14009.56</v>
      </c>
      <c r="E901" s="34">
        <f t="shared" si="65"/>
        <v>11574.007220215843</v>
      </c>
      <c r="F901" s="35">
        <f t="shared" si="66"/>
        <v>14058.285265954857</v>
      </c>
      <c r="G901" s="35">
        <f t="shared" si="67"/>
        <v>12207.596377502548</v>
      </c>
      <c r="H901" s="36">
        <f t="shared" si="68"/>
        <v>48.725265954857605</v>
      </c>
      <c r="I901" s="36">
        <f t="shared" si="69"/>
        <v>2374.1515423716055</v>
      </c>
    </row>
    <row r="902" spans="3:9" x14ac:dyDescent="0.25">
      <c r="C902" s="41">
        <v>3265.2</v>
      </c>
      <c r="D902" s="41">
        <v>14025.58</v>
      </c>
      <c r="E902" s="34">
        <f t="shared" si="65"/>
        <v>11566.7870036105</v>
      </c>
      <c r="F902" s="35">
        <f t="shared" si="66"/>
        <v>14075.198114071007</v>
      </c>
      <c r="G902" s="35">
        <f t="shared" si="67"/>
        <v>12215.289796611982</v>
      </c>
      <c r="H902" s="36">
        <f t="shared" si="68"/>
        <v>49.618114071006858</v>
      </c>
      <c r="I902" s="36">
        <f t="shared" si="69"/>
        <v>2461.9572439634485</v>
      </c>
    </row>
    <row r="903" spans="3:9" x14ac:dyDescent="0.25">
      <c r="C903" s="41">
        <v>3267.97</v>
      </c>
      <c r="D903" s="41">
        <v>14041.6</v>
      </c>
      <c r="E903" s="34">
        <f t="shared" si="65"/>
        <v>11566.7870036105</v>
      </c>
      <c r="F903" s="35">
        <f t="shared" si="66"/>
        <v>14092.121620929865</v>
      </c>
      <c r="G903" s="35">
        <f t="shared" si="67"/>
        <v>12222.988064235058</v>
      </c>
      <c r="H903" s="36">
        <f t="shared" si="68"/>
        <v>50.521620929865094</v>
      </c>
      <c r="I903" s="36">
        <f t="shared" si="69"/>
        <v>2552.4341813809829</v>
      </c>
    </row>
    <row r="904" spans="3:9" x14ac:dyDescent="0.25">
      <c r="C904" s="41">
        <v>3270.74</v>
      </c>
      <c r="D904" s="41">
        <v>14057.63</v>
      </c>
      <c r="E904" s="34">
        <f t="shared" si="65"/>
        <v>11574.007220215843</v>
      </c>
      <c r="F904" s="35">
        <f t="shared" si="66"/>
        <v>14109.055793248746</v>
      </c>
      <c r="G904" s="35">
        <f t="shared" si="67"/>
        <v>12230.691183427389</v>
      </c>
      <c r="H904" s="36">
        <f t="shared" si="68"/>
        <v>51.425793248747141</v>
      </c>
      <c r="I904" s="36">
        <f t="shared" si="69"/>
        <v>2644.6122112628868</v>
      </c>
    </row>
    <row r="905" spans="3:9" x14ac:dyDescent="0.25">
      <c r="C905" s="41">
        <v>3273.5</v>
      </c>
      <c r="D905" s="41">
        <v>14073.65</v>
      </c>
      <c r="E905" s="34">
        <f t="shared" ref="E905:E926" si="70">IF(C905="","",2*(D905-D904)/((C905-C904)/1000))</f>
        <v>11608.69565217331</v>
      </c>
      <c r="F905" s="35">
        <f t="shared" ref="F905:F926" si="71">IF(C905="","",F$7+(F$9/F$10)*(EXP(F$10*(C905-F$8)/2000)-1))</f>
        <v>14125.939445822984</v>
      </c>
      <c r="G905" s="35">
        <f t="shared" ref="G905:G926" si="72">IF(E905="","",F$9+(F905-F$7)*F$10)</f>
        <v>12238.371321891333</v>
      </c>
      <c r="H905" s="36">
        <f t="shared" ref="H905:H926" si="73">IF(F905="","",F905-D905)</f>
        <v>52.289445822983907</v>
      </c>
      <c r="I905" s="36">
        <f t="shared" ref="I905:I926" si="74">IF(H905="","",H905^2)</f>
        <v>2734.1861444747692</v>
      </c>
    </row>
    <row r="906" spans="3:9" x14ac:dyDescent="0.25">
      <c r="C906" s="41">
        <v>3276.27</v>
      </c>
      <c r="D906" s="41">
        <v>14089.67</v>
      </c>
      <c r="E906" s="34">
        <f t="shared" si="70"/>
        <v>11566.7870036105</v>
      </c>
      <c r="F906" s="35">
        <f t="shared" si="71"/>
        <v>14142.894930666645</v>
      </c>
      <c r="G906" s="35">
        <f t="shared" si="72"/>
        <v>12246.084135854428</v>
      </c>
      <c r="H906" s="36">
        <f t="shared" si="73"/>
        <v>53.224930666645378</v>
      </c>
      <c r="I906" s="36">
        <f t="shared" si="74"/>
        <v>2832.8932444692077</v>
      </c>
    </row>
    <row r="907" spans="3:9" x14ac:dyDescent="0.25">
      <c r="C907" s="41">
        <v>3279.04</v>
      </c>
      <c r="D907" s="41">
        <v>14105.69</v>
      </c>
      <c r="E907" s="34">
        <f t="shared" si="70"/>
        <v>11566.7870036105</v>
      </c>
      <c r="F907" s="35">
        <f t="shared" si="71"/>
        <v>14159.861101123341</v>
      </c>
      <c r="G907" s="35">
        <f t="shared" si="72"/>
        <v>12253.8018105541</v>
      </c>
      <c r="H907" s="36">
        <f t="shared" si="73"/>
        <v>54.171101123340122</v>
      </c>
      <c r="I907" s="36">
        <f t="shared" si="74"/>
        <v>2934.5081969151415</v>
      </c>
    </row>
    <row r="908" spans="3:9" x14ac:dyDescent="0.25">
      <c r="C908" s="41">
        <v>3281.81</v>
      </c>
      <c r="D908" s="41">
        <v>14121.72</v>
      </c>
      <c r="E908" s="34">
        <f t="shared" si="70"/>
        <v>11574.007220215843</v>
      </c>
      <c r="F908" s="35">
        <f t="shared" si="71"/>
        <v>14176.837963927328</v>
      </c>
      <c r="G908" s="35">
        <f t="shared" si="72"/>
        <v>12261.524349053674</v>
      </c>
      <c r="H908" s="36">
        <f t="shared" si="73"/>
        <v>55.117963927328674</v>
      </c>
      <c r="I908" s="36">
        <f t="shared" si="74"/>
        <v>3037.9899474943049</v>
      </c>
    </row>
    <row r="909" spans="3:9" x14ac:dyDescent="0.25">
      <c r="C909" s="41">
        <v>3284.58</v>
      </c>
      <c r="D909" s="41">
        <v>14137.74</v>
      </c>
      <c r="E909" s="34">
        <f t="shared" si="70"/>
        <v>11566.7870036105</v>
      </c>
      <c r="F909" s="35">
        <f t="shared" si="71"/>
        <v>14193.825525817088</v>
      </c>
      <c r="G909" s="35">
        <f t="shared" si="72"/>
        <v>12269.25175441839</v>
      </c>
      <c r="H909" s="36">
        <f t="shared" si="73"/>
        <v>56.085525817088637</v>
      </c>
      <c r="I909" s="36">
        <f t="shared" si="74"/>
        <v>3145.5862061793159</v>
      </c>
    </row>
    <row r="910" spans="3:9" x14ac:dyDescent="0.25">
      <c r="C910" s="41">
        <v>3287.35</v>
      </c>
      <c r="D910" s="41">
        <v>14153.76</v>
      </c>
      <c r="E910" s="34">
        <f t="shared" si="70"/>
        <v>11566.7870036105</v>
      </c>
      <c r="F910" s="35">
        <f t="shared" si="71"/>
        <v>14210.823793535355</v>
      </c>
      <c r="G910" s="35">
        <f t="shared" si="72"/>
        <v>12276.984029715422</v>
      </c>
      <c r="H910" s="36">
        <f t="shared" si="73"/>
        <v>57.063793535355217</v>
      </c>
      <c r="I910" s="36">
        <f t="shared" si="74"/>
        <v>3256.2765326456479</v>
      </c>
    </row>
    <row r="911" spans="3:9" x14ac:dyDescent="0.25">
      <c r="C911" s="41">
        <v>3290.12</v>
      </c>
      <c r="D911" s="41">
        <v>14169.79</v>
      </c>
      <c r="E911" s="34">
        <f t="shared" si="70"/>
        <v>11574.007220217156</v>
      </c>
      <c r="F911" s="35">
        <f t="shared" si="71"/>
        <v>14227.832773829101</v>
      </c>
      <c r="G911" s="35">
        <f t="shared" si="72"/>
        <v>12284.721178013875</v>
      </c>
      <c r="H911" s="36">
        <f t="shared" si="73"/>
        <v>58.042773829100042</v>
      </c>
      <c r="I911" s="36">
        <f t="shared" si="74"/>
        <v>3368.9635937760609</v>
      </c>
    </row>
    <row r="912" spans="3:9" x14ac:dyDescent="0.25">
      <c r="C912" s="41">
        <v>3292.88</v>
      </c>
      <c r="D912" s="41">
        <v>14185.81</v>
      </c>
      <c r="E912" s="34">
        <f t="shared" si="70"/>
        <v>11608.695652171993</v>
      </c>
      <c r="F912" s="35">
        <f t="shared" si="71"/>
        <v>14244.791011203459</v>
      </c>
      <c r="G912" s="35">
        <f t="shared" si="72"/>
        <v>12292.435244064856</v>
      </c>
      <c r="H912" s="36">
        <f t="shared" si="73"/>
        <v>58.981011203459275</v>
      </c>
      <c r="I912" s="36">
        <f t="shared" si="74"/>
        <v>3478.7596825825885</v>
      </c>
    </row>
    <row r="913" spans="3:9" x14ac:dyDescent="0.25">
      <c r="C913" s="41">
        <v>3295.65</v>
      </c>
      <c r="D913" s="41">
        <v>14201.83</v>
      </c>
      <c r="E913" s="34">
        <f t="shared" si="70"/>
        <v>11566.7870036105</v>
      </c>
      <c r="F913" s="35">
        <f t="shared" si="71"/>
        <v>14261.82139817166</v>
      </c>
      <c r="G913" s="35">
        <f t="shared" si="72"/>
        <v>12300.182129961448</v>
      </c>
      <c r="H913" s="36">
        <f t="shared" si="73"/>
        <v>59.991398171659966</v>
      </c>
      <c r="I913" s="36">
        <f t="shared" si="74"/>
        <v>3598.9678545906468</v>
      </c>
    </row>
    <row r="914" spans="3:9" x14ac:dyDescent="0.25">
      <c r="C914" s="41">
        <v>3298.42</v>
      </c>
      <c r="D914" s="41">
        <v>14217.86</v>
      </c>
      <c r="E914" s="34">
        <f t="shared" si="70"/>
        <v>11574.007220217156</v>
      </c>
      <c r="F914" s="35">
        <f t="shared" si="71"/>
        <v>14278.862517957403</v>
      </c>
      <c r="G914" s="35">
        <f t="shared" si="72"/>
        <v>12307.933898067291</v>
      </c>
      <c r="H914" s="36">
        <f t="shared" si="73"/>
        <v>61.002517957402233</v>
      </c>
      <c r="I914" s="36">
        <f t="shared" si="74"/>
        <v>3721.3071971431818</v>
      </c>
    </row>
    <row r="915" spans="3:9" x14ac:dyDescent="0.25">
      <c r="C915" s="41">
        <v>3301.19</v>
      </c>
      <c r="D915" s="41">
        <v>14233.88</v>
      </c>
      <c r="E915" s="34">
        <f t="shared" si="70"/>
        <v>11566.787003609186</v>
      </c>
      <c r="F915" s="35">
        <f t="shared" si="71"/>
        <v>14295.91437732468</v>
      </c>
      <c r="G915" s="35">
        <f t="shared" si="72"/>
        <v>12315.690551459236</v>
      </c>
      <c r="H915" s="36">
        <f t="shared" si="73"/>
        <v>62.034377324680463</v>
      </c>
      <c r="I915" s="36">
        <f t="shared" si="74"/>
        <v>3848.2639700608297</v>
      </c>
    </row>
    <row r="916" spans="3:9" x14ac:dyDescent="0.25">
      <c r="C916" s="41">
        <v>3303.96</v>
      </c>
      <c r="D916" s="41">
        <v>14249.9</v>
      </c>
      <c r="E916" s="34">
        <f t="shared" si="70"/>
        <v>11566.7870036105</v>
      </c>
      <c r="F916" s="35">
        <f t="shared" si="71"/>
        <v>14312.976983041741</v>
      </c>
      <c r="G916" s="35">
        <f t="shared" si="72"/>
        <v>12323.452093216063</v>
      </c>
      <c r="H916" s="36">
        <f t="shared" si="73"/>
        <v>63.076983041741187</v>
      </c>
      <c r="I916" s="36">
        <f t="shared" si="74"/>
        <v>3978.7057896481051</v>
      </c>
    </row>
    <row r="917" spans="3:9" x14ac:dyDescent="0.25">
      <c r="C917" s="41">
        <v>3306.73</v>
      </c>
      <c r="D917" s="41">
        <v>14265.93</v>
      </c>
      <c r="E917" s="34">
        <f t="shared" si="70"/>
        <v>11574.007220217156</v>
      </c>
      <c r="F917" s="35">
        <f t="shared" si="71"/>
        <v>14330.050341881106</v>
      </c>
      <c r="G917" s="35">
        <f t="shared" si="72"/>
        <v>12331.218526418495</v>
      </c>
      <c r="H917" s="36">
        <f t="shared" si="73"/>
        <v>64.12034188110556</v>
      </c>
      <c r="I917" s="36">
        <f t="shared" si="74"/>
        <v>4111.4182429498596</v>
      </c>
    </row>
    <row r="918" spans="3:9" x14ac:dyDescent="0.25">
      <c r="C918" s="41">
        <v>3309.5</v>
      </c>
      <c r="D918" s="41">
        <v>14281.95</v>
      </c>
      <c r="E918" s="34">
        <f t="shared" si="70"/>
        <v>11566.7870036105</v>
      </c>
      <c r="F918" s="35">
        <f t="shared" si="71"/>
        <v>14347.13446061956</v>
      </c>
      <c r="G918" s="35">
        <f t="shared" si="72"/>
        <v>12338.9898541492</v>
      </c>
      <c r="H918" s="36">
        <f t="shared" si="73"/>
        <v>65.184460619559104</v>
      </c>
      <c r="I918" s="36">
        <f t="shared" si="74"/>
        <v>4249.0139062628514</v>
      </c>
    </row>
    <row r="919" spans="3:9" x14ac:dyDescent="0.25">
      <c r="C919" s="41">
        <v>3312.26</v>
      </c>
      <c r="D919" s="41">
        <v>14297.97</v>
      </c>
      <c r="E919" s="34">
        <f t="shared" si="70"/>
        <v>11608.695652171993</v>
      </c>
      <c r="F919" s="35">
        <f t="shared" si="71"/>
        <v>14364.16761227797</v>
      </c>
      <c r="G919" s="35">
        <f t="shared" si="72"/>
        <v>12346.737997664872</v>
      </c>
      <c r="H919" s="36">
        <f t="shared" si="73"/>
        <v>66.19761227797062</v>
      </c>
      <c r="I919" s="36">
        <f t="shared" si="74"/>
        <v>4382.1238713045268</v>
      </c>
    </row>
    <row r="920" spans="3:9" x14ac:dyDescent="0.25">
      <c r="C920" s="41">
        <v>3315.02</v>
      </c>
      <c r="D920" s="41">
        <v>14313.99</v>
      </c>
      <c r="E920" s="34">
        <f t="shared" si="70"/>
        <v>11608.695652175224</v>
      </c>
      <c r="F920" s="35">
        <f t="shared" si="71"/>
        <v>14381.211459731179</v>
      </c>
      <c r="G920" s="35">
        <f t="shared" si="72"/>
        <v>12354.491006548666</v>
      </c>
      <c r="H920" s="36">
        <f t="shared" si="73"/>
        <v>67.221459731179493</v>
      </c>
      <c r="I920" s="36">
        <f t="shared" si="74"/>
        <v>4518.7246483905865</v>
      </c>
    </row>
    <row r="921" spans="3:9" x14ac:dyDescent="0.25">
      <c r="C921" s="41">
        <v>3317.6</v>
      </c>
      <c r="D921" s="41">
        <v>14330.02</v>
      </c>
      <c r="E921" s="34">
        <f t="shared" si="70"/>
        <v>12426.356589148145</v>
      </c>
      <c r="F921" s="35">
        <f t="shared" si="71"/>
        <v>14397.15343007049</v>
      </c>
      <c r="G921" s="35">
        <f t="shared" si="72"/>
        <v>12361.742786876153</v>
      </c>
      <c r="H921" s="36">
        <f t="shared" si="73"/>
        <v>67.133430070489339</v>
      </c>
      <c r="I921" s="36">
        <f t="shared" si="74"/>
        <v>4506.8974330292822</v>
      </c>
    </row>
    <row r="922" spans="3:9" x14ac:dyDescent="0.25">
      <c r="C922" s="41">
        <v>3320.18</v>
      </c>
      <c r="D922" s="41">
        <v>14346.04</v>
      </c>
      <c r="E922" s="34">
        <f t="shared" si="70"/>
        <v>12418.604651163478</v>
      </c>
      <c r="F922" s="35">
        <f t="shared" si="71"/>
        <v>14413.104757951669</v>
      </c>
      <c r="G922" s="35">
        <f t="shared" si="72"/>
        <v>12368.99882381914</v>
      </c>
      <c r="H922" s="36">
        <f t="shared" si="73"/>
        <v>67.064757951668071</v>
      </c>
      <c r="I922" s="36">
        <f t="shared" si="74"/>
        <v>4497.681759115826</v>
      </c>
    </row>
    <row r="923" spans="3:9" x14ac:dyDescent="0.25">
      <c r="C923" s="41">
        <v>3322.76</v>
      </c>
      <c r="D923" s="41">
        <v>14362.06</v>
      </c>
      <c r="E923" s="34">
        <f t="shared" si="70"/>
        <v>12418.604651159882</v>
      </c>
      <c r="F923" s="35">
        <f t="shared" si="71"/>
        <v>14429.065448867364</v>
      </c>
      <c r="G923" s="35">
        <f t="shared" si="72"/>
        <v>12376.259119876153</v>
      </c>
      <c r="H923" s="36">
        <f t="shared" si="73"/>
        <v>67.005448867364976</v>
      </c>
      <c r="I923" s="36">
        <f t="shared" si="74"/>
        <v>4489.7301779170621</v>
      </c>
    </row>
    <row r="924" spans="3:9" x14ac:dyDescent="0.25">
      <c r="C924" s="41">
        <v>3325.33</v>
      </c>
      <c r="D924" s="41">
        <v>14378.09</v>
      </c>
      <c r="E924" s="34">
        <f t="shared" si="70"/>
        <v>12474.708171208149</v>
      </c>
      <c r="F924" s="35">
        <f t="shared" si="71"/>
        <v>14444.97359076547</v>
      </c>
      <c r="G924" s="35">
        <f t="shared" si="72"/>
        <v>12383.495512116771</v>
      </c>
      <c r="H924" s="36">
        <f t="shared" si="73"/>
        <v>66.883590765470217</v>
      </c>
      <c r="I924" s="36">
        <f t="shared" si="74"/>
        <v>4473.4147136828933</v>
      </c>
    </row>
    <row r="925" spans="3:9" x14ac:dyDescent="0.25">
      <c r="C925" s="41">
        <v>3327.91</v>
      </c>
      <c r="D925" s="41">
        <v>14394.11</v>
      </c>
      <c r="E925" s="34">
        <f t="shared" si="70"/>
        <v>12418.604651163478</v>
      </c>
      <c r="F925" s="35">
        <f t="shared" si="71"/>
        <v>14460.952987896964</v>
      </c>
      <c r="G925" s="35">
        <f t="shared" si="72"/>
        <v>12390.764317370882</v>
      </c>
      <c r="H925" s="36">
        <f t="shared" si="73"/>
        <v>66.842987896963677</v>
      </c>
      <c r="I925" s="36">
        <f t="shared" si="74"/>
        <v>4467.9850309936328</v>
      </c>
    </row>
    <row r="926" spans="3:9" x14ac:dyDescent="0.25">
      <c r="C926" s="41">
        <v>3330.49</v>
      </c>
      <c r="D926" s="41">
        <v>14410.13</v>
      </c>
      <c r="E926" s="34">
        <f t="shared" si="70"/>
        <v>12418.604651162068</v>
      </c>
      <c r="F926" s="35">
        <f t="shared" si="71"/>
        <v>14476.941764538924</v>
      </c>
      <c r="G926" s="35">
        <f t="shared" si="72"/>
        <v>12398.037389233701</v>
      </c>
      <c r="H926" s="36">
        <f t="shared" si="73"/>
        <v>66.811764538924763</v>
      </c>
      <c r="I926" s="36">
        <f t="shared" si="74"/>
        <v>4463.8118808047248</v>
      </c>
    </row>
  </sheetData>
  <mergeCells count="7">
    <mergeCell ref="F2:H2"/>
    <mergeCell ref="C5:I5"/>
    <mergeCell ref="H7:I8"/>
    <mergeCell ref="H12:I12"/>
    <mergeCell ref="C13:C14"/>
    <mergeCell ref="F13:F14"/>
    <mergeCell ref="G13:G14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05BD-041F-4988-8311-95EDDF3909B0}">
  <dimension ref="A1:V926"/>
  <sheetViews>
    <sheetView topLeftCell="F1" zoomScale="90" zoomScaleNormal="90" workbookViewId="0">
      <pane ySplit="14" topLeftCell="A30" activePane="bottomLeft" state="frozenSplit"/>
      <selection activeCell="E7" sqref="E7:J27"/>
      <selection pane="bottomLeft" activeCell="I14" sqref="I14"/>
    </sheetView>
  </sheetViews>
  <sheetFormatPr defaultRowHeight="13.2" x14ac:dyDescent="0.25"/>
  <cols>
    <col min="1" max="1" width="2.5546875" customWidth="1"/>
    <col min="2" max="2" width="3.88671875" customWidth="1"/>
    <col min="3" max="3" width="10.33203125" style="41" customWidth="1"/>
    <col min="4" max="4" width="9.33203125" style="41" customWidth="1"/>
    <col min="5" max="5" width="9.33203125" style="42" customWidth="1"/>
    <col min="6" max="7" width="9.33203125" customWidth="1"/>
    <col min="8" max="8" width="6.6640625" customWidth="1"/>
    <col min="9" max="9" width="13.5546875" customWidth="1"/>
    <col min="10" max="10" width="4.44140625" customWidth="1"/>
    <col min="11" max="13" width="10.109375" customWidth="1"/>
    <col min="16" max="16" width="12" bestFit="1" customWidth="1"/>
  </cols>
  <sheetData>
    <row r="1" spans="1:12" x14ac:dyDescent="0.25">
      <c r="A1" s="1"/>
      <c r="B1" s="1"/>
      <c r="C1" s="2"/>
      <c r="D1" s="2"/>
      <c r="E1" s="3"/>
      <c r="F1" s="1"/>
      <c r="G1" s="1"/>
      <c r="H1" s="1"/>
      <c r="I1" s="1"/>
      <c r="J1" s="1"/>
    </row>
    <row r="2" spans="1:12" ht="18" customHeight="1" x14ac:dyDescent="0.4">
      <c r="A2" s="1"/>
      <c r="B2" s="1"/>
      <c r="C2" s="4" t="s">
        <v>0</v>
      </c>
      <c r="D2" s="4" t="s">
        <v>24</v>
      </c>
      <c r="E2" s="5"/>
      <c r="F2" s="45"/>
      <c r="G2" s="45"/>
      <c r="H2" s="45"/>
      <c r="I2" s="1"/>
      <c r="J2" s="1"/>
    </row>
    <row r="3" spans="1:12" ht="15.75" customHeight="1" x14ac:dyDescent="0.25">
      <c r="A3" s="1"/>
      <c r="B3" s="1"/>
      <c r="C3" s="4" t="s">
        <v>2</v>
      </c>
      <c r="D3" s="4" t="s">
        <v>3</v>
      </c>
      <c r="E3" s="5" t="s">
        <v>4</v>
      </c>
      <c r="F3" s="6"/>
      <c r="G3" s="6"/>
      <c r="H3" s="6"/>
      <c r="I3" s="7"/>
      <c r="J3" s="1"/>
    </row>
    <row r="4" spans="1:12" ht="13.8" thickBot="1" x14ac:dyDescent="0.3">
      <c r="A4" s="1"/>
      <c r="B4" s="1"/>
      <c r="C4" s="8"/>
      <c r="D4" s="2"/>
      <c r="E4" s="3"/>
      <c r="F4" s="9"/>
      <c r="G4" s="9"/>
      <c r="H4" s="1"/>
      <c r="I4" s="7"/>
      <c r="J4" s="1"/>
    </row>
    <row r="5" spans="1:12" x14ac:dyDescent="0.25">
      <c r="A5" s="1"/>
      <c r="B5" s="1"/>
      <c r="C5" s="46" t="s">
        <v>5</v>
      </c>
      <c r="D5" s="47"/>
      <c r="E5" s="47"/>
      <c r="F5" s="47"/>
      <c r="G5" s="47"/>
      <c r="H5" s="47"/>
      <c r="I5" s="48"/>
      <c r="J5" s="1"/>
    </row>
    <row r="6" spans="1:12" x14ac:dyDescent="0.25">
      <c r="A6" s="1"/>
      <c r="B6" s="1"/>
      <c r="C6" s="10"/>
      <c r="D6" s="2"/>
      <c r="E6" s="3"/>
      <c r="F6" s="9"/>
      <c r="G6" s="9"/>
      <c r="H6" s="1"/>
      <c r="I6" s="11"/>
      <c r="J6" s="1"/>
    </row>
    <row r="7" spans="1:12" x14ac:dyDescent="0.25">
      <c r="A7" s="1"/>
      <c r="B7" s="1"/>
      <c r="C7" s="10"/>
      <c r="D7" s="12" t="s">
        <v>6</v>
      </c>
      <c r="E7" s="13"/>
      <c r="F7" s="14">
        <v>0</v>
      </c>
      <c r="G7" s="9"/>
      <c r="H7" s="49" t="s">
        <v>7</v>
      </c>
      <c r="I7" s="50"/>
      <c r="J7" s="1"/>
    </row>
    <row r="8" spans="1:12" x14ac:dyDescent="0.25">
      <c r="A8" s="1"/>
      <c r="B8" s="1"/>
      <c r="C8" s="10"/>
      <c r="D8" s="12" t="s">
        <v>8</v>
      </c>
      <c r="E8" s="13"/>
      <c r="F8" s="14">
        <v>0</v>
      </c>
      <c r="G8" s="9"/>
      <c r="H8" s="49"/>
      <c r="I8" s="50"/>
      <c r="J8" s="1"/>
    </row>
    <row r="9" spans="1:12" x14ac:dyDescent="0.25">
      <c r="A9" s="1"/>
      <c r="B9" s="1"/>
      <c r="C9" s="10"/>
      <c r="D9" s="15" t="s">
        <v>9</v>
      </c>
      <c r="E9" s="13"/>
      <c r="F9" s="16">
        <v>5812.6781609972159</v>
      </c>
      <c r="G9" s="9"/>
      <c r="H9" s="1"/>
      <c r="I9" s="11"/>
      <c r="J9" s="1"/>
    </row>
    <row r="10" spans="1:12" x14ac:dyDescent="0.25">
      <c r="A10" s="1"/>
      <c r="B10" s="1"/>
      <c r="C10" s="10"/>
      <c r="D10" s="15" t="s">
        <v>10</v>
      </c>
      <c r="E10" s="13"/>
      <c r="F10" s="17">
        <v>0.45488607575719031</v>
      </c>
      <c r="G10" s="9"/>
      <c r="H10" s="18"/>
      <c r="I10" s="19"/>
      <c r="J10" s="1"/>
    </row>
    <row r="11" spans="1:12" x14ac:dyDescent="0.25">
      <c r="A11" s="1"/>
      <c r="B11" s="20"/>
      <c r="C11" s="21"/>
      <c r="D11" s="22"/>
      <c r="E11" s="23"/>
      <c r="F11" s="20"/>
      <c r="G11" s="9"/>
      <c r="H11" s="1"/>
      <c r="I11" s="11"/>
      <c r="J11" s="1"/>
    </row>
    <row r="12" spans="1:12" x14ac:dyDescent="0.25">
      <c r="A12" s="1"/>
      <c r="B12" s="20"/>
      <c r="C12" s="21"/>
      <c r="D12" s="22"/>
      <c r="E12" s="23"/>
      <c r="F12" s="20"/>
      <c r="G12" s="9"/>
      <c r="H12" s="51" t="s">
        <v>11</v>
      </c>
      <c r="I12" s="52"/>
      <c r="J12" s="1"/>
    </row>
    <row r="13" spans="1:12" ht="12.75" customHeight="1" x14ac:dyDescent="0.25">
      <c r="A13" s="1"/>
      <c r="B13" s="20"/>
      <c r="C13" s="53" t="s">
        <v>12</v>
      </c>
      <c r="D13" s="24"/>
      <c r="E13" s="25"/>
      <c r="F13" s="55" t="s">
        <v>13</v>
      </c>
      <c r="G13" s="55" t="s">
        <v>14</v>
      </c>
      <c r="H13" s="43" t="s">
        <v>15</v>
      </c>
      <c r="I13" s="44" t="s">
        <v>16</v>
      </c>
      <c r="J13" s="1"/>
      <c r="K13" t="s">
        <v>17</v>
      </c>
    </row>
    <row r="14" spans="1:12" s="31" customFormat="1" ht="12.6" thickBot="1" x14ac:dyDescent="0.3">
      <c r="A14" s="26"/>
      <c r="B14" s="26"/>
      <c r="C14" s="54"/>
      <c r="D14" s="27" t="s">
        <v>18</v>
      </c>
      <c r="E14" s="28" t="s">
        <v>19</v>
      </c>
      <c r="F14" s="55"/>
      <c r="G14" s="55"/>
      <c r="H14" s="29"/>
      <c r="I14" s="30">
        <f>SQRT(SUM(I15:I926))</f>
        <v>1533.8860631845248</v>
      </c>
      <c r="J14" s="26"/>
      <c r="K14" s="31" t="s">
        <v>20</v>
      </c>
      <c r="L14" s="31" t="s">
        <v>21</v>
      </c>
    </row>
    <row r="15" spans="1:12" x14ac:dyDescent="0.25">
      <c r="A15" s="32"/>
      <c r="B15" s="32">
        <v>1</v>
      </c>
      <c r="C15" s="33">
        <v>0</v>
      </c>
      <c r="D15" s="33">
        <v>0</v>
      </c>
      <c r="E15" s="34" t="e">
        <f t="shared" ref="E15:E78" si="0">IF(C15="","",2*(D15-D14)/((C15-C14)/1000))</f>
        <v>#VALUE!</v>
      </c>
      <c r="F15" s="35">
        <f t="shared" ref="F15:F78" si="1">IF(C15="","",F$7+(F$9/F$10)*(EXP(F$10*(C15-F$8)/2000)-1))</f>
        <v>0</v>
      </c>
      <c r="G15" s="35" t="e">
        <f t="shared" ref="G15:G78" si="2">IF(E15="","",F$9+(F15-F$7)*F$10)</f>
        <v>#VALUE!</v>
      </c>
      <c r="H15" s="36">
        <f t="shared" ref="H15:H78" si="3">IF(F15="","",F15-D15)</f>
        <v>0</v>
      </c>
      <c r="I15" s="36">
        <f t="shared" ref="I15:I78" si="4">IF(H15="","",H15^2)</f>
        <v>0</v>
      </c>
      <c r="J15" s="1"/>
    </row>
    <row r="16" spans="1:12" x14ac:dyDescent="0.25">
      <c r="A16" s="32"/>
      <c r="B16" s="32">
        <v>2</v>
      </c>
      <c r="C16" s="33">
        <v>9.49</v>
      </c>
      <c r="D16" s="33">
        <v>15.74</v>
      </c>
      <c r="E16" s="34">
        <f t="shared" si="0"/>
        <v>3317.1759747102215</v>
      </c>
      <c r="F16" s="35">
        <f t="shared" si="1"/>
        <v>27.610945361903998</v>
      </c>
      <c r="G16" s="35">
        <f t="shared" si="2"/>
        <v>5825.2379955808383</v>
      </c>
      <c r="H16" s="36">
        <f t="shared" si="3"/>
        <v>11.870945361903997</v>
      </c>
      <c r="I16" s="36">
        <f t="shared" si="4"/>
        <v>140.91934378531002</v>
      </c>
      <c r="J16" s="1"/>
    </row>
    <row r="17" spans="1:10" x14ac:dyDescent="0.25">
      <c r="A17" s="32"/>
      <c r="B17" s="32">
        <v>3</v>
      </c>
      <c r="C17" s="33">
        <v>19.38</v>
      </c>
      <c r="D17" s="33">
        <v>32.15</v>
      </c>
      <c r="E17" s="34">
        <f t="shared" si="0"/>
        <v>3318.5035389282098</v>
      </c>
      <c r="F17" s="35">
        <f t="shared" si="1"/>
        <v>56.449169609001615</v>
      </c>
      <c r="G17" s="35">
        <f t="shared" si="2"/>
        <v>5838.3561022404065</v>
      </c>
      <c r="H17" s="36">
        <f t="shared" si="3"/>
        <v>24.299169609001616</v>
      </c>
      <c r="I17" s="36">
        <f t="shared" si="4"/>
        <v>590.44964368702779</v>
      </c>
      <c r="J17" s="1"/>
    </row>
    <row r="18" spans="1:10" x14ac:dyDescent="0.25">
      <c r="A18" s="32"/>
      <c r="B18" s="32">
        <v>4</v>
      </c>
      <c r="C18" s="33">
        <v>29.27</v>
      </c>
      <c r="D18" s="33">
        <v>48.55</v>
      </c>
      <c r="E18" s="34">
        <f t="shared" si="0"/>
        <v>3316.481294236602</v>
      </c>
      <c r="F18" s="35">
        <f t="shared" si="1"/>
        <v>85.352335906852858</v>
      </c>
      <c r="G18" s="35">
        <f t="shared" si="2"/>
        <v>5851.5037501345932</v>
      </c>
      <c r="H18" s="36">
        <f t="shared" si="3"/>
        <v>36.802335906852861</v>
      </c>
      <c r="I18" s="36">
        <f t="shared" si="4"/>
        <v>1354.4119282008314</v>
      </c>
      <c r="J18" s="1"/>
    </row>
    <row r="19" spans="1:10" x14ac:dyDescent="0.25">
      <c r="A19" s="32"/>
      <c r="B19" s="32">
        <v>5</v>
      </c>
      <c r="C19" s="33">
        <v>39.159999999999997</v>
      </c>
      <c r="D19" s="33">
        <v>64.95</v>
      </c>
      <c r="E19" s="34">
        <f t="shared" si="0"/>
        <v>3316.4812942366048</v>
      </c>
      <c r="F19" s="35">
        <f t="shared" si="1"/>
        <v>114.32059050128261</v>
      </c>
      <c r="G19" s="35">
        <f t="shared" si="2"/>
        <v>5864.6810057885887</v>
      </c>
      <c r="H19" s="36">
        <f t="shared" si="3"/>
        <v>49.370590501282607</v>
      </c>
      <c r="I19" s="36">
        <f t="shared" si="4"/>
        <v>2437.4552064453364</v>
      </c>
      <c r="J19" s="1"/>
    </row>
    <row r="20" spans="1:10" x14ac:dyDescent="0.25">
      <c r="A20" s="32"/>
      <c r="B20" s="32">
        <v>6</v>
      </c>
      <c r="C20" s="33">
        <v>44.59</v>
      </c>
      <c r="D20" s="33">
        <v>81.36</v>
      </c>
      <c r="E20" s="34">
        <f t="shared" si="0"/>
        <v>6044.1988950276154</v>
      </c>
      <c r="F20" s="35">
        <f t="shared" si="1"/>
        <v>130.25303581691901</v>
      </c>
      <c r="G20" s="35">
        <f t="shared" si="2"/>
        <v>5871.928453315435</v>
      </c>
      <c r="H20" s="36">
        <f t="shared" si="3"/>
        <v>48.89303581691901</v>
      </c>
      <c r="I20" s="36">
        <f t="shared" si="4"/>
        <v>2390.5289513945249</v>
      </c>
      <c r="J20" s="1"/>
    </row>
    <row r="21" spans="1:10" x14ac:dyDescent="0.25">
      <c r="A21" s="32"/>
      <c r="B21" s="32">
        <v>7</v>
      </c>
      <c r="C21" s="33">
        <v>49.55</v>
      </c>
      <c r="D21" s="33">
        <v>97.76</v>
      </c>
      <c r="E21" s="34">
        <f t="shared" si="0"/>
        <v>6612.9032258064617</v>
      </c>
      <c r="F21" s="35">
        <f t="shared" si="1"/>
        <v>144.82363550988575</v>
      </c>
      <c r="G21" s="35">
        <f t="shared" si="2"/>
        <v>5878.5564162311975</v>
      </c>
      <c r="H21" s="36">
        <f t="shared" si="3"/>
        <v>47.063635509885742</v>
      </c>
      <c r="I21" s="36">
        <f t="shared" si="4"/>
        <v>2214.9857874073782</v>
      </c>
      <c r="J21" s="1"/>
    </row>
    <row r="22" spans="1:10" x14ac:dyDescent="0.25">
      <c r="A22" s="32"/>
      <c r="B22" s="32">
        <v>8</v>
      </c>
      <c r="C22" s="33">
        <v>54.5</v>
      </c>
      <c r="D22" s="33">
        <v>114.17</v>
      </c>
      <c r="E22" s="34">
        <f t="shared" si="0"/>
        <v>6630.3030303030246</v>
      </c>
      <c r="F22" s="35">
        <f t="shared" si="1"/>
        <v>159.38125590016176</v>
      </c>
      <c r="G22" s="35">
        <f t="shared" si="2"/>
        <v>5885.1784750428933</v>
      </c>
      <c r="H22" s="36">
        <f t="shared" si="3"/>
        <v>45.21125590016176</v>
      </c>
      <c r="I22" s="36">
        <f t="shared" si="4"/>
        <v>2044.0576600699114</v>
      </c>
      <c r="J22" s="1"/>
    </row>
    <row r="23" spans="1:10" x14ac:dyDescent="0.25">
      <c r="A23" s="32"/>
      <c r="B23" s="32">
        <v>9</v>
      </c>
      <c r="C23" s="33">
        <v>59.46</v>
      </c>
      <c r="D23" s="33">
        <v>130.57</v>
      </c>
      <c r="E23" s="34">
        <f t="shared" si="0"/>
        <v>6612.9032258064472</v>
      </c>
      <c r="F23" s="35">
        <f t="shared" si="1"/>
        <v>173.98473418898274</v>
      </c>
      <c r="G23" s="35">
        <f t="shared" si="2"/>
        <v>5891.8213939740999</v>
      </c>
      <c r="H23" s="36">
        <f t="shared" si="3"/>
        <v>43.414734188982749</v>
      </c>
      <c r="I23" s="36">
        <f t="shared" si="4"/>
        <v>1884.8391447000276</v>
      </c>
      <c r="J23" s="1"/>
    </row>
    <row r="24" spans="1:10" x14ac:dyDescent="0.25">
      <c r="A24" s="32"/>
      <c r="B24" s="32">
        <v>10</v>
      </c>
      <c r="C24" s="33">
        <v>64.42</v>
      </c>
      <c r="D24" s="33">
        <v>146.97999999999999</v>
      </c>
      <c r="E24" s="34">
        <f t="shared" si="0"/>
        <v>6616.9354838709651</v>
      </c>
      <c r="F24" s="35">
        <f t="shared" si="1"/>
        <v>188.60469621280046</v>
      </c>
      <c r="G24" s="35">
        <f t="shared" si="2"/>
        <v>5898.4718111268339</v>
      </c>
      <c r="H24" s="36">
        <f t="shared" si="3"/>
        <v>41.624696212800472</v>
      </c>
      <c r="I24" s="36">
        <f t="shared" si="4"/>
        <v>1732.615334807926</v>
      </c>
      <c r="J24" s="1"/>
    </row>
    <row r="25" spans="1:10" x14ac:dyDescent="0.25">
      <c r="A25" s="32"/>
      <c r="B25" s="32">
        <v>11</v>
      </c>
      <c r="C25" s="33">
        <v>69.38</v>
      </c>
      <c r="D25" s="33">
        <v>163.38</v>
      </c>
      <c r="E25" s="34">
        <f t="shared" si="0"/>
        <v>6612.9032258064617</v>
      </c>
      <c r="F25" s="35">
        <f t="shared" si="1"/>
        <v>203.2411605776974</v>
      </c>
      <c r="G25" s="35">
        <f t="shared" si="2"/>
        <v>5905.1297349647411</v>
      </c>
      <c r="H25" s="36">
        <f t="shared" si="3"/>
        <v>39.861160577697405</v>
      </c>
      <c r="I25" s="36">
        <f t="shared" si="4"/>
        <v>1588.9121226009777</v>
      </c>
      <c r="J25" s="1"/>
    </row>
    <row r="26" spans="1:10" x14ac:dyDescent="0.25">
      <c r="A26" s="32"/>
      <c r="B26" s="32">
        <v>12</v>
      </c>
      <c r="C26" s="33">
        <v>74.33</v>
      </c>
      <c r="D26" s="33">
        <v>179.78</v>
      </c>
      <c r="E26" s="34">
        <f t="shared" si="0"/>
        <v>6626.2626262626245</v>
      </c>
      <c r="F26" s="35">
        <f t="shared" si="1"/>
        <v>217.86458696850167</v>
      </c>
      <c r="G26" s="35">
        <f t="shared" si="2"/>
        <v>5911.7817280097788</v>
      </c>
      <c r="H26" s="36">
        <f t="shared" si="3"/>
        <v>38.084586968501668</v>
      </c>
      <c r="I26" s="36">
        <f t="shared" si="4"/>
        <v>1450.435764561367</v>
      </c>
      <c r="J26" s="1"/>
    </row>
    <row r="27" spans="1:10" x14ac:dyDescent="0.25">
      <c r="A27" s="32"/>
      <c r="B27" s="32">
        <v>13</v>
      </c>
      <c r="C27" s="33">
        <v>79.290000000000006</v>
      </c>
      <c r="D27" s="33">
        <v>196.19</v>
      </c>
      <c r="E27" s="34">
        <f t="shared" si="0"/>
        <v>6616.935483870956</v>
      </c>
      <c r="F27" s="35">
        <f t="shared" si="1"/>
        <v>232.53407855305744</v>
      </c>
      <c r="G27" s="35">
        <f t="shared" si="2"/>
        <v>5918.4546754700305</v>
      </c>
      <c r="H27" s="36">
        <f t="shared" si="3"/>
        <v>36.344078553057443</v>
      </c>
      <c r="I27" s="36">
        <f t="shared" si="4"/>
        <v>1320.8920458708101</v>
      </c>
      <c r="J27" s="1"/>
    </row>
    <row r="28" spans="1:10" x14ac:dyDescent="0.25">
      <c r="A28" s="32"/>
      <c r="B28" s="32">
        <v>14</v>
      </c>
      <c r="C28" s="33">
        <v>84.25</v>
      </c>
      <c r="D28" s="33">
        <v>212.59</v>
      </c>
      <c r="E28" s="34">
        <f t="shared" si="0"/>
        <v>6612.9032258064617</v>
      </c>
      <c r="F28" s="35">
        <f t="shared" si="1"/>
        <v>247.22012838538291</v>
      </c>
      <c r="G28" s="35">
        <f t="shared" si="2"/>
        <v>5925.1351550466316</v>
      </c>
      <c r="H28" s="36">
        <f t="shared" si="3"/>
        <v>34.630128385382903</v>
      </c>
      <c r="I28" s="36">
        <f t="shared" si="4"/>
        <v>1199.2457919881026</v>
      </c>
      <c r="J28" s="1"/>
    </row>
    <row r="29" spans="1:10" x14ac:dyDescent="0.25">
      <c r="A29" s="32"/>
      <c r="B29" s="32">
        <v>15</v>
      </c>
      <c r="C29" s="33">
        <v>89.21</v>
      </c>
      <c r="D29" s="33">
        <v>229</v>
      </c>
      <c r="E29" s="34">
        <f t="shared" si="0"/>
        <v>6616.9354838709742</v>
      </c>
      <c r="F29" s="35">
        <f t="shared" si="1"/>
        <v>261.92275515566541</v>
      </c>
      <c r="G29" s="35">
        <f t="shared" si="2"/>
        <v>5931.8231752414877</v>
      </c>
      <c r="H29" s="36">
        <f t="shared" si="3"/>
        <v>32.922755155665413</v>
      </c>
      <c r="I29" s="36">
        <f t="shared" si="4"/>
        <v>1083.9078070398937</v>
      </c>
      <c r="J29" s="1"/>
    </row>
    <row r="30" spans="1:10" x14ac:dyDescent="0.25">
      <c r="A30" s="32"/>
      <c r="B30" s="32">
        <v>16</v>
      </c>
      <c r="C30" s="33">
        <v>94.17</v>
      </c>
      <c r="D30" s="33">
        <v>245.4</v>
      </c>
      <c r="E30" s="34">
        <f t="shared" si="0"/>
        <v>6612.9032258064435</v>
      </c>
      <c r="F30" s="35">
        <f t="shared" si="1"/>
        <v>276.64197757519372</v>
      </c>
      <c r="G30" s="35">
        <f t="shared" si="2"/>
        <v>5938.518744566104</v>
      </c>
      <c r="H30" s="36">
        <f t="shared" si="3"/>
        <v>31.241977575193715</v>
      </c>
      <c r="I30" s="36">
        <f t="shared" si="4"/>
        <v>976.06116280890694</v>
      </c>
      <c r="J30" s="1"/>
    </row>
    <row r="31" spans="1:10" x14ac:dyDescent="0.25">
      <c r="A31" s="32"/>
      <c r="B31" s="32">
        <v>17</v>
      </c>
      <c r="C31" s="33">
        <v>99.12</v>
      </c>
      <c r="D31" s="33">
        <v>261.8</v>
      </c>
      <c r="E31" s="34">
        <f t="shared" si="0"/>
        <v>6626.2626262626245</v>
      </c>
      <c r="F31" s="35">
        <f t="shared" si="1"/>
        <v>291.34808830081806</v>
      </c>
      <c r="G31" s="35">
        <f t="shared" si="2"/>
        <v>5945.2083495637344</v>
      </c>
      <c r="H31" s="36">
        <f t="shared" si="3"/>
        <v>29.548088300818051</v>
      </c>
      <c r="I31" s="36">
        <f t="shared" si="4"/>
        <v>873.08952223294057</v>
      </c>
      <c r="J31" s="1"/>
    </row>
    <row r="32" spans="1:10" x14ac:dyDescent="0.25">
      <c r="A32" s="32"/>
      <c r="B32" s="32">
        <v>18</v>
      </c>
      <c r="C32" s="33">
        <v>104.08</v>
      </c>
      <c r="D32" s="33">
        <v>278.20999999999998</v>
      </c>
      <c r="E32" s="34">
        <f t="shared" si="0"/>
        <v>6616.9354838709633</v>
      </c>
      <c r="F32" s="35">
        <f t="shared" si="1"/>
        <v>306.10052468376978</v>
      </c>
      <c r="G32" s="35">
        <f t="shared" si="2"/>
        <v>5951.9190274578332</v>
      </c>
      <c r="H32" s="36">
        <f t="shared" si="3"/>
        <v>27.890524683769797</v>
      </c>
      <c r="I32" s="36">
        <f t="shared" si="4"/>
        <v>777.88136713597237</v>
      </c>
      <c r="J32" s="1"/>
    </row>
    <row r="33" spans="1:10" x14ac:dyDescent="0.25">
      <c r="A33" s="32"/>
      <c r="B33" s="32">
        <v>19</v>
      </c>
      <c r="C33" s="33">
        <v>109.04</v>
      </c>
      <c r="D33" s="33">
        <v>294.61</v>
      </c>
      <c r="E33" s="34">
        <f t="shared" si="0"/>
        <v>6612.9032258064553</v>
      </c>
      <c r="F33" s="35">
        <f t="shared" si="1"/>
        <v>320.86961293876482</v>
      </c>
      <c r="G33" s="35">
        <f t="shared" si="2"/>
        <v>5958.6372800566587</v>
      </c>
      <c r="H33" s="36">
        <f t="shared" si="3"/>
        <v>26.259612938764803</v>
      </c>
      <c r="I33" s="36">
        <f t="shared" si="4"/>
        <v>689.56727169374392</v>
      </c>
      <c r="J33" s="1"/>
    </row>
    <row r="34" spans="1:10" x14ac:dyDescent="0.25">
      <c r="A34" s="32"/>
      <c r="B34" s="32">
        <v>20</v>
      </c>
      <c r="C34" s="33">
        <v>114</v>
      </c>
      <c r="D34" s="33">
        <v>311.02</v>
      </c>
      <c r="E34" s="34">
        <f t="shared" si="0"/>
        <v>6616.9354838709633</v>
      </c>
      <c r="F34" s="35">
        <f t="shared" si="1"/>
        <v>335.65537186167359</v>
      </c>
      <c r="G34" s="35">
        <f t="shared" si="2"/>
        <v>5965.3631159101933</v>
      </c>
      <c r="H34" s="36">
        <f t="shared" si="3"/>
        <v>24.635371861673605</v>
      </c>
      <c r="I34" s="36">
        <f t="shared" si="4"/>
        <v>606.90154676293957</v>
      </c>
      <c r="J34" s="1"/>
    </row>
    <row r="35" spans="1:10" x14ac:dyDescent="0.25">
      <c r="A35" s="32"/>
      <c r="B35" s="32">
        <v>21</v>
      </c>
      <c r="C35" s="33">
        <v>118.95</v>
      </c>
      <c r="D35" s="33">
        <v>327.42</v>
      </c>
      <c r="E35" s="34">
        <f t="shared" si="0"/>
        <v>6626.2626262626363</v>
      </c>
      <c r="F35" s="35">
        <f t="shared" si="1"/>
        <v>350.42795982082129</v>
      </c>
      <c r="G35" s="35">
        <f t="shared" si="2"/>
        <v>5972.0829604757073</v>
      </c>
      <c r="H35" s="36">
        <f t="shared" si="3"/>
        <v>23.00795982082127</v>
      </c>
      <c r="I35" s="36">
        <f t="shared" si="4"/>
        <v>529.36621511652595</v>
      </c>
      <c r="J35" s="1"/>
    </row>
    <row r="36" spans="1:10" x14ac:dyDescent="0.25">
      <c r="A36" s="32"/>
      <c r="B36" s="32">
        <v>22</v>
      </c>
      <c r="C36" s="33">
        <v>123.91</v>
      </c>
      <c r="D36" s="33">
        <v>343.82</v>
      </c>
      <c r="E36" s="34">
        <f t="shared" si="0"/>
        <v>6612.9032258064508</v>
      </c>
      <c r="F36" s="35">
        <f t="shared" si="1"/>
        <v>365.24708284694333</v>
      </c>
      <c r="G36" s="35">
        <f t="shared" si="2"/>
        <v>5978.8239731952235</v>
      </c>
      <c r="H36" s="36">
        <f t="shared" si="3"/>
        <v>21.427082846943335</v>
      </c>
      <c r="I36" s="36">
        <f t="shared" si="4"/>
        <v>459.11987932977331</v>
      </c>
      <c r="J36" s="1"/>
    </row>
    <row r="37" spans="1:10" x14ac:dyDescent="0.25">
      <c r="A37" s="32"/>
      <c r="B37" s="32">
        <v>23</v>
      </c>
      <c r="C37" s="33">
        <v>128.87</v>
      </c>
      <c r="D37" s="33">
        <v>360.23</v>
      </c>
      <c r="E37" s="34">
        <f t="shared" si="0"/>
        <v>6616.9354838709678</v>
      </c>
      <c r="F37" s="35">
        <f t="shared" si="1"/>
        <v>380.08293301792986</v>
      </c>
      <c r="G37" s="35">
        <f t="shared" si="2"/>
        <v>5985.5725948600248</v>
      </c>
      <c r="H37" s="36">
        <f t="shared" si="3"/>
        <v>19.852933017929843</v>
      </c>
      <c r="I37" s="36">
        <f t="shared" si="4"/>
        <v>394.13894941440896</v>
      </c>
      <c r="J37" s="1"/>
    </row>
    <row r="38" spans="1:10" x14ac:dyDescent="0.25">
      <c r="A38" s="32"/>
      <c r="B38" s="32">
        <v>24</v>
      </c>
      <c r="C38" s="33">
        <v>133.83000000000001</v>
      </c>
      <c r="D38" s="33">
        <v>376.63</v>
      </c>
      <c r="E38" s="34">
        <f t="shared" si="0"/>
        <v>6612.9032258064317</v>
      </c>
      <c r="F38" s="35">
        <f t="shared" si="1"/>
        <v>394.93552921461031</v>
      </c>
      <c r="G38" s="35">
        <f t="shared" si="2"/>
        <v>5992.3288340587387</v>
      </c>
      <c r="H38" s="36">
        <f t="shared" si="3"/>
        <v>18.305529214610317</v>
      </c>
      <c r="I38" s="36">
        <f t="shared" si="4"/>
        <v>335.09239982695181</v>
      </c>
      <c r="J38" s="1"/>
    </row>
    <row r="39" spans="1:10" x14ac:dyDescent="0.25">
      <c r="A39" s="32"/>
      <c r="B39" s="32">
        <v>25</v>
      </c>
      <c r="C39" s="33">
        <v>138.78</v>
      </c>
      <c r="D39" s="33">
        <v>393.04</v>
      </c>
      <c r="E39" s="34">
        <f t="shared" si="0"/>
        <v>6630.3030303030564</v>
      </c>
      <c r="F39" s="35">
        <f t="shared" si="1"/>
        <v>409.77489490974392</v>
      </c>
      <c r="G39" s="35">
        <f t="shared" si="2"/>
        <v>5999.0790548865243</v>
      </c>
      <c r="H39" s="36">
        <f t="shared" si="3"/>
        <v>16.7348949097439</v>
      </c>
      <c r="I39" s="36">
        <f t="shared" si="4"/>
        <v>280.05670764017231</v>
      </c>
      <c r="J39" s="1"/>
    </row>
    <row r="40" spans="1:10" x14ac:dyDescent="0.25">
      <c r="A40" s="32"/>
      <c r="B40" s="32">
        <v>26</v>
      </c>
      <c r="C40" s="33">
        <v>143.74</v>
      </c>
      <c r="D40" s="33">
        <v>409.44</v>
      </c>
      <c r="E40" s="34">
        <f t="shared" si="0"/>
        <v>6612.9032258064317</v>
      </c>
      <c r="F40" s="35">
        <f t="shared" si="1"/>
        <v>424.66100602812025</v>
      </c>
      <c r="G40" s="35">
        <f t="shared" si="2"/>
        <v>6005.850539556448</v>
      </c>
      <c r="H40" s="36">
        <f t="shared" si="3"/>
        <v>15.221006028120257</v>
      </c>
      <c r="I40" s="36">
        <f t="shared" si="4"/>
        <v>231.67902450807321</v>
      </c>
      <c r="J40" s="1"/>
    </row>
    <row r="41" spans="1:10" x14ac:dyDescent="0.25">
      <c r="A41" s="32"/>
      <c r="B41" s="32">
        <v>27</v>
      </c>
      <c r="C41" s="33">
        <v>148.69999999999999</v>
      </c>
      <c r="D41" s="33">
        <v>425.84</v>
      </c>
      <c r="E41" s="34">
        <f t="shared" si="0"/>
        <v>6612.9032258064699</v>
      </c>
      <c r="F41" s="35">
        <f t="shared" si="1"/>
        <v>439.56391990443808</v>
      </c>
      <c r="G41" s="35">
        <f t="shared" si="2"/>
        <v>6012.6296675669937</v>
      </c>
      <c r="H41" s="36">
        <f t="shared" si="3"/>
        <v>13.723919904438105</v>
      </c>
      <c r="I41" s="36">
        <f t="shared" si="4"/>
        <v>188.34597754343241</v>
      </c>
      <c r="J41" s="1"/>
    </row>
    <row r="42" spans="1:10" x14ac:dyDescent="0.25">
      <c r="A42" s="32"/>
      <c r="B42" s="32">
        <v>28</v>
      </c>
      <c r="C42" s="33">
        <v>153.66</v>
      </c>
      <c r="D42" s="33">
        <v>442.25</v>
      </c>
      <c r="E42" s="34">
        <f t="shared" si="0"/>
        <v>6616.9354838709678</v>
      </c>
      <c r="F42" s="35">
        <f t="shared" si="1"/>
        <v>454.48365550488012</v>
      </c>
      <c r="G42" s="35">
        <f t="shared" si="2"/>
        <v>6019.4164475456137</v>
      </c>
      <c r="H42" s="36">
        <f t="shared" si="3"/>
        <v>12.233655504880119</v>
      </c>
      <c r="I42" s="36">
        <f t="shared" si="4"/>
        <v>149.66232701208364</v>
      </c>
      <c r="J42" s="1"/>
    </row>
    <row r="43" spans="1:10" x14ac:dyDescent="0.25">
      <c r="A43" s="32"/>
      <c r="B43" s="32">
        <v>29</v>
      </c>
      <c r="C43" s="33">
        <v>158.61000000000001</v>
      </c>
      <c r="D43" s="33">
        <v>458.65</v>
      </c>
      <c r="E43" s="34">
        <f t="shared" si="0"/>
        <v>6626.2626262625945</v>
      </c>
      <c r="F43" s="35">
        <f t="shared" si="1"/>
        <v>469.39010079685784</v>
      </c>
      <c r="G43" s="35">
        <f t="shared" si="2"/>
        <v>6026.1971819479704</v>
      </c>
      <c r="H43" s="36">
        <f t="shared" si="3"/>
        <v>10.74010079685786</v>
      </c>
      <c r="I43" s="36">
        <f t="shared" si="4"/>
        <v>115.34976512666684</v>
      </c>
      <c r="J43" s="1"/>
    </row>
    <row r="44" spans="1:10" x14ac:dyDescent="0.25">
      <c r="A44" s="32"/>
      <c r="B44" s="32">
        <v>30</v>
      </c>
      <c r="C44" s="33">
        <v>163.57</v>
      </c>
      <c r="D44" s="33">
        <v>475.06</v>
      </c>
      <c r="E44" s="34">
        <f t="shared" si="0"/>
        <v>6616.935483871006</v>
      </c>
      <c r="F44" s="35">
        <f t="shared" si="1"/>
        <v>484.34350281922985</v>
      </c>
      <c r="G44" s="35">
        <f t="shared" si="2"/>
        <v>6032.9992763131468</v>
      </c>
      <c r="H44" s="36">
        <f t="shared" si="3"/>
        <v>9.2835028192298523</v>
      </c>
      <c r="I44" s="36">
        <f t="shared" si="4"/>
        <v>86.183424594648613</v>
      </c>
      <c r="J44" s="1"/>
    </row>
    <row r="45" spans="1:10" x14ac:dyDescent="0.25">
      <c r="A45" s="32"/>
      <c r="B45" s="32">
        <v>31</v>
      </c>
      <c r="C45" s="33">
        <v>168.53</v>
      </c>
      <c r="D45" s="33">
        <v>491.46</v>
      </c>
      <c r="E45" s="34">
        <f t="shared" si="0"/>
        <v>6612.9032258064317</v>
      </c>
      <c r="F45" s="35">
        <f t="shared" si="1"/>
        <v>499.31378355442524</v>
      </c>
      <c r="G45" s="35">
        <f t="shared" si="2"/>
        <v>6039.809048569763</v>
      </c>
      <c r="H45" s="36">
        <f t="shared" si="3"/>
        <v>7.853783554425263</v>
      </c>
      <c r="I45" s="36">
        <f t="shared" si="4"/>
        <v>61.681916119760714</v>
      </c>
      <c r="J45" s="1"/>
    </row>
    <row r="46" spans="1:10" x14ac:dyDescent="0.25">
      <c r="A46" s="32"/>
      <c r="B46" s="32">
        <v>32</v>
      </c>
      <c r="C46" s="33">
        <v>173.49</v>
      </c>
      <c r="D46" s="33">
        <v>507.86</v>
      </c>
      <c r="E46" s="34">
        <f t="shared" si="0"/>
        <v>6612.9032258064553</v>
      </c>
      <c r="F46" s="35">
        <f t="shared" si="1"/>
        <v>514.30096205435757</v>
      </c>
      <c r="G46" s="35">
        <f t="shared" si="2"/>
        <v>6046.6265073842706</v>
      </c>
      <c r="H46" s="36">
        <f t="shared" si="3"/>
        <v>6.4409620543575556</v>
      </c>
      <c r="I46" s="36">
        <f t="shared" si="4"/>
        <v>41.485992185673901</v>
      </c>
      <c r="J46" s="1"/>
    </row>
    <row r="47" spans="1:10" x14ac:dyDescent="0.25">
      <c r="A47" s="32"/>
      <c r="B47" s="32">
        <v>33</v>
      </c>
      <c r="C47" s="33">
        <v>178.45</v>
      </c>
      <c r="D47" s="33">
        <v>524.27</v>
      </c>
      <c r="E47" s="34">
        <f t="shared" si="0"/>
        <v>6616.9354838709824</v>
      </c>
      <c r="F47" s="35">
        <f t="shared" si="1"/>
        <v>529.30505739244711</v>
      </c>
      <c r="G47" s="35">
        <f t="shared" si="2"/>
        <v>6053.4516614329004</v>
      </c>
      <c r="H47" s="36">
        <f t="shared" si="3"/>
        <v>5.0350573924471291</v>
      </c>
      <c r="I47" s="36">
        <f t="shared" si="4"/>
        <v>25.351802945236482</v>
      </c>
      <c r="J47" s="1"/>
    </row>
    <row r="48" spans="1:10" x14ac:dyDescent="0.25">
      <c r="A48" s="32"/>
      <c r="B48" s="32">
        <v>34</v>
      </c>
      <c r="C48" s="33">
        <v>183.4</v>
      </c>
      <c r="D48" s="33">
        <v>540.66999999999996</v>
      </c>
      <c r="E48" s="34">
        <f t="shared" si="0"/>
        <v>6626.2626262625945</v>
      </c>
      <c r="F48" s="35">
        <f t="shared" si="1"/>
        <v>544.29578727550222</v>
      </c>
      <c r="G48" s="35">
        <f t="shared" si="2"/>
        <v>6060.2707357221398</v>
      </c>
      <c r="H48" s="36">
        <f t="shared" si="3"/>
        <v>3.6257872755022618</v>
      </c>
      <c r="I48" s="36">
        <f t="shared" si="4"/>
        <v>13.146333367194114</v>
      </c>
      <c r="J48" s="1"/>
    </row>
    <row r="49" spans="1:10" x14ac:dyDescent="0.25">
      <c r="A49" s="32"/>
      <c r="B49" s="32">
        <v>35</v>
      </c>
      <c r="C49" s="33">
        <v>188.36</v>
      </c>
      <c r="D49" s="33">
        <v>557.08000000000004</v>
      </c>
      <c r="E49" s="34">
        <f t="shared" si="0"/>
        <v>6616.9354838709905</v>
      </c>
      <c r="F49" s="35">
        <f t="shared" si="1"/>
        <v>559.33373939348803</v>
      </c>
      <c r="G49" s="35">
        <f t="shared" si="2"/>
        <v>6067.1112907485149</v>
      </c>
      <c r="H49" s="36">
        <f t="shared" si="3"/>
        <v>2.2537393934879901</v>
      </c>
      <c r="I49" s="36">
        <f t="shared" si="4"/>
        <v>5.0793412537596137</v>
      </c>
      <c r="J49" s="1"/>
    </row>
    <row r="50" spans="1:10" x14ac:dyDescent="0.25">
      <c r="A50" s="32"/>
      <c r="B50" s="32">
        <v>36</v>
      </c>
      <c r="C50" s="33">
        <v>193.32</v>
      </c>
      <c r="D50" s="33">
        <v>573.48</v>
      </c>
      <c r="E50" s="34">
        <f t="shared" si="0"/>
        <v>6612.9032258064699</v>
      </c>
      <c r="F50" s="35">
        <f t="shared" si="1"/>
        <v>574.38866566055765</v>
      </c>
      <c r="G50" s="35">
        <f t="shared" si="2"/>
        <v>6073.9595670789558</v>
      </c>
      <c r="H50" s="36">
        <f t="shared" si="3"/>
        <v>0.90866566055763087</v>
      </c>
      <c r="I50" s="36">
        <f t="shared" si="4"/>
        <v>0.82567328267663564</v>
      </c>
      <c r="J50" s="1"/>
    </row>
    <row r="51" spans="1:10" x14ac:dyDescent="0.25">
      <c r="A51" s="32"/>
      <c r="B51" s="32">
        <v>37</v>
      </c>
      <c r="C51" s="33">
        <v>198.28</v>
      </c>
      <c r="D51" s="33">
        <v>589.89</v>
      </c>
      <c r="E51" s="34">
        <f t="shared" si="0"/>
        <v>6616.9354838709442</v>
      </c>
      <c r="F51" s="35">
        <f t="shared" si="1"/>
        <v>589.46058523635031</v>
      </c>
      <c r="G51" s="35">
        <f t="shared" si="2"/>
        <v>6080.8155734289157</v>
      </c>
      <c r="H51" s="36">
        <f t="shared" si="3"/>
        <v>-0.42941476364967457</v>
      </c>
      <c r="I51" s="36">
        <f t="shared" si="4"/>
        <v>0.18439703924030587</v>
      </c>
      <c r="J51" s="1"/>
    </row>
    <row r="52" spans="1:10" x14ac:dyDescent="0.25">
      <c r="A52" s="32"/>
      <c r="B52" s="32">
        <v>38</v>
      </c>
      <c r="C52" s="33">
        <v>203.23</v>
      </c>
      <c r="D52" s="33">
        <v>606.29</v>
      </c>
      <c r="E52" s="34">
        <f t="shared" si="0"/>
        <v>6626.2626262626327</v>
      </c>
      <c r="F52" s="35">
        <f t="shared" si="1"/>
        <v>604.51907894015096</v>
      </c>
      <c r="G52" s="35">
        <f t="shared" si="2"/>
        <v>6087.6654725366525</v>
      </c>
      <c r="H52" s="36">
        <f t="shared" si="3"/>
        <v>-1.7709210598490017</v>
      </c>
      <c r="I52" s="36">
        <f t="shared" si="4"/>
        <v>3.1361614002167117</v>
      </c>
      <c r="J52" s="1"/>
    </row>
    <row r="53" spans="1:10" x14ac:dyDescent="0.25">
      <c r="A53" s="32"/>
      <c r="B53" s="32">
        <v>39</v>
      </c>
      <c r="C53" s="33">
        <v>208.19</v>
      </c>
      <c r="D53" s="33">
        <v>622.69000000000005</v>
      </c>
      <c r="E53" s="34">
        <f t="shared" si="0"/>
        <v>6612.9032258064781</v>
      </c>
      <c r="F53" s="35">
        <f t="shared" si="1"/>
        <v>619.6250083414086</v>
      </c>
      <c r="G53" s="35">
        <f t="shared" si="2"/>
        <v>6094.5369494826555</v>
      </c>
      <c r="H53" s="36">
        <f t="shared" si="3"/>
        <v>-3.0649916585914525</v>
      </c>
      <c r="I53" s="36">
        <f t="shared" si="4"/>
        <v>9.3941738672351836</v>
      </c>
      <c r="J53" s="1"/>
    </row>
    <row r="54" spans="1:10" x14ac:dyDescent="0.25">
      <c r="A54" s="32"/>
      <c r="B54" s="32">
        <v>40</v>
      </c>
      <c r="C54" s="33">
        <v>213.15</v>
      </c>
      <c r="D54" s="33">
        <v>639.1</v>
      </c>
      <c r="E54" s="34">
        <f t="shared" si="0"/>
        <v>6616.9354838709442</v>
      </c>
      <c r="F54" s="35">
        <f t="shared" si="1"/>
        <v>634.74798862138073</v>
      </c>
      <c r="G54" s="35">
        <f t="shared" si="2"/>
        <v>6101.416182635965</v>
      </c>
      <c r="H54" s="36">
        <f t="shared" si="3"/>
        <v>-4.3520113786192951</v>
      </c>
      <c r="I54" s="36">
        <f t="shared" si="4"/>
        <v>18.940003039631819</v>
      </c>
      <c r="J54" s="1"/>
    </row>
    <row r="55" spans="1:10" x14ac:dyDescent="0.25">
      <c r="A55" s="32"/>
      <c r="B55" s="32">
        <v>41</v>
      </c>
      <c r="C55" s="33">
        <v>218.11</v>
      </c>
      <c r="D55" s="33">
        <v>655.5</v>
      </c>
      <c r="E55" s="34">
        <f t="shared" si="0"/>
        <v>6612.9032258064317</v>
      </c>
      <c r="F55" s="35">
        <f t="shared" si="1"/>
        <v>649.88803902631685</v>
      </c>
      <c r="G55" s="35">
        <f t="shared" si="2"/>
        <v>6108.3031807514326</v>
      </c>
      <c r="H55" s="36">
        <f t="shared" si="3"/>
        <v>-5.6119609736831535</v>
      </c>
      <c r="I55" s="36">
        <f t="shared" si="4"/>
        <v>31.494105970142769</v>
      </c>
      <c r="J55" s="1"/>
    </row>
    <row r="56" spans="1:10" x14ac:dyDescent="0.25">
      <c r="A56" s="32"/>
      <c r="B56" s="32">
        <v>42</v>
      </c>
      <c r="C56" s="33">
        <v>223.06</v>
      </c>
      <c r="D56" s="33">
        <v>671.91</v>
      </c>
      <c r="E56" s="34">
        <f t="shared" si="0"/>
        <v>6630.3030303030328</v>
      </c>
      <c r="F56" s="35">
        <f t="shared" si="1"/>
        <v>665.01460286919917</v>
      </c>
      <c r="G56" s="35">
        <f t="shared" si="2"/>
        <v>6115.184044017612</v>
      </c>
      <c r="H56" s="36">
        <f t="shared" si="3"/>
        <v>-6.8953971308008022</v>
      </c>
      <c r="I56" s="36">
        <f t="shared" si="4"/>
        <v>47.546501591455936</v>
      </c>
      <c r="J56" s="1"/>
    </row>
    <row r="57" spans="1:10" x14ac:dyDescent="0.25">
      <c r="A57" s="32"/>
      <c r="B57" s="32">
        <v>43</v>
      </c>
      <c r="C57" s="33">
        <v>228.02</v>
      </c>
      <c r="D57" s="33">
        <v>688.31</v>
      </c>
      <c r="E57" s="34">
        <f t="shared" si="0"/>
        <v>6612.9032258064317</v>
      </c>
      <c r="F57" s="35">
        <f t="shared" si="1"/>
        <v>680.18881683699317</v>
      </c>
      <c r="G57" s="35">
        <f t="shared" si="2"/>
        <v>6122.0865826621221</v>
      </c>
      <c r="H57" s="36">
        <f t="shared" si="3"/>
        <v>-8.1211831630067763</v>
      </c>
      <c r="I57" s="36">
        <f t="shared" si="4"/>
        <v>65.953615967104753</v>
      </c>
      <c r="J57" s="1"/>
    </row>
    <row r="58" spans="1:10" x14ac:dyDescent="0.25">
      <c r="A58" s="32"/>
      <c r="B58" s="32">
        <v>44</v>
      </c>
      <c r="C58" s="33">
        <v>232.98</v>
      </c>
      <c r="D58" s="33">
        <v>704.71</v>
      </c>
      <c r="E58" s="34">
        <f t="shared" si="0"/>
        <v>6612.9032258065163</v>
      </c>
      <c r="F58" s="35">
        <f t="shared" si="1"/>
        <v>695.38015875998474</v>
      </c>
      <c r="G58" s="35">
        <f t="shared" si="2"/>
        <v>6128.9969125749576</v>
      </c>
      <c r="H58" s="36">
        <f t="shared" si="3"/>
        <v>-9.3298412400152984</v>
      </c>
      <c r="I58" s="36">
        <f t="shared" si="4"/>
        <v>87.045937563890206</v>
      </c>
      <c r="J58" s="1"/>
    </row>
    <row r="59" spans="1:10" x14ac:dyDescent="0.25">
      <c r="A59" s="32"/>
      <c r="B59" s="32">
        <v>45</v>
      </c>
      <c r="C59" s="33">
        <v>237.94</v>
      </c>
      <c r="D59" s="33">
        <v>721.12</v>
      </c>
      <c r="E59" s="34">
        <f t="shared" si="0"/>
        <v>6616.9354838709442</v>
      </c>
      <c r="F59" s="35">
        <f t="shared" si="1"/>
        <v>710.58864797141678</v>
      </c>
      <c r="G59" s="35">
        <f t="shared" si="2"/>
        <v>6135.9150425505413</v>
      </c>
      <c r="H59" s="36">
        <f t="shared" si="3"/>
        <v>-10.531352028583228</v>
      </c>
      <c r="I59" s="36">
        <f t="shared" si="4"/>
        <v>110.90937554994407</v>
      </c>
      <c r="J59" s="1"/>
    </row>
    <row r="60" spans="1:10" x14ac:dyDescent="0.25">
      <c r="A60" s="32"/>
      <c r="B60" s="32">
        <v>46</v>
      </c>
      <c r="C60" s="33">
        <v>242.9</v>
      </c>
      <c r="D60" s="33">
        <v>737.52</v>
      </c>
      <c r="E60" s="34">
        <f t="shared" si="0"/>
        <v>6612.9032258064317</v>
      </c>
      <c r="F60" s="35">
        <f t="shared" si="1"/>
        <v>725.81430382636574</v>
      </c>
      <c r="G60" s="35">
        <f t="shared" si="2"/>
        <v>6142.8409813932285</v>
      </c>
      <c r="H60" s="36">
        <f t="shared" si="3"/>
        <v>-11.705696173634237</v>
      </c>
      <c r="I60" s="36">
        <f t="shared" si="4"/>
        <v>137.02332290943522</v>
      </c>
      <c r="J60" s="1"/>
    </row>
    <row r="61" spans="1:10" x14ac:dyDescent="0.25">
      <c r="A61" s="32"/>
      <c r="B61" s="32">
        <v>47</v>
      </c>
      <c r="C61" s="33">
        <v>247.85</v>
      </c>
      <c r="D61" s="33">
        <v>753.93</v>
      </c>
      <c r="E61" s="34">
        <f t="shared" si="0"/>
        <v>6630.3030303030328</v>
      </c>
      <c r="F61" s="35">
        <f t="shared" si="1"/>
        <v>741.02639686302325</v>
      </c>
      <c r="G61" s="35">
        <f t="shared" si="2"/>
        <v>6149.760750698727</v>
      </c>
      <c r="H61" s="36">
        <f t="shared" si="3"/>
        <v>-12.903603136976699</v>
      </c>
      <c r="I61" s="36">
        <f t="shared" si="4"/>
        <v>166.5029739165949</v>
      </c>
      <c r="J61" s="1"/>
    </row>
    <row r="62" spans="1:10" x14ac:dyDescent="0.25">
      <c r="A62" s="32"/>
      <c r="B62" s="32">
        <v>48</v>
      </c>
      <c r="C62" s="33">
        <v>252.81</v>
      </c>
      <c r="D62" s="33">
        <v>770.33</v>
      </c>
      <c r="E62" s="34">
        <f t="shared" si="0"/>
        <v>6612.9032258064781</v>
      </c>
      <c r="F62" s="35">
        <f t="shared" si="1"/>
        <v>756.28640944974813</v>
      </c>
      <c r="G62" s="35">
        <f t="shared" si="2"/>
        <v>6156.7023179403077</v>
      </c>
      <c r="H62" s="36">
        <f t="shared" si="3"/>
        <v>-14.043590550251906</v>
      </c>
      <c r="I62" s="36">
        <f t="shared" si="4"/>
        <v>197.22243554312465</v>
      </c>
      <c r="J62" s="1"/>
    </row>
    <row r="63" spans="1:10" x14ac:dyDescent="0.25">
      <c r="A63" s="32"/>
      <c r="B63" s="32">
        <v>49</v>
      </c>
      <c r="C63" s="33">
        <v>257.77</v>
      </c>
      <c r="D63" s="33">
        <v>786.74</v>
      </c>
      <c r="E63" s="34">
        <f t="shared" si="0"/>
        <v>6616.9354838709824</v>
      </c>
      <c r="F63" s="35">
        <f t="shared" si="1"/>
        <v>771.56364683720585</v>
      </c>
      <c r="G63" s="35">
        <f t="shared" si="2"/>
        <v>6163.651720503899</v>
      </c>
      <c r="H63" s="36">
        <f t="shared" si="3"/>
        <v>-15.176353162794157</v>
      </c>
      <c r="I63" s="36">
        <f t="shared" si="4"/>
        <v>230.32169532185222</v>
      </c>
      <c r="J63" s="1"/>
    </row>
    <row r="64" spans="1:10" x14ac:dyDescent="0.25">
      <c r="A64" s="32"/>
      <c r="B64" s="32">
        <v>50</v>
      </c>
      <c r="C64" s="33">
        <v>262.73</v>
      </c>
      <c r="D64" s="33">
        <v>803.14</v>
      </c>
      <c r="E64" s="34">
        <f t="shared" si="0"/>
        <v>6612.9032258063935</v>
      </c>
      <c r="F64" s="35">
        <f t="shared" si="1"/>
        <v>786.85812846795727</v>
      </c>
      <c r="G64" s="35">
        <f t="shared" si="2"/>
        <v>6170.608967233652</v>
      </c>
      <c r="H64" s="36">
        <f t="shared" si="3"/>
        <v>-16.281871532042715</v>
      </c>
      <c r="I64" s="36">
        <f t="shared" si="4"/>
        <v>265.09934058594297</v>
      </c>
      <c r="J64" s="1"/>
    </row>
    <row r="65" spans="1:10" x14ac:dyDescent="0.25">
      <c r="A65" s="32"/>
      <c r="B65" s="32">
        <v>51</v>
      </c>
      <c r="C65" s="33">
        <v>267.68</v>
      </c>
      <c r="D65" s="33">
        <v>819.54</v>
      </c>
      <c r="E65" s="34">
        <f t="shared" si="0"/>
        <v>6626.2626262626327</v>
      </c>
      <c r="F65" s="35">
        <f t="shared" si="1"/>
        <v>802.13898597130424</v>
      </c>
      <c r="G65" s="35">
        <f t="shared" si="2"/>
        <v>6177.5600165375545</v>
      </c>
      <c r="H65" s="36">
        <f t="shared" si="3"/>
        <v>-17.401014028695727</v>
      </c>
      <c r="I65" s="36">
        <f t="shared" si="4"/>
        <v>302.79528922686546</v>
      </c>
      <c r="J65" s="1"/>
    </row>
    <row r="66" spans="1:10" x14ac:dyDescent="0.25">
      <c r="A66" s="32"/>
      <c r="B66" s="32">
        <v>52</v>
      </c>
      <c r="C66" s="33">
        <v>272.64</v>
      </c>
      <c r="D66" s="33">
        <v>835.95</v>
      </c>
      <c r="E66" s="34">
        <f t="shared" si="0"/>
        <v>6616.9354838710287</v>
      </c>
      <c r="F66" s="35">
        <f t="shared" si="1"/>
        <v>817.4679796393774</v>
      </c>
      <c r="G66" s="35">
        <f t="shared" si="2"/>
        <v>6184.5329623125308</v>
      </c>
      <c r="H66" s="36">
        <f t="shared" si="3"/>
        <v>-18.482020360622641</v>
      </c>
      <c r="I66" s="36">
        <f t="shared" si="4"/>
        <v>341.58507661046986</v>
      </c>
      <c r="J66" s="1"/>
    </row>
    <row r="67" spans="1:10" x14ac:dyDescent="0.25">
      <c r="A67" s="32"/>
      <c r="B67" s="32">
        <v>53</v>
      </c>
      <c r="C67" s="33">
        <v>277.60000000000002</v>
      </c>
      <c r="D67" s="33">
        <v>852.35</v>
      </c>
      <c r="E67" s="34">
        <f t="shared" si="0"/>
        <v>6612.9032258063935</v>
      </c>
      <c r="F67" s="35">
        <f t="shared" si="1"/>
        <v>832.81427597085553</v>
      </c>
      <c r="G67" s="35">
        <f t="shared" si="2"/>
        <v>6191.5137788281645</v>
      </c>
      <c r="H67" s="36">
        <f t="shared" si="3"/>
        <v>-19.53572402914449</v>
      </c>
      <c r="I67" s="36">
        <f t="shared" si="4"/>
        <v>381.64451334289339</v>
      </c>
      <c r="J67" s="1"/>
    </row>
    <row r="68" spans="1:10" x14ac:dyDescent="0.25">
      <c r="A68" s="32"/>
      <c r="B68" s="32">
        <v>54</v>
      </c>
      <c r="C68" s="33">
        <v>282.56</v>
      </c>
      <c r="D68" s="33">
        <v>868.76</v>
      </c>
      <c r="E68" s="34">
        <f t="shared" si="0"/>
        <v>6616.9354838709824</v>
      </c>
      <c r="F68" s="35">
        <f t="shared" si="1"/>
        <v>848.17789449618635</v>
      </c>
      <c r="G68" s="35">
        <f t="shared" si="2"/>
        <v>6198.5024749685826</v>
      </c>
      <c r="H68" s="36">
        <f t="shared" si="3"/>
        <v>-20.582105503813636</v>
      </c>
      <c r="I68" s="36">
        <f t="shared" si="4"/>
        <v>423.62306697011559</v>
      </c>
      <c r="J68" s="1"/>
    </row>
    <row r="69" spans="1:10" x14ac:dyDescent="0.25">
      <c r="A69" s="32"/>
      <c r="B69" s="32">
        <v>55</v>
      </c>
      <c r="C69" s="33">
        <v>287.51</v>
      </c>
      <c r="D69" s="33">
        <v>885.16</v>
      </c>
      <c r="E69" s="34">
        <f t="shared" si="0"/>
        <v>6626.2626262626327</v>
      </c>
      <c r="F69" s="35">
        <f t="shared" si="1"/>
        <v>863.52782730786078</v>
      </c>
      <c r="G69" s="35">
        <f t="shared" si="2"/>
        <v>6205.4849456684215</v>
      </c>
      <c r="H69" s="36">
        <f t="shared" si="3"/>
        <v>-21.632172692139193</v>
      </c>
      <c r="I69" s="36">
        <f t="shared" si="4"/>
        <v>467.95089538253262</v>
      </c>
      <c r="J69" s="1"/>
    </row>
    <row r="70" spans="1:10" x14ac:dyDescent="0.25">
      <c r="A70" s="32"/>
      <c r="B70" s="32">
        <v>56</v>
      </c>
      <c r="C70" s="33">
        <v>292.47000000000003</v>
      </c>
      <c r="D70" s="33">
        <v>901.56</v>
      </c>
      <c r="E70" s="34">
        <f t="shared" si="0"/>
        <v>6612.9032258063935</v>
      </c>
      <c r="F70" s="35">
        <f t="shared" si="1"/>
        <v>878.92611387809484</v>
      </c>
      <c r="G70" s="35">
        <f t="shared" si="2"/>
        <v>6212.4894118197399</v>
      </c>
      <c r="H70" s="36">
        <f t="shared" si="3"/>
        <v>-22.633886121905107</v>
      </c>
      <c r="I70" s="36">
        <f t="shared" si="4"/>
        <v>512.29280097936862</v>
      </c>
      <c r="J70" s="1"/>
    </row>
    <row r="71" spans="1:10" x14ac:dyDescent="0.25">
      <c r="A71" s="32"/>
      <c r="B71" s="32">
        <v>57</v>
      </c>
      <c r="C71" s="33">
        <v>297.43</v>
      </c>
      <c r="D71" s="33">
        <v>917.97</v>
      </c>
      <c r="E71" s="34">
        <f t="shared" si="0"/>
        <v>6616.9354838710287</v>
      </c>
      <c r="F71" s="35">
        <f t="shared" si="1"/>
        <v>894.34178132637714</v>
      </c>
      <c r="G71" s="35">
        <f t="shared" si="2"/>
        <v>6219.5017842904672</v>
      </c>
      <c r="H71" s="36">
        <f t="shared" si="3"/>
        <v>-23.628218673622882</v>
      </c>
      <c r="I71" s="36">
        <f t="shared" si="4"/>
        <v>558.29271768854107</v>
      </c>
      <c r="J71" s="1"/>
    </row>
    <row r="72" spans="1:10" x14ac:dyDescent="0.25">
      <c r="A72" s="32"/>
      <c r="B72" s="32">
        <v>58</v>
      </c>
      <c r="C72" s="33">
        <v>302.39</v>
      </c>
      <c r="D72" s="33">
        <v>934.37</v>
      </c>
      <c r="E72" s="34">
        <f t="shared" si="0"/>
        <v>6612.9032258064699</v>
      </c>
      <c r="F72" s="35">
        <f t="shared" si="1"/>
        <v>909.77484927144246</v>
      </c>
      <c r="G72" s="35">
        <f t="shared" si="2"/>
        <v>6226.5220720048919</v>
      </c>
      <c r="H72" s="36">
        <f t="shared" si="3"/>
        <v>-24.595150728557542</v>
      </c>
      <c r="I72" s="36">
        <f t="shared" si="4"/>
        <v>604.92143936046455</v>
      </c>
      <c r="J72" s="1"/>
    </row>
    <row r="73" spans="1:10" x14ac:dyDescent="0.25">
      <c r="A73" s="32"/>
      <c r="B73" s="32">
        <v>59</v>
      </c>
      <c r="C73" s="33">
        <v>307.35000000000002</v>
      </c>
      <c r="D73" s="33">
        <v>950.78</v>
      </c>
      <c r="E73" s="34">
        <f t="shared" si="0"/>
        <v>6616.935483870906</v>
      </c>
      <c r="F73" s="35">
        <f t="shared" si="1"/>
        <v>925.22533735417414</v>
      </c>
      <c r="G73" s="35">
        <f t="shared" si="2"/>
        <v>6233.5502838973789</v>
      </c>
      <c r="H73" s="36">
        <f t="shared" si="3"/>
        <v>-25.554662645825829</v>
      </c>
      <c r="I73" s="36">
        <f t="shared" si="4"/>
        <v>653.04078294196597</v>
      </c>
      <c r="J73" s="1"/>
    </row>
    <row r="74" spans="1:10" x14ac:dyDescent="0.25">
      <c r="A74" s="32"/>
      <c r="B74" s="32">
        <v>60</v>
      </c>
      <c r="C74" s="33">
        <v>312.3</v>
      </c>
      <c r="D74" s="33">
        <v>967.18</v>
      </c>
      <c r="E74" s="34">
        <f t="shared" si="0"/>
        <v>6626.2626262626327</v>
      </c>
      <c r="F74" s="35">
        <f t="shared" si="1"/>
        <v>940.66206234096171</v>
      </c>
      <c r="G74" s="35">
        <f t="shared" si="2"/>
        <v>6240.5722351491613</v>
      </c>
      <c r="H74" s="36">
        <f t="shared" si="3"/>
        <v>-26.517937659038239</v>
      </c>
      <c r="I74" s="36">
        <f t="shared" si="4"/>
        <v>703.20101768863844</v>
      </c>
      <c r="J74" s="1"/>
    </row>
    <row r="75" spans="1:10" x14ac:dyDescent="0.25">
      <c r="A75" s="32"/>
      <c r="B75" s="32">
        <v>61</v>
      </c>
      <c r="C75" s="33">
        <v>317.26</v>
      </c>
      <c r="D75" s="33">
        <v>983.58</v>
      </c>
      <c r="E75" s="34">
        <f t="shared" si="0"/>
        <v>6612.9032258065163</v>
      </c>
      <c r="F75" s="35">
        <f t="shared" si="1"/>
        <v>956.14741448997404</v>
      </c>
      <c r="G75" s="35">
        <f t="shared" si="2"/>
        <v>6247.6163062199439</v>
      </c>
      <c r="H75" s="36">
        <f t="shared" si="3"/>
        <v>-27.432585510026001</v>
      </c>
      <c r="I75" s="36">
        <f t="shared" si="4"/>
        <v>752.54674776488855</v>
      </c>
      <c r="J75" s="1"/>
    </row>
    <row r="76" spans="1:10" x14ac:dyDescent="0.25">
      <c r="A76" s="32"/>
      <c r="B76" s="32">
        <v>62</v>
      </c>
      <c r="C76" s="33">
        <v>322.22000000000003</v>
      </c>
      <c r="D76" s="33">
        <v>999.99</v>
      </c>
      <c r="E76" s="34">
        <f t="shared" si="0"/>
        <v>6616.935483870906</v>
      </c>
      <c r="F76" s="35">
        <f t="shared" si="1"/>
        <v>971.65024579265992</v>
      </c>
      <c r="G76" s="35">
        <f t="shared" si="2"/>
        <v>6254.6683283143484</v>
      </c>
      <c r="H76" s="36">
        <f t="shared" si="3"/>
        <v>-28.339754207340093</v>
      </c>
      <c r="I76" s="36">
        <f t="shared" si="4"/>
        <v>803.14166853245047</v>
      </c>
      <c r="J76" s="1"/>
    </row>
    <row r="77" spans="1:10" x14ac:dyDescent="0.25">
      <c r="A77" s="32"/>
      <c r="B77" s="32">
        <v>63</v>
      </c>
      <c r="C77" s="33">
        <v>327.18</v>
      </c>
      <c r="D77" s="33">
        <v>1016.39</v>
      </c>
      <c r="E77" s="34">
        <f t="shared" si="0"/>
        <v>6612.9032258064699</v>
      </c>
      <c r="F77" s="35">
        <f t="shared" si="1"/>
        <v>987.17057597867802</v>
      </c>
      <c r="G77" s="35">
        <f t="shared" si="2"/>
        <v>6261.7283104071221</v>
      </c>
      <c r="H77" s="36">
        <f t="shared" si="3"/>
        <v>-29.21942402132197</v>
      </c>
      <c r="I77" s="36">
        <f t="shared" si="4"/>
        <v>853.77474013780738</v>
      </c>
      <c r="J77" s="1"/>
    </row>
    <row r="78" spans="1:10" x14ac:dyDescent="0.25">
      <c r="A78" s="32"/>
      <c r="B78" s="32">
        <v>64</v>
      </c>
      <c r="C78" s="37">
        <v>332.13</v>
      </c>
      <c r="D78" s="37">
        <v>1032.8</v>
      </c>
      <c r="E78" s="34">
        <f t="shared" si="0"/>
        <v>6630.3030303030328</v>
      </c>
      <c r="F78" s="35">
        <f t="shared" si="1"/>
        <v>1002.6770808543065</v>
      </c>
      <c r="G78" s="35">
        <f t="shared" si="2"/>
        <v>6268.7820035587065</v>
      </c>
      <c r="H78" s="36">
        <f t="shared" si="3"/>
        <v>-30.122919145693459</v>
      </c>
      <c r="I78" s="36">
        <f t="shared" si="4"/>
        <v>907.39025785798549</v>
      </c>
      <c r="J78" s="1"/>
    </row>
    <row r="79" spans="1:10" x14ac:dyDescent="0.25">
      <c r="A79" s="32"/>
      <c r="B79" s="32">
        <v>65</v>
      </c>
      <c r="C79" s="37">
        <v>337.09</v>
      </c>
      <c r="D79" s="37">
        <v>1049.2</v>
      </c>
      <c r="E79" s="34">
        <f t="shared" ref="E79:E142" si="5">IF(C79="","",2*(D79-D78)/((C79-C78)/1000))</f>
        <v>6612.9032258065163</v>
      </c>
      <c r="F79" s="35">
        <f t="shared" ref="F79:F142" si="6">IF(C79="","",F$7+(F$9/F$10)*(EXP(F$10*(C79-F$8)/2000)-1))</f>
        <v>1018.2324327054952</v>
      </c>
      <c r="G79" s="35">
        <f t="shared" ref="G79:G142" si="7">IF(E79="","",F$9+(F79-F$7)*F$10)</f>
        <v>6275.8579165193159</v>
      </c>
      <c r="H79" s="36">
        <f t="shared" ref="H79:H142" si="8">IF(F79="","",F79-D79)</f>
        <v>-30.967567294504875</v>
      </c>
      <c r="I79" s="36">
        <f t="shared" ref="I79:I142" si="9">IF(H79="","",H79^2)</f>
        <v>958.99022413968794</v>
      </c>
      <c r="J79" s="1"/>
    </row>
    <row r="80" spans="1:10" x14ac:dyDescent="0.25">
      <c r="A80" s="32"/>
      <c r="B80" s="32">
        <v>66</v>
      </c>
      <c r="C80" s="37">
        <v>342.05</v>
      </c>
      <c r="D80" s="37">
        <v>1065.5999999999999</v>
      </c>
      <c r="E80" s="34">
        <f t="shared" si="5"/>
        <v>6612.903225806348</v>
      </c>
      <c r="F80" s="35">
        <f t="shared" si="6"/>
        <v>1033.8053427227999</v>
      </c>
      <c r="G80" s="35">
        <f t="shared" si="7"/>
        <v>6282.9418164452072</v>
      </c>
      <c r="H80" s="36">
        <f t="shared" si="8"/>
        <v>-31.794657277200031</v>
      </c>
      <c r="I80" s="36">
        <f t="shared" si="9"/>
        <v>1010.9002313746089</v>
      </c>
      <c r="J80" s="1"/>
    </row>
    <row r="81" spans="1:22" x14ac:dyDescent="0.25">
      <c r="A81" s="32"/>
      <c r="B81" s="32">
        <v>67</v>
      </c>
      <c r="C81" s="37">
        <v>347.01</v>
      </c>
      <c r="D81" s="37">
        <v>1082.01</v>
      </c>
      <c r="E81" s="34">
        <f t="shared" si="5"/>
        <v>6616.9354838710287</v>
      </c>
      <c r="F81" s="35">
        <f t="shared" si="6"/>
        <v>1049.3958307250746</v>
      </c>
      <c r="G81" s="35">
        <f t="shared" si="7"/>
        <v>6290.033712351702</v>
      </c>
      <c r="H81" s="36">
        <f t="shared" si="8"/>
        <v>-32.614169274925416</v>
      </c>
      <c r="I81" s="36">
        <f t="shared" si="9"/>
        <v>1063.6840374934891</v>
      </c>
      <c r="J81" s="1"/>
    </row>
    <row r="82" spans="1:22" x14ac:dyDescent="0.25">
      <c r="A82" s="32"/>
      <c r="B82" s="32">
        <v>68</v>
      </c>
      <c r="C82" s="37">
        <v>351.96</v>
      </c>
      <c r="D82" s="37">
        <v>1098.4100000000001</v>
      </c>
      <c r="E82" s="34">
        <f t="shared" si="5"/>
        <v>6626.2626262626791</v>
      </c>
      <c r="F82" s="35">
        <f t="shared" si="6"/>
        <v>1064.9724309212781</v>
      </c>
      <c r="G82" s="35">
        <f t="shared" si="7"/>
        <v>6297.1192908885914</v>
      </c>
      <c r="H82" s="36">
        <f t="shared" si="8"/>
        <v>-33.437569078721936</v>
      </c>
      <c r="I82" s="36">
        <f t="shared" si="9"/>
        <v>1118.0710258943013</v>
      </c>
      <c r="J82" s="1"/>
    </row>
    <row r="83" spans="1:22" x14ac:dyDescent="0.25">
      <c r="A83" s="32"/>
      <c r="B83" s="32">
        <v>69</v>
      </c>
      <c r="C83" s="37">
        <v>356.92</v>
      </c>
      <c r="D83" s="37">
        <v>1114.82</v>
      </c>
      <c r="E83" s="34">
        <f t="shared" si="5"/>
        <v>6616.9354838708605</v>
      </c>
      <c r="F83" s="35">
        <f t="shared" si="6"/>
        <v>1080.5980989000111</v>
      </c>
      <c r="G83" s="35">
        <f t="shared" si="7"/>
        <v>6304.2271896765224</v>
      </c>
      <c r="H83" s="36">
        <f t="shared" si="8"/>
        <v>-34.221901099988827</v>
      </c>
      <c r="I83" s="36">
        <f t="shared" si="9"/>
        <v>1171.1385148974164</v>
      </c>
      <c r="J83" s="1"/>
    </row>
    <row r="84" spans="1:22" x14ac:dyDescent="0.25">
      <c r="A84" s="32"/>
      <c r="B84" s="32">
        <v>70</v>
      </c>
      <c r="C84" s="37">
        <v>361.88</v>
      </c>
      <c r="D84" s="37">
        <v>1131.22</v>
      </c>
      <c r="E84" s="34">
        <f t="shared" si="5"/>
        <v>6612.9032258065163</v>
      </c>
      <c r="F84" s="35">
        <f t="shared" si="6"/>
        <v>1096.2414044144775</v>
      </c>
      <c r="G84" s="35">
        <f t="shared" si="7"/>
        <v>6311.343111533869</v>
      </c>
      <c r="H84" s="36">
        <f t="shared" si="8"/>
        <v>-34.978595585522498</v>
      </c>
      <c r="I84" s="36">
        <f t="shared" si="9"/>
        <v>1223.502149135534</v>
      </c>
      <c r="J84" s="1"/>
    </row>
    <row r="85" spans="1:22" x14ac:dyDescent="0.25">
      <c r="A85" s="32"/>
      <c r="B85" s="32">
        <v>71</v>
      </c>
      <c r="C85" s="37">
        <v>366.84</v>
      </c>
      <c r="D85" s="37">
        <v>1147.6199999999999</v>
      </c>
      <c r="E85" s="34">
        <f t="shared" si="5"/>
        <v>6612.9032258064244</v>
      </c>
      <c r="F85" s="35">
        <f t="shared" si="6"/>
        <v>1111.9023673731092</v>
      </c>
      <c r="G85" s="35">
        <f t="shared" si="7"/>
        <v>6318.4670655166992</v>
      </c>
      <c r="H85" s="36">
        <f t="shared" si="8"/>
        <v>-35.717632626890691</v>
      </c>
      <c r="I85" s="36">
        <f t="shared" si="9"/>
        <v>1275.7492804695264</v>
      </c>
      <c r="J85" s="1"/>
    </row>
    <row r="86" spans="1:22" x14ac:dyDescent="0.25">
      <c r="A86" s="32"/>
      <c r="B86" s="32">
        <v>72</v>
      </c>
      <c r="C86" s="37">
        <v>371.8</v>
      </c>
      <c r="D86" s="37">
        <v>1164.03</v>
      </c>
      <c r="E86" s="34">
        <f t="shared" si="5"/>
        <v>6616.9354838709523</v>
      </c>
      <c r="F86" s="35">
        <f t="shared" si="6"/>
        <v>1127.5810077068243</v>
      </c>
      <c r="G86" s="35">
        <f t="shared" si="7"/>
        <v>6325.599060691311</v>
      </c>
      <c r="H86" s="36">
        <f t="shared" si="8"/>
        <v>-36.448992293175706</v>
      </c>
      <c r="I86" s="36">
        <f t="shared" si="9"/>
        <v>1328.5290391879821</v>
      </c>
      <c r="J86" s="1"/>
    </row>
    <row r="87" spans="1:22" x14ac:dyDescent="0.25">
      <c r="A87" s="32"/>
      <c r="B87" s="32">
        <v>73</v>
      </c>
      <c r="C87" s="37">
        <v>376.75</v>
      </c>
      <c r="D87" s="37">
        <v>1180.43</v>
      </c>
      <c r="E87" s="34">
        <f t="shared" si="5"/>
        <v>6626.2626262626791</v>
      </c>
      <c r="F87" s="35">
        <f t="shared" si="6"/>
        <v>1143.2456817095033</v>
      </c>
      <c r="G87" s="35">
        <f t="shared" si="7"/>
        <v>6332.724702776406</v>
      </c>
      <c r="H87" s="36">
        <f t="shared" si="8"/>
        <v>-37.184318290496776</v>
      </c>
      <c r="I87" s="36">
        <f t="shared" si="9"/>
        <v>1382.673526728973</v>
      </c>
      <c r="J87" s="1"/>
    </row>
    <row r="88" spans="1:22" x14ac:dyDescent="0.25">
      <c r="A88" s="32"/>
      <c r="B88" s="32">
        <v>74</v>
      </c>
      <c r="C88" s="37">
        <v>381.71</v>
      </c>
      <c r="D88" s="37">
        <v>1196.8399999999999</v>
      </c>
      <c r="E88" s="34">
        <f t="shared" si="5"/>
        <v>6616.9354838709369</v>
      </c>
      <c r="F88" s="35">
        <f t="shared" si="6"/>
        <v>1158.9597009356426</v>
      </c>
      <c r="G88" s="35">
        <f t="shared" si="7"/>
        <v>6339.8727913165567</v>
      </c>
      <c r="H88" s="36">
        <f t="shared" si="8"/>
        <v>-37.880299064357359</v>
      </c>
      <c r="I88" s="36">
        <f t="shared" si="9"/>
        <v>1434.917057205153</v>
      </c>
      <c r="J88" s="1"/>
    </row>
    <row r="89" spans="1:22" x14ac:dyDescent="0.25">
      <c r="A89" s="32"/>
      <c r="B89" s="32">
        <v>75</v>
      </c>
      <c r="C89" s="37">
        <v>386.67</v>
      </c>
      <c r="D89" s="37">
        <v>1213.24</v>
      </c>
      <c r="E89" s="34">
        <f t="shared" si="5"/>
        <v>6612.9032258064399</v>
      </c>
      <c r="F89" s="35">
        <f t="shared" si="6"/>
        <v>1174.6914574243406</v>
      </c>
      <c r="G89" s="35">
        <f t="shared" si="7"/>
        <v>6347.0289482904691</v>
      </c>
      <c r="H89" s="36">
        <f t="shared" si="8"/>
        <v>-38.54854257565944</v>
      </c>
      <c r="I89" s="36">
        <f t="shared" si="9"/>
        <v>1485.9901347074285</v>
      </c>
      <c r="J89" s="1"/>
    </row>
    <row r="90" spans="1:22" x14ac:dyDescent="0.25">
      <c r="A90" s="32"/>
      <c r="B90" s="32">
        <v>76</v>
      </c>
      <c r="C90" s="37">
        <v>391.63</v>
      </c>
      <c r="D90" s="37">
        <v>1229.6400000000001</v>
      </c>
      <c r="E90" s="34">
        <f t="shared" si="5"/>
        <v>6612.9032258065163</v>
      </c>
      <c r="F90" s="35">
        <f t="shared" si="6"/>
        <v>1190.4409711965984</v>
      </c>
      <c r="G90" s="35">
        <f t="shared" si="7"/>
        <v>6354.1931828054148</v>
      </c>
      <c r="H90" s="36">
        <f t="shared" si="8"/>
        <v>-39.199028803401688</v>
      </c>
      <c r="I90" s="36">
        <f t="shared" si="9"/>
        <v>1536.5638591299153</v>
      </c>
      <c r="J90" s="1"/>
    </row>
    <row r="91" spans="1:22" x14ac:dyDescent="0.25">
      <c r="A91" s="32"/>
      <c r="B91" s="32">
        <v>77</v>
      </c>
      <c r="C91" s="37">
        <v>396.58</v>
      </c>
      <c r="D91" s="37">
        <v>1246.05</v>
      </c>
      <c r="E91" s="34">
        <f t="shared" si="5"/>
        <v>6630.3030303029873</v>
      </c>
      <c r="F91" s="35">
        <f t="shared" si="6"/>
        <v>1206.1764555046761</v>
      </c>
      <c r="G91" s="35">
        <f t="shared" si="7"/>
        <v>6361.3510355124554</v>
      </c>
      <c r="H91" s="36">
        <f t="shared" si="8"/>
        <v>-39.873544495323813</v>
      </c>
      <c r="I91" s="36">
        <f t="shared" si="9"/>
        <v>1589.8995506205679</v>
      </c>
      <c r="J91" s="1"/>
      <c r="M91" s="38"/>
    </row>
    <row r="92" spans="1:22" x14ac:dyDescent="0.25">
      <c r="A92" s="32"/>
      <c r="B92" s="32">
        <v>78</v>
      </c>
      <c r="C92" s="37">
        <v>401.54</v>
      </c>
      <c r="D92" s="37">
        <v>1262.45</v>
      </c>
      <c r="E92" s="34">
        <f t="shared" si="5"/>
        <v>6612.9032258064399</v>
      </c>
      <c r="F92" s="35">
        <f t="shared" si="6"/>
        <v>1221.9615080954593</v>
      </c>
      <c r="G92" s="35">
        <f t="shared" si="7"/>
        <v>6368.5314361410974</v>
      </c>
      <c r="H92" s="36">
        <f t="shared" si="8"/>
        <v>-40.488491904540751</v>
      </c>
      <c r="I92" s="36">
        <f t="shared" si="9"/>
        <v>1639.3179767040619</v>
      </c>
      <c r="J92" s="1"/>
    </row>
    <row r="93" spans="1:22" x14ac:dyDescent="0.25">
      <c r="A93" s="32"/>
      <c r="B93" s="32">
        <v>79</v>
      </c>
      <c r="C93" s="37">
        <v>406.5</v>
      </c>
      <c r="D93" s="37">
        <v>1278.8599999999999</v>
      </c>
      <c r="E93" s="34">
        <f t="shared" si="5"/>
        <v>6616.9354838709369</v>
      </c>
      <c r="F93" s="35">
        <f t="shared" si="6"/>
        <v>1237.764378127993</v>
      </c>
      <c r="G93" s="35">
        <f t="shared" si="7"/>
        <v>6375.7199416758976</v>
      </c>
      <c r="H93" s="36">
        <f t="shared" si="8"/>
        <v>-41.095621872006859</v>
      </c>
      <c r="I93" s="36">
        <f t="shared" si="9"/>
        <v>1688.8501370469685</v>
      </c>
      <c r="J93" s="1"/>
    </row>
    <row r="94" spans="1:22" x14ac:dyDescent="0.25">
      <c r="A94" s="32"/>
      <c r="B94" s="32">
        <v>80</v>
      </c>
      <c r="C94" s="37">
        <v>411.46</v>
      </c>
      <c r="D94" s="37">
        <v>1295.26</v>
      </c>
      <c r="E94" s="34">
        <f t="shared" si="5"/>
        <v>6612.9032258065163</v>
      </c>
      <c r="F94" s="35">
        <f t="shared" si="6"/>
        <v>1253.5850857137871</v>
      </c>
      <c r="G94" s="35">
        <f t="shared" si="7"/>
        <v>6382.9165612653014</v>
      </c>
      <c r="H94" s="36">
        <f t="shared" si="8"/>
        <v>-41.674914286212925</v>
      </c>
      <c r="I94" s="36">
        <f t="shared" si="9"/>
        <v>1736.7984807631942</v>
      </c>
      <c r="J94" s="1"/>
    </row>
    <row r="95" spans="1:22" x14ac:dyDescent="0.25">
      <c r="A95" s="32"/>
      <c r="B95" s="32">
        <v>81</v>
      </c>
      <c r="C95" s="37">
        <v>416.41</v>
      </c>
      <c r="D95" s="37">
        <v>1311.66</v>
      </c>
      <c r="E95" s="34">
        <f t="shared" si="5"/>
        <v>6626.2626262626018</v>
      </c>
      <c r="F95" s="35">
        <f t="shared" si="6"/>
        <v>1269.3917004168725</v>
      </c>
      <c r="G95" s="35">
        <f t="shared" si="7"/>
        <v>6390.1067701985939</v>
      </c>
      <c r="H95" s="36">
        <f t="shared" si="8"/>
        <v>-42.2682995831276</v>
      </c>
      <c r="I95" s="36">
        <f t="shared" si="9"/>
        <v>1786.6091496490249</v>
      </c>
      <c r="J95" s="1"/>
      <c r="N95" s="39"/>
      <c r="O95" s="39"/>
      <c r="P95" s="39"/>
      <c r="Q95" s="39"/>
      <c r="R95" s="39"/>
      <c r="S95" s="39"/>
      <c r="T95" s="39"/>
      <c r="U95" s="39"/>
      <c r="V95" s="39"/>
    </row>
    <row r="96" spans="1:22" x14ac:dyDescent="0.25">
      <c r="A96" s="32"/>
      <c r="B96" s="32">
        <v>82</v>
      </c>
      <c r="C96" s="37">
        <v>421.37</v>
      </c>
      <c r="D96" s="37">
        <v>1328.07</v>
      </c>
      <c r="E96" s="34">
        <f t="shared" si="5"/>
        <v>6616.9354838709369</v>
      </c>
      <c r="F96" s="35">
        <f t="shared" si="6"/>
        <v>1285.2481074702141</v>
      </c>
      <c r="G96" s="35">
        <f t="shared" si="7"/>
        <v>6397.3196289786974</v>
      </c>
      <c r="H96" s="36">
        <f t="shared" si="8"/>
        <v>-42.821892529785828</v>
      </c>
      <c r="I96" s="36">
        <f t="shared" si="9"/>
        <v>1833.7144798325273</v>
      </c>
      <c r="J96" s="1"/>
      <c r="N96" s="39"/>
      <c r="O96" s="39"/>
      <c r="P96" s="39"/>
      <c r="Q96" s="39"/>
      <c r="R96" s="39"/>
      <c r="S96" s="39"/>
      <c r="T96" s="39"/>
      <c r="U96" s="39"/>
      <c r="V96" s="39"/>
    </row>
    <row r="97" spans="1:10" x14ac:dyDescent="0.25">
      <c r="A97" s="32"/>
      <c r="B97" s="32">
        <v>83</v>
      </c>
      <c r="C97" s="37">
        <v>426.33</v>
      </c>
      <c r="D97" s="37">
        <v>1344.47</v>
      </c>
      <c r="E97" s="34">
        <f t="shared" si="5"/>
        <v>6612.9032258065163</v>
      </c>
      <c r="F97" s="35">
        <f t="shared" si="6"/>
        <v>1301.1224125069477</v>
      </c>
      <c r="G97" s="35">
        <f t="shared" si="7"/>
        <v>6404.5406293022297</v>
      </c>
      <c r="H97" s="36">
        <f t="shared" si="8"/>
        <v>-43.347587493052288</v>
      </c>
      <c r="I97" s="36">
        <f t="shared" si="9"/>
        <v>1879.013341467823</v>
      </c>
      <c r="J97" s="1"/>
    </row>
    <row r="98" spans="1:10" x14ac:dyDescent="0.25">
      <c r="A98" s="32"/>
      <c r="B98" s="32">
        <v>84</v>
      </c>
      <c r="C98" s="37">
        <v>431.29</v>
      </c>
      <c r="D98" s="37">
        <v>1360.88</v>
      </c>
      <c r="E98" s="34">
        <f t="shared" si="5"/>
        <v>6616.9354838709523</v>
      </c>
      <c r="F98" s="35">
        <f t="shared" si="6"/>
        <v>1317.0146357294921</v>
      </c>
      <c r="G98" s="35">
        <f t="shared" si="7"/>
        <v>6411.7697803589899</v>
      </c>
      <c r="H98" s="36">
        <f t="shared" si="8"/>
        <v>-43.865364270508053</v>
      </c>
      <c r="I98" s="36">
        <f t="shared" si="9"/>
        <v>1924.1701825843645</v>
      </c>
      <c r="J98" s="1"/>
    </row>
    <row r="99" spans="1:10" x14ac:dyDescent="0.25">
      <c r="A99" s="32"/>
      <c r="B99" s="32">
        <v>85</v>
      </c>
      <c r="C99" s="37">
        <v>436.24</v>
      </c>
      <c r="D99" s="37">
        <v>1377.28</v>
      </c>
      <c r="E99" s="34">
        <f t="shared" si="5"/>
        <v>6626.2626262625872</v>
      </c>
      <c r="F99" s="35">
        <f t="shared" si="6"/>
        <v>1332.8927023641152</v>
      </c>
      <c r="G99" s="35">
        <f t="shared" si="7"/>
        <v>6418.9924917810249</v>
      </c>
      <c r="H99" s="36">
        <f t="shared" si="8"/>
        <v>-44.387297635884806</v>
      </c>
      <c r="I99" s="36">
        <f t="shared" si="9"/>
        <v>1970.232191416625</v>
      </c>
      <c r="J99" s="1"/>
    </row>
    <row r="100" spans="1:10" x14ac:dyDescent="0.25">
      <c r="A100" s="32"/>
      <c r="B100" s="32">
        <v>86</v>
      </c>
      <c r="C100" s="37">
        <v>441.2</v>
      </c>
      <c r="D100" s="37">
        <v>1393.68</v>
      </c>
      <c r="E100" s="34">
        <f t="shared" si="5"/>
        <v>6612.9032258065163</v>
      </c>
      <c r="F100" s="35">
        <f t="shared" si="6"/>
        <v>1348.8207864294254</v>
      </c>
      <c r="G100" s="35">
        <f t="shared" si="7"/>
        <v>6426.2379554358249</v>
      </c>
      <c r="H100" s="36">
        <f t="shared" si="8"/>
        <v>-44.859213570574639</v>
      </c>
      <c r="I100" s="36">
        <f t="shared" si="9"/>
        <v>2012.3490421704278</v>
      </c>
      <c r="J100" s="1"/>
    </row>
    <row r="101" spans="1:10" x14ac:dyDescent="0.25">
      <c r="A101" s="32"/>
      <c r="B101" s="32">
        <v>87</v>
      </c>
      <c r="C101" s="37">
        <v>446.16</v>
      </c>
      <c r="D101" s="37">
        <v>1410.09</v>
      </c>
      <c r="E101" s="34">
        <f t="shared" si="5"/>
        <v>6616.9354838708605</v>
      </c>
      <c r="F101" s="35">
        <f t="shared" si="6"/>
        <v>1364.7668493838439</v>
      </c>
      <c r="G101" s="35">
        <f t="shared" si="7"/>
        <v>6433.4915974369369</v>
      </c>
      <c r="H101" s="36">
        <f t="shared" si="8"/>
        <v>-45.323150616155999</v>
      </c>
      <c r="I101" s="36">
        <f t="shared" si="9"/>
        <v>2054.1879817747617</v>
      </c>
      <c r="J101" s="1"/>
    </row>
    <row r="102" spans="1:10" x14ac:dyDescent="0.25">
      <c r="A102" s="32"/>
      <c r="B102" s="32">
        <v>88</v>
      </c>
      <c r="C102" s="37">
        <v>451.12</v>
      </c>
      <c r="D102" s="37">
        <v>1426.49</v>
      </c>
      <c r="E102" s="34">
        <f t="shared" si="5"/>
        <v>6612.9032258065163</v>
      </c>
      <c r="F102" s="35">
        <f t="shared" si="6"/>
        <v>1380.7309115211103</v>
      </c>
      <c r="G102" s="35">
        <f t="shared" si="7"/>
        <v>6440.7534270157021</v>
      </c>
      <c r="H102" s="36">
        <f t="shared" si="8"/>
        <v>-45.75908847888968</v>
      </c>
      <c r="I102" s="36">
        <f t="shared" si="9"/>
        <v>2093.8941784188542</v>
      </c>
      <c r="J102" s="1"/>
    </row>
    <row r="103" spans="1:10" x14ac:dyDescent="0.25">
      <c r="A103" s="32"/>
      <c r="B103" s="32">
        <v>89</v>
      </c>
      <c r="C103" s="37">
        <v>456.08</v>
      </c>
      <c r="D103" s="37">
        <v>1442.9</v>
      </c>
      <c r="E103" s="34">
        <f t="shared" si="5"/>
        <v>6616.9354838710287</v>
      </c>
      <c r="F103" s="35">
        <f t="shared" si="6"/>
        <v>1396.7129931578777</v>
      </c>
      <c r="G103" s="35">
        <f t="shared" si="7"/>
        <v>6448.0234534138826</v>
      </c>
      <c r="H103" s="36">
        <f t="shared" si="8"/>
        <v>-46.1870068421224</v>
      </c>
      <c r="I103" s="36">
        <f t="shared" si="9"/>
        <v>2133.2396010342613</v>
      </c>
      <c r="J103" s="1"/>
    </row>
    <row r="104" spans="1:10" x14ac:dyDescent="0.25">
      <c r="A104" s="32"/>
      <c r="B104" s="32">
        <v>90</v>
      </c>
      <c r="C104" s="37">
        <v>461.03</v>
      </c>
      <c r="D104" s="37">
        <v>1459.3</v>
      </c>
      <c r="E104" s="34">
        <f t="shared" si="5"/>
        <v>6626.2626262625872</v>
      </c>
      <c r="F104" s="35">
        <f t="shared" si="6"/>
        <v>1412.6808381620058</v>
      </c>
      <c r="G104" s="35">
        <f t="shared" si="7"/>
        <v>6455.2870037661087</v>
      </c>
      <c r="H104" s="36">
        <f t="shared" si="8"/>
        <v>-46.61916183799417</v>
      </c>
      <c r="I104" s="36">
        <f t="shared" si="9"/>
        <v>2173.3462504770919</v>
      </c>
      <c r="J104" s="1"/>
    </row>
    <row r="105" spans="1:10" x14ac:dyDescent="0.25">
      <c r="A105" s="32"/>
      <c r="B105" s="32">
        <v>91</v>
      </c>
      <c r="C105" s="37">
        <v>465.99</v>
      </c>
      <c r="D105" s="37">
        <v>1475.71</v>
      </c>
      <c r="E105" s="34">
        <f t="shared" si="5"/>
        <v>6616.9354838709523</v>
      </c>
      <c r="F105" s="35">
        <f t="shared" si="6"/>
        <v>1428.6989834072835</v>
      </c>
      <c r="G105" s="35">
        <f t="shared" si="7"/>
        <v>6462.5734349976419</v>
      </c>
      <c r="H105" s="36">
        <f t="shared" si="8"/>
        <v>-47.011016592716487</v>
      </c>
      <c r="I105" s="36">
        <f t="shared" si="9"/>
        <v>2210.0356810806647</v>
      </c>
      <c r="J105" s="1"/>
    </row>
    <row r="106" spans="1:10" x14ac:dyDescent="0.25">
      <c r="A106" s="32"/>
      <c r="B106" s="32">
        <v>92</v>
      </c>
      <c r="C106" s="37">
        <v>470.95</v>
      </c>
      <c r="D106" s="37">
        <v>1492.11</v>
      </c>
      <c r="E106" s="34">
        <f t="shared" si="5"/>
        <v>6612.9032258064244</v>
      </c>
      <c r="F106" s="35">
        <f t="shared" si="6"/>
        <v>1444.735209198587</v>
      </c>
      <c r="G106" s="35">
        <f t="shared" si="7"/>
        <v>6469.8680908178048</v>
      </c>
      <c r="H106" s="36">
        <f t="shared" si="8"/>
        <v>-47.374790801412928</v>
      </c>
      <c r="I106" s="36">
        <f t="shared" si="9"/>
        <v>2244.3708034776391</v>
      </c>
      <c r="J106" s="1"/>
    </row>
    <row r="107" spans="1:10" x14ac:dyDescent="0.25">
      <c r="A107" s="32"/>
      <c r="B107" s="32">
        <v>93</v>
      </c>
      <c r="C107" s="37">
        <v>475.91</v>
      </c>
      <c r="D107" s="37">
        <v>1508.51</v>
      </c>
      <c r="E107" s="34">
        <f t="shared" si="5"/>
        <v>6612.9032258064399</v>
      </c>
      <c r="F107" s="35">
        <f t="shared" si="6"/>
        <v>1460.7895359444062</v>
      </c>
      <c r="G107" s="35">
        <f t="shared" si="7"/>
        <v>6477.1709805101336</v>
      </c>
      <c r="H107" s="36">
        <f t="shared" si="8"/>
        <v>-47.720464055593766</v>
      </c>
      <c r="I107" s="36">
        <f t="shared" si="9"/>
        <v>2277.2426896812167</v>
      </c>
      <c r="J107" s="1"/>
    </row>
    <row r="108" spans="1:10" x14ac:dyDescent="0.25">
      <c r="A108" s="32"/>
      <c r="B108" s="32">
        <v>94</v>
      </c>
      <c r="C108" s="37">
        <v>480.86</v>
      </c>
      <c r="D108" s="37">
        <v>1524.92</v>
      </c>
      <c r="E108" s="34">
        <f t="shared" si="5"/>
        <v>6630.3030303030791</v>
      </c>
      <c r="F108" s="35">
        <f t="shared" si="6"/>
        <v>1476.8295617025713</v>
      </c>
      <c r="G108" s="35">
        <f t="shared" si="7"/>
        <v>6484.46736488231</v>
      </c>
      <c r="H108" s="36">
        <f t="shared" si="8"/>
        <v>-48.090438297428818</v>
      </c>
      <c r="I108" s="36">
        <f t="shared" si="9"/>
        <v>2312.6902556388086</v>
      </c>
      <c r="J108" s="1"/>
    </row>
    <row r="109" spans="1:10" x14ac:dyDescent="0.25">
      <c r="A109" s="32"/>
      <c r="B109" s="32">
        <v>95</v>
      </c>
      <c r="C109" s="37">
        <v>485.82</v>
      </c>
      <c r="D109" s="37">
        <v>1541.32</v>
      </c>
      <c r="E109" s="34">
        <f t="shared" si="5"/>
        <v>6612.9032258064244</v>
      </c>
      <c r="F109" s="35">
        <f t="shared" si="6"/>
        <v>1492.9201150781771</v>
      </c>
      <c r="G109" s="35">
        <f t="shared" si="7"/>
        <v>6491.7867335641004</v>
      </c>
      <c r="H109" s="36">
        <f t="shared" si="8"/>
        <v>-48.399884921822832</v>
      </c>
      <c r="I109" s="36">
        <f t="shared" si="9"/>
        <v>2342.5488604456932</v>
      </c>
      <c r="J109" s="1"/>
    </row>
    <row r="110" spans="1:10" x14ac:dyDescent="0.25">
      <c r="A110" s="32"/>
      <c r="B110" s="32">
        <v>96</v>
      </c>
      <c r="C110" s="37">
        <v>490.78</v>
      </c>
      <c r="D110" s="37">
        <v>1557.73</v>
      </c>
      <c r="E110" s="34">
        <f t="shared" si="5"/>
        <v>6616.9354838710287</v>
      </c>
      <c r="F110" s="35">
        <f t="shared" si="6"/>
        <v>1509.0288307307762</v>
      </c>
      <c r="G110" s="35">
        <f t="shared" si="7"/>
        <v>6499.1143640128003</v>
      </c>
      <c r="H110" s="36">
        <f t="shared" si="8"/>
        <v>-48.701169269223783</v>
      </c>
      <c r="I110" s="36">
        <f t="shared" si="9"/>
        <v>2371.8038881895868</v>
      </c>
      <c r="J110" s="1"/>
    </row>
    <row r="111" spans="1:10" x14ac:dyDescent="0.25">
      <c r="A111" s="32"/>
      <c r="B111" s="32">
        <v>97</v>
      </c>
      <c r="C111" s="37">
        <v>495.74</v>
      </c>
      <c r="D111" s="37">
        <v>1574.13</v>
      </c>
      <c r="E111" s="34">
        <f t="shared" si="5"/>
        <v>6612.9032258064399</v>
      </c>
      <c r="F111" s="35">
        <f t="shared" si="6"/>
        <v>1525.155729161115</v>
      </c>
      <c r="G111" s="35">
        <f t="shared" si="7"/>
        <v>6506.4502655539118</v>
      </c>
      <c r="H111" s="36">
        <f t="shared" si="8"/>
        <v>-48.974270838885104</v>
      </c>
      <c r="I111" s="36">
        <f t="shared" si="9"/>
        <v>2398.4792042004719</v>
      </c>
      <c r="J111" s="1"/>
    </row>
    <row r="112" spans="1:10" x14ac:dyDescent="0.25">
      <c r="A112" s="32"/>
      <c r="B112" s="32">
        <v>98</v>
      </c>
      <c r="C112" s="37">
        <v>500.69</v>
      </c>
      <c r="D112" s="37">
        <v>1590.53</v>
      </c>
      <c r="E112" s="34">
        <f t="shared" si="5"/>
        <v>6626.2626262625872</v>
      </c>
      <c r="F112" s="35">
        <f t="shared" si="6"/>
        <v>1541.2682619578786</v>
      </c>
      <c r="G112" s="35">
        <f t="shared" si="7"/>
        <v>6513.7796323683406</v>
      </c>
      <c r="H112" s="36">
        <f t="shared" si="8"/>
        <v>-49.261738042121351</v>
      </c>
      <c r="I112" s="36">
        <f t="shared" si="9"/>
        <v>2426.7188349305861</v>
      </c>
      <c r="J112" s="1"/>
    </row>
    <row r="113" spans="1:22" x14ac:dyDescent="0.25">
      <c r="A113" s="32"/>
      <c r="B113" s="32">
        <v>99</v>
      </c>
      <c r="C113" s="37">
        <v>505.65</v>
      </c>
      <c r="D113" s="37">
        <v>1606.94</v>
      </c>
      <c r="E113" s="34">
        <f t="shared" si="5"/>
        <v>6616.9354838710287</v>
      </c>
      <c r="F113" s="35">
        <f t="shared" si="6"/>
        <v>1557.431550776196</v>
      </c>
      <c r="G113" s="35">
        <f t="shared" si="7"/>
        <v>6521.132087390235</v>
      </c>
      <c r="H113" s="36">
        <f t="shared" si="8"/>
        <v>-49.508449223804064</v>
      </c>
      <c r="I113" s="36">
        <f t="shared" si="9"/>
        <v>2451.0865445459854</v>
      </c>
      <c r="J113" s="1"/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:22" x14ac:dyDescent="0.25">
      <c r="A114" s="32"/>
      <c r="B114" s="32">
        <v>100</v>
      </c>
      <c r="C114" s="37">
        <v>510.61</v>
      </c>
      <c r="D114" s="37">
        <v>1623.34</v>
      </c>
      <c r="E114" s="34">
        <f t="shared" si="5"/>
        <v>6612.903225806348</v>
      </c>
      <c r="F114" s="35">
        <f t="shared" si="6"/>
        <v>1573.613083971934</v>
      </c>
      <c r="G114" s="35">
        <f t="shared" si="7"/>
        <v>6528.4928415253789</v>
      </c>
      <c r="H114" s="36">
        <f t="shared" si="8"/>
        <v>-49.726916028065943</v>
      </c>
      <c r="I114" s="36">
        <f t="shared" si="9"/>
        <v>2472.7661776623218</v>
      </c>
      <c r="J114" s="1"/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:22" x14ac:dyDescent="0.25">
      <c r="A115" s="32"/>
      <c r="B115" s="32">
        <v>101</v>
      </c>
      <c r="C115" s="37">
        <v>515.57000000000005</v>
      </c>
      <c r="D115" s="37">
        <v>1639.75</v>
      </c>
      <c r="E115" s="34">
        <f t="shared" si="5"/>
        <v>6616.9354838709523</v>
      </c>
      <c r="F115" s="35">
        <f t="shared" si="6"/>
        <v>1589.8128821385053</v>
      </c>
      <c r="G115" s="35">
        <f t="shared" si="7"/>
        <v>6535.8619041414295</v>
      </c>
      <c r="H115" s="36">
        <f t="shared" si="8"/>
        <v>-49.937117861494698</v>
      </c>
      <c r="I115" s="36">
        <f t="shared" si="9"/>
        <v>2493.7157403128131</v>
      </c>
      <c r="J115" s="1"/>
    </row>
    <row r="116" spans="1:22" x14ac:dyDescent="0.25">
      <c r="A116" s="32"/>
      <c r="B116" s="32">
        <v>102</v>
      </c>
      <c r="C116" s="37">
        <v>520.52</v>
      </c>
      <c r="D116" s="37">
        <v>1656.15</v>
      </c>
      <c r="E116" s="34">
        <f t="shared" si="5"/>
        <v>6626.2626262627546</v>
      </c>
      <c r="F116" s="35">
        <f t="shared" si="6"/>
        <v>1605.9982497333531</v>
      </c>
      <c r="G116" s="35">
        <f t="shared" si="7"/>
        <v>6543.2244024913371</v>
      </c>
      <c r="H116" s="36">
        <f t="shared" si="8"/>
        <v>-50.151750266647014</v>
      </c>
      <c r="I116" s="36">
        <f t="shared" si="9"/>
        <v>2515.1980548081287</v>
      </c>
      <c r="J116" s="1"/>
    </row>
    <row r="117" spans="1:22" x14ac:dyDescent="0.25">
      <c r="A117" s="32"/>
      <c r="B117" s="32">
        <v>103</v>
      </c>
      <c r="C117" s="37">
        <v>525.48</v>
      </c>
      <c r="D117" s="37">
        <v>1672.55</v>
      </c>
      <c r="E117" s="34">
        <f t="shared" si="5"/>
        <v>6612.903225806348</v>
      </c>
      <c r="F117" s="35">
        <f t="shared" si="6"/>
        <v>1622.2346027863464</v>
      </c>
      <c r="G117" s="35">
        <f t="shared" si="7"/>
        <v>6550.6100934162214</v>
      </c>
      <c r="H117" s="36">
        <f t="shared" si="8"/>
        <v>-50.315397213653569</v>
      </c>
      <c r="I117" s="36">
        <f t="shared" si="9"/>
        <v>2531.6391967677373</v>
      </c>
      <c r="J117" s="1"/>
    </row>
    <row r="118" spans="1:22" x14ac:dyDescent="0.25">
      <c r="A118" s="32"/>
      <c r="B118" s="32">
        <v>104</v>
      </c>
      <c r="C118" s="37">
        <v>530.44000000000005</v>
      </c>
      <c r="D118" s="37">
        <v>1688.96</v>
      </c>
      <c r="E118" s="34">
        <f t="shared" si="5"/>
        <v>6616.9354838709523</v>
      </c>
      <c r="F118" s="35">
        <f t="shared" si="6"/>
        <v>1638.4892826883122</v>
      </c>
      <c r="G118" s="35">
        <f t="shared" si="7"/>
        <v>6558.0041209695155</v>
      </c>
      <c r="H118" s="36">
        <f t="shared" si="8"/>
        <v>-50.470717311687849</v>
      </c>
      <c r="I118" s="36">
        <f t="shared" si="9"/>
        <v>2547.2933059563074</v>
      </c>
      <c r="J118" s="1"/>
    </row>
    <row r="119" spans="1:22" x14ac:dyDescent="0.25">
      <c r="A119" s="32"/>
      <c r="B119" s="32">
        <v>105</v>
      </c>
      <c r="C119" s="37">
        <v>535.4</v>
      </c>
      <c r="D119" s="37">
        <v>1705.36</v>
      </c>
      <c r="E119" s="34">
        <f t="shared" si="5"/>
        <v>6612.9032258064999</v>
      </c>
      <c r="F119" s="35">
        <f t="shared" si="6"/>
        <v>1654.7623101257477</v>
      </c>
      <c r="G119" s="35">
        <f t="shared" si="7"/>
        <v>6565.4064945612199</v>
      </c>
      <c r="H119" s="36">
        <f t="shared" si="8"/>
        <v>-50.597689874252183</v>
      </c>
      <c r="I119" s="36">
        <f t="shared" si="9"/>
        <v>2560.1262206110018</v>
      </c>
      <c r="J119" s="1"/>
    </row>
    <row r="120" spans="1:22" x14ac:dyDescent="0.25">
      <c r="A120" s="32"/>
      <c r="B120" s="32">
        <v>106</v>
      </c>
      <c r="C120" s="37">
        <v>540.36</v>
      </c>
      <c r="D120" s="37">
        <v>1721.77</v>
      </c>
      <c r="E120" s="34">
        <f t="shared" si="5"/>
        <v>6616.9354838709523</v>
      </c>
      <c r="F120" s="35">
        <f t="shared" si="6"/>
        <v>1671.0537058085126</v>
      </c>
      <c r="G120" s="35">
        <f t="shared" si="7"/>
        <v>6572.8172236119608</v>
      </c>
      <c r="H120" s="36">
        <f t="shared" si="8"/>
        <v>-50.71629419148735</v>
      </c>
      <c r="I120" s="36">
        <f t="shared" si="9"/>
        <v>2572.1424965174933</v>
      </c>
      <c r="J120" s="1"/>
    </row>
    <row r="121" spans="1:22" x14ac:dyDescent="0.25">
      <c r="A121" s="32"/>
      <c r="B121" s="32">
        <v>107</v>
      </c>
      <c r="C121" s="37">
        <v>545.30999999999995</v>
      </c>
      <c r="D121" s="37">
        <v>1738.17</v>
      </c>
      <c r="E121" s="34">
        <f t="shared" si="5"/>
        <v>6626.2626262627546</v>
      </c>
      <c r="F121" s="35">
        <f t="shared" si="6"/>
        <v>1687.3305893256679</v>
      </c>
      <c r="G121" s="35">
        <f t="shared" si="7"/>
        <v>6580.2213512806366</v>
      </c>
      <c r="H121" s="36">
        <f t="shared" si="8"/>
        <v>-50.839410674332157</v>
      </c>
      <c r="I121" s="36">
        <f t="shared" si="9"/>
        <v>2584.6456777133985</v>
      </c>
      <c r="J121" s="1"/>
    </row>
    <row r="122" spans="1:22" x14ac:dyDescent="0.25">
      <c r="A122" s="32"/>
      <c r="B122" s="32">
        <v>108</v>
      </c>
      <c r="C122" s="37">
        <v>550.27</v>
      </c>
      <c r="D122" s="37">
        <v>1754.57</v>
      </c>
      <c r="E122" s="34">
        <f t="shared" si="5"/>
        <v>6612.903225806348</v>
      </c>
      <c r="F122" s="35">
        <f t="shared" si="6"/>
        <v>1703.6587465848847</v>
      </c>
      <c r="G122" s="35">
        <f t="shared" si="7"/>
        <v>6587.6488026606276</v>
      </c>
      <c r="H122" s="36">
        <f t="shared" si="8"/>
        <v>-50.911253415115198</v>
      </c>
      <c r="I122" s="36">
        <f t="shared" si="9"/>
        <v>2591.9557242980791</v>
      </c>
      <c r="J122" s="1"/>
    </row>
    <row r="123" spans="1:22" x14ac:dyDescent="0.25">
      <c r="A123" s="32"/>
      <c r="B123" s="32">
        <v>109</v>
      </c>
      <c r="C123" s="37">
        <v>555.23</v>
      </c>
      <c r="D123" s="37">
        <v>1770.98</v>
      </c>
      <c r="E123" s="34">
        <f t="shared" si="5"/>
        <v>6616.9354838709523</v>
      </c>
      <c r="F123" s="35">
        <f t="shared" si="6"/>
        <v>1720.0053343174422</v>
      </c>
      <c r="G123" s="35">
        <f t="shared" si="7"/>
        <v>6595.0846378063115</v>
      </c>
      <c r="H123" s="36">
        <f t="shared" si="8"/>
        <v>-50.97466568255777</v>
      </c>
      <c r="I123" s="36">
        <f t="shared" si="9"/>
        <v>2598.4165414485328</v>
      </c>
      <c r="J123" s="1"/>
    </row>
    <row r="124" spans="1:22" x14ac:dyDescent="0.25">
      <c r="A124" s="32"/>
      <c r="B124" s="32">
        <v>110</v>
      </c>
      <c r="C124" s="37">
        <v>560.19000000000005</v>
      </c>
      <c r="D124" s="37">
        <v>1787.38</v>
      </c>
      <c r="E124" s="34">
        <f t="shared" si="5"/>
        <v>6612.9032258064399</v>
      </c>
      <c r="F124" s="35">
        <f t="shared" si="6"/>
        <v>1736.3703733268073</v>
      </c>
      <c r="G124" s="35">
        <f t="shared" si="7"/>
        <v>6602.5288661808945</v>
      </c>
      <c r="H124" s="36">
        <f t="shared" si="8"/>
        <v>-51.00962667319277</v>
      </c>
      <c r="I124" s="36">
        <f t="shared" si="9"/>
        <v>2601.9820133384992</v>
      </c>
      <c r="J124" s="1"/>
    </row>
    <row r="125" spans="1:22" x14ac:dyDescent="0.25">
      <c r="A125" s="32"/>
      <c r="B125" s="32">
        <v>111</v>
      </c>
      <c r="C125" s="40">
        <v>565.14</v>
      </c>
      <c r="D125" s="40">
        <v>1803.79</v>
      </c>
      <c r="E125" s="34">
        <f t="shared" si="5"/>
        <v>6630.3030303030628</v>
      </c>
      <c r="F125" s="35">
        <f t="shared" si="6"/>
        <v>1752.7208345700335</v>
      </c>
      <c r="G125" s="35">
        <f t="shared" si="7"/>
        <v>6609.9664633326456</v>
      </c>
      <c r="H125" s="36">
        <f t="shared" si="8"/>
        <v>-51.069165429966461</v>
      </c>
      <c r="I125" s="36">
        <f t="shared" si="9"/>
        <v>2608.0596577132815</v>
      </c>
      <c r="J125" s="1"/>
    </row>
    <row r="126" spans="1:22" x14ac:dyDescent="0.25">
      <c r="A126" s="32"/>
      <c r="B126" s="32">
        <v>112</v>
      </c>
      <c r="C126" s="40">
        <v>570.1</v>
      </c>
      <c r="D126" s="40">
        <v>1820.19</v>
      </c>
      <c r="E126" s="34">
        <f t="shared" si="5"/>
        <v>6612.9032258064399</v>
      </c>
      <c r="F126" s="35">
        <f t="shared" si="6"/>
        <v>1769.1228013322072</v>
      </c>
      <c r="G126" s="35">
        <f t="shared" si="7"/>
        <v>6617.4274896277911</v>
      </c>
      <c r="H126" s="36">
        <f t="shared" si="8"/>
        <v>-51.067198667792809</v>
      </c>
      <c r="I126" s="36">
        <f t="shared" si="9"/>
        <v>2607.8587797758196</v>
      </c>
      <c r="J126" s="1"/>
    </row>
    <row r="127" spans="1:22" x14ac:dyDescent="0.25">
      <c r="A127" s="32"/>
      <c r="B127" s="32">
        <v>113</v>
      </c>
      <c r="C127" s="40">
        <v>575.05999999999995</v>
      </c>
      <c r="D127" s="40">
        <v>1836.59</v>
      </c>
      <c r="E127" s="34">
        <f t="shared" si="5"/>
        <v>6612.9032258064999</v>
      </c>
      <c r="F127" s="35">
        <f t="shared" si="6"/>
        <v>1785.543281880495</v>
      </c>
      <c r="G127" s="35">
        <f t="shared" si="7"/>
        <v>6624.896937586449</v>
      </c>
      <c r="H127" s="36">
        <f t="shared" si="8"/>
        <v>-51.046718119504931</v>
      </c>
      <c r="I127" s="36">
        <f t="shared" si="9"/>
        <v>2605.7674307721932</v>
      </c>
      <c r="J127" s="1"/>
    </row>
    <row r="128" spans="1:22" x14ac:dyDescent="0.25">
      <c r="A128" s="32"/>
      <c r="B128" s="32">
        <v>114</v>
      </c>
      <c r="C128" s="40">
        <v>580.02</v>
      </c>
      <c r="D128" s="40">
        <v>1853</v>
      </c>
      <c r="E128" s="34">
        <f t="shared" si="5"/>
        <v>6616.9354838709523</v>
      </c>
      <c r="F128" s="35">
        <f t="shared" si="6"/>
        <v>1801.9822971124026</v>
      </c>
      <c r="G128" s="35">
        <f t="shared" si="7"/>
        <v>6632.3748167146041</v>
      </c>
      <c r="H128" s="36">
        <f t="shared" si="8"/>
        <v>-51.017702887597352</v>
      </c>
      <c r="I128" s="36">
        <f t="shared" si="9"/>
        <v>2602.806007927159</v>
      </c>
      <c r="J128" s="1"/>
    </row>
    <row r="129" spans="1:10" x14ac:dyDescent="0.25">
      <c r="A129" s="32"/>
      <c r="B129" s="32">
        <v>115</v>
      </c>
      <c r="C129" s="40">
        <v>584.97</v>
      </c>
      <c r="D129" s="40">
        <v>1869.4</v>
      </c>
      <c r="E129" s="34">
        <f t="shared" si="5"/>
        <v>6626.2626262626018</v>
      </c>
      <c r="F129" s="35">
        <f t="shared" si="6"/>
        <v>1818.4066686811043</v>
      </c>
      <c r="G129" s="35">
        <f t="shared" si="7"/>
        <v>6639.8460346442689</v>
      </c>
      <c r="H129" s="36">
        <f t="shared" si="8"/>
        <v>-50.993331318895798</v>
      </c>
      <c r="I129" s="36">
        <f t="shared" si="9"/>
        <v>2600.3198389986792</v>
      </c>
      <c r="J129" s="1"/>
    </row>
    <row r="130" spans="1:10" x14ac:dyDescent="0.25">
      <c r="A130" s="32"/>
      <c r="B130" s="32">
        <v>116</v>
      </c>
      <c r="C130" s="40">
        <v>589.92999999999995</v>
      </c>
      <c r="D130" s="40">
        <v>1885.81</v>
      </c>
      <c r="E130" s="34">
        <f t="shared" si="5"/>
        <v>6616.9354838710124</v>
      </c>
      <c r="F130" s="35">
        <f t="shared" si="6"/>
        <v>1834.8827785933618</v>
      </c>
      <c r="G130" s="35">
        <f t="shared" si="7"/>
        <v>6647.3407876259998</v>
      </c>
      <c r="H130" s="36">
        <f t="shared" si="8"/>
        <v>-50.927221406638182</v>
      </c>
      <c r="I130" s="36">
        <f t="shared" si="9"/>
        <v>2593.5818802007461</v>
      </c>
      <c r="J130" s="1"/>
    </row>
    <row r="131" spans="1:10" x14ac:dyDescent="0.25">
      <c r="A131" s="32"/>
      <c r="B131" s="32">
        <v>117</v>
      </c>
      <c r="C131" s="40">
        <v>594.89</v>
      </c>
      <c r="D131" s="40">
        <v>1902.21</v>
      </c>
      <c r="E131" s="34">
        <f t="shared" si="5"/>
        <v>6612.9032258064399</v>
      </c>
      <c r="F131" s="35">
        <f t="shared" si="6"/>
        <v>1851.3774859811094</v>
      </c>
      <c r="G131" s="35">
        <f t="shared" si="7"/>
        <v>6654.8440003403757</v>
      </c>
      <c r="H131" s="36">
        <f t="shared" si="8"/>
        <v>-50.832514018890606</v>
      </c>
      <c r="I131" s="36">
        <f t="shared" si="9"/>
        <v>2583.9444814807098</v>
      </c>
      <c r="J131" s="1"/>
    </row>
    <row r="132" spans="1:10" x14ac:dyDescent="0.25">
      <c r="A132" s="32"/>
      <c r="B132" s="32">
        <v>118</v>
      </c>
      <c r="C132" s="40">
        <v>599.85</v>
      </c>
      <c r="D132" s="40">
        <v>1918.61</v>
      </c>
      <c r="E132" s="34">
        <f t="shared" si="5"/>
        <v>6612.903225806348</v>
      </c>
      <c r="F132" s="35">
        <f t="shared" si="6"/>
        <v>1867.8908118363224</v>
      </c>
      <c r="G132" s="35">
        <f t="shared" si="7"/>
        <v>6662.3556823363533</v>
      </c>
      <c r="H132" s="36">
        <f t="shared" si="8"/>
        <v>-50.719188163677472</v>
      </c>
      <c r="I132" s="36">
        <f t="shared" si="9"/>
        <v>2572.4360479825209</v>
      </c>
      <c r="J132" s="1"/>
    </row>
    <row r="133" spans="1:10" x14ac:dyDescent="0.25">
      <c r="A133" s="32"/>
      <c r="B133" s="32">
        <v>119</v>
      </c>
      <c r="C133" s="40">
        <v>604.80999999999995</v>
      </c>
      <c r="D133" s="40">
        <v>1935.02</v>
      </c>
      <c r="E133" s="34">
        <f t="shared" si="5"/>
        <v>6616.9354838711033</v>
      </c>
      <c r="F133" s="35">
        <f t="shared" si="6"/>
        <v>1884.4227771746714</v>
      </c>
      <c r="G133" s="35">
        <f t="shared" si="7"/>
        <v>6669.8758431736687</v>
      </c>
      <c r="H133" s="36">
        <f t="shared" si="8"/>
        <v>-50.597222825328572</v>
      </c>
      <c r="I133" s="36">
        <f t="shared" si="9"/>
        <v>2560.0789576359507</v>
      </c>
      <c r="J133" s="1"/>
    </row>
    <row r="134" spans="1:10" x14ac:dyDescent="0.25">
      <c r="A134" s="32"/>
      <c r="B134" s="32">
        <v>120</v>
      </c>
      <c r="C134" s="40">
        <v>609.76</v>
      </c>
      <c r="D134" s="40">
        <v>1951.42</v>
      </c>
      <c r="E134" s="34">
        <f t="shared" si="5"/>
        <v>6626.2626262626018</v>
      </c>
      <c r="F134" s="35">
        <f t="shared" si="6"/>
        <v>1900.9400160510561</v>
      </c>
      <c r="G134" s="35">
        <f t="shared" si="7"/>
        <v>6677.3893051484911</v>
      </c>
      <c r="H134" s="36">
        <f t="shared" si="8"/>
        <v>-50.479983948943982</v>
      </c>
      <c r="I134" s="36">
        <f t="shared" si="9"/>
        <v>2548.228779485642</v>
      </c>
      <c r="J134" s="1"/>
    </row>
    <row r="135" spans="1:10" x14ac:dyDescent="0.25">
      <c r="A135" s="32"/>
      <c r="B135" s="32">
        <v>121</v>
      </c>
      <c r="C135" s="40">
        <v>614.72</v>
      </c>
      <c r="D135" s="40">
        <v>1967.83</v>
      </c>
      <c r="E135" s="34">
        <f t="shared" si="5"/>
        <v>6616.9354838708605</v>
      </c>
      <c r="F135" s="35">
        <f t="shared" si="6"/>
        <v>1917.5092858119087</v>
      </c>
      <c r="G135" s="35">
        <f t="shared" si="7"/>
        <v>6684.9264352481678</v>
      </c>
      <c r="H135" s="36">
        <f t="shared" si="8"/>
        <v>-50.320714188091188</v>
      </c>
      <c r="I135" s="36">
        <f t="shared" si="9"/>
        <v>2532.1742763995617</v>
      </c>
      <c r="J135" s="1"/>
    </row>
    <row r="136" spans="1:10" x14ac:dyDescent="0.25">
      <c r="A136" s="32"/>
      <c r="B136" s="32">
        <v>122</v>
      </c>
      <c r="C136" s="40">
        <v>619.67999999999995</v>
      </c>
      <c r="D136" s="40">
        <v>1984.23</v>
      </c>
      <c r="E136" s="34">
        <f t="shared" si="5"/>
        <v>6612.9032258065909</v>
      </c>
      <c r="F136" s="35">
        <f t="shared" si="6"/>
        <v>1934.0972582028085</v>
      </c>
      <c r="G136" s="35">
        <f t="shared" si="7"/>
        <v>6692.4720729138326</v>
      </c>
      <c r="H136" s="36">
        <f t="shared" si="8"/>
        <v>-50.132741797191557</v>
      </c>
      <c r="I136" s="36">
        <f t="shared" si="9"/>
        <v>2513.2918001038774</v>
      </c>
      <c r="J136" s="1"/>
    </row>
    <row r="137" spans="1:10" x14ac:dyDescent="0.25">
      <c r="A137" s="32"/>
      <c r="B137" s="32">
        <v>123</v>
      </c>
      <c r="C137" s="40">
        <v>624.64</v>
      </c>
      <c r="D137" s="40">
        <v>2000.63</v>
      </c>
      <c r="E137" s="34">
        <f t="shared" si="5"/>
        <v>6612.9032258064399</v>
      </c>
      <c r="F137" s="35">
        <f t="shared" si="6"/>
        <v>1950.7039543344204</v>
      </c>
      <c r="G137" s="35">
        <f t="shared" si="7"/>
        <v>6700.0262277484335</v>
      </c>
      <c r="H137" s="36">
        <f t="shared" si="8"/>
        <v>-49.92604566557975</v>
      </c>
      <c r="I137" s="36">
        <f t="shared" si="9"/>
        <v>2492.6100358015547</v>
      </c>
      <c r="J137" s="1"/>
    </row>
    <row r="138" spans="1:10" x14ac:dyDescent="0.25">
      <c r="A138" s="32"/>
      <c r="B138" s="32">
        <v>124</v>
      </c>
      <c r="C138" s="40">
        <v>629.59</v>
      </c>
      <c r="D138" s="40">
        <v>2017.04</v>
      </c>
      <c r="E138" s="34">
        <f t="shared" si="5"/>
        <v>6630.3030303029109</v>
      </c>
      <c r="F138" s="35">
        <f t="shared" si="6"/>
        <v>1967.2958574348397</v>
      </c>
      <c r="G138" s="35">
        <f t="shared" si="7"/>
        <v>6707.5736534391272</v>
      </c>
      <c r="H138" s="36">
        <f t="shared" si="8"/>
        <v>-49.744142565160246</v>
      </c>
      <c r="I138" s="36">
        <f t="shared" si="9"/>
        <v>2474.4797195429874</v>
      </c>
      <c r="J138" s="1"/>
    </row>
    <row r="139" spans="1:10" x14ac:dyDescent="0.25">
      <c r="A139" s="32"/>
      <c r="B139" s="32">
        <v>125</v>
      </c>
      <c r="C139" s="40">
        <v>634.54999999999995</v>
      </c>
      <c r="D139" s="40">
        <v>2033.44</v>
      </c>
      <c r="E139" s="34">
        <f t="shared" si="5"/>
        <v>6612.9032258065909</v>
      </c>
      <c r="F139" s="35">
        <f t="shared" si="6"/>
        <v>1983.9400266191856</v>
      </c>
      <c r="G139" s="35">
        <f t="shared" si="7"/>
        <v>6715.1448542436328</v>
      </c>
      <c r="H139" s="36">
        <f t="shared" si="8"/>
        <v>-49.499973380814481</v>
      </c>
      <c r="I139" s="36">
        <f t="shared" si="9"/>
        <v>2450.2473647013421</v>
      </c>
      <c r="J139" s="1"/>
    </row>
    <row r="140" spans="1:10" x14ac:dyDescent="0.25">
      <c r="A140" s="32"/>
      <c r="B140" s="32">
        <v>126</v>
      </c>
      <c r="C140" s="40">
        <v>639.51</v>
      </c>
      <c r="D140" s="40">
        <v>2049.85</v>
      </c>
      <c r="E140" s="34">
        <f t="shared" si="5"/>
        <v>6616.9354838708605</v>
      </c>
      <c r="F140" s="35">
        <f t="shared" si="6"/>
        <v>2000.6029829766014</v>
      </c>
      <c r="G140" s="35">
        <f t="shared" si="7"/>
        <v>6722.7246010715708</v>
      </c>
      <c r="H140" s="36">
        <f t="shared" si="8"/>
        <v>-49.247017023398485</v>
      </c>
      <c r="I140" s="36">
        <f t="shared" si="9"/>
        <v>2425.2686857029003</v>
      </c>
      <c r="J140" s="1"/>
    </row>
    <row r="141" spans="1:10" x14ac:dyDescent="0.25">
      <c r="A141" s="32"/>
      <c r="B141" s="32">
        <v>127</v>
      </c>
      <c r="C141" s="40">
        <v>644.47</v>
      </c>
      <c r="D141" s="40">
        <v>2066.25</v>
      </c>
      <c r="E141" s="34">
        <f t="shared" si="5"/>
        <v>6612.9032258064399</v>
      </c>
      <c r="F141" s="35">
        <f t="shared" si="6"/>
        <v>2017.2847477131866</v>
      </c>
      <c r="G141" s="35">
        <f t="shared" si="7"/>
        <v>6730.3129035693009</v>
      </c>
      <c r="H141" s="36">
        <f t="shared" si="8"/>
        <v>-48.965252286813438</v>
      </c>
      <c r="I141" s="36">
        <f t="shared" si="9"/>
        <v>2397.5959315112887</v>
      </c>
      <c r="J141" s="1"/>
    </row>
    <row r="142" spans="1:10" x14ac:dyDescent="0.25">
      <c r="A142" s="32"/>
      <c r="B142" s="32">
        <v>128</v>
      </c>
      <c r="C142" s="40">
        <v>649.41999999999996</v>
      </c>
      <c r="D142" s="40">
        <v>2082.65</v>
      </c>
      <c r="E142" s="34">
        <f t="shared" si="5"/>
        <v>6626.2626262627546</v>
      </c>
      <c r="F142" s="35">
        <f t="shared" si="6"/>
        <v>2033.9516525484298</v>
      </c>
      <c r="G142" s="35">
        <f t="shared" si="7"/>
        <v>6737.8944465048235</v>
      </c>
      <c r="H142" s="36">
        <f t="shared" si="8"/>
        <v>-48.698347451570271</v>
      </c>
      <c r="I142" s="36">
        <f t="shared" si="9"/>
        <v>2371.5290445138608</v>
      </c>
      <c r="J142" s="1"/>
    </row>
    <row r="143" spans="1:10" x14ac:dyDescent="0.25">
      <c r="A143" s="32"/>
      <c r="B143" s="32">
        <v>129</v>
      </c>
      <c r="C143" s="40">
        <v>654.38</v>
      </c>
      <c r="D143" s="40">
        <v>2099.06</v>
      </c>
      <c r="E143" s="34">
        <f t="shared" ref="E143:E200" si="10">IF(C143="","",2*(D143-D142)/((C143-C142)/1000))</f>
        <v>6616.9354838708605</v>
      </c>
      <c r="F143" s="35">
        <f t="shared" ref="F143:F200" si="11">IF(C143="","",F$7+(F$9/F$10)*(EXP(F$10*(C143-F$8)/2000)-1))</f>
        <v>2050.671059730249</v>
      </c>
      <c r="G143" s="35">
        <f t="shared" ref="G143:G200" si="12">IF(E143="","",F$9+(F143-F$7)*F$10)</f>
        <v>6745.4998720267477</v>
      </c>
      <c r="H143" s="36">
        <f t="shared" ref="H143:H200" si="13">IF(F143="","",F143-D143)</f>
        <v>-48.388940269750947</v>
      </c>
      <c r="I143" s="36">
        <f t="shared" ref="I143:I200" si="14">IF(H143="","",H143^2)</f>
        <v>2341.4895404295248</v>
      </c>
      <c r="J143" s="1"/>
    </row>
    <row r="144" spans="1:10" x14ac:dyDescent="0.25">
      <c r="A144" s="32"/>
      <c r="B144" s="32">
        <v>130</v>
      </c>
      <c r="C144" s="40">
        <v>659.34</v>
      </c>
      <c r="D144" s="40">
        <v>2115.46</v>
      </c>
      <c r="E144" s="34">
        <f t="shared" si="10"/>
        <v>6612.9032258064399</v>
      </c>
      <c r="F144" s="35">
        <f t="shared" si="11"/>
        <v>2067.4093390103303</v>
      </c>
      <c r="G144" s="35">
        <f t="shared" si="12"/>
        <v>6753.1138822033918</v>
      </c>
      <c r="H144" s="36">
        <f t="shared" si="13"/>
        <v>-48.050660989669723</v>
      </c>
      <c r="I144" s="36">
        <f t="shared" si="14"/>
        <v>2308.8660215441678</v>
      </c>
      <c r="J144" s="1"/>
    </row>
    <row r="145" spans="1:10" x14ac:dyDescent="0.25">
      <c r="A145" s="32"/>
      <c r="B145" s="32">
        <v>131</v>
      </c>
      <c r="C145" s="40">
        <v>664.3</v>
      </c>
      <c r="D145" s="40">
        <v>2131.87</v>
      </c>
      <c r="E145" s="34">
        <f t="shared" si="10"/>
        <v>6616.9354838710124</v>
      </c>
      <c r="F145" s="35">
        <f t="shared" si="11"/>
        <v>2084.1665116906333</v>
      </c>
      <c r="G145" s="35">
        <f t="shared" si="12"/>
        <v>6760.7364867247206</v>
      </c>
      <c r="H145" s="36">
        <f t="shared" si="13"/>
        <v>-47.703488309366548</v>
      </c>
      <c r="I145" s="36">
        <f t="shared" si="14"/>
        <v>2275.6227968818712</v>
      </c>
      <c r="J145" s="1"/>
    </row>
    <row r="146" spans="1:10" x14ac:dyDescent="0.25">
      <c r="A146" s="32"/>
      <c r="B146" s="32">
        <v>132</v>
      </c>
      <c r="C146" s="40">
        <v>669.25</v>
      </c>
      <c r="D146" s="40">
        <v>2148.27</v>
      </c>
      <c r="E146" s="34">
        <f t="shared" si="10"/>
        <v>6626.2626262626018</v>
      </c>
      <c r="F146" s="35">
        <f t="shared" si="11"/>
        <v>2100.9087572971721</v>
      </c>
      <c r="G146" s="35">
        <f t="shared" si="12"/>
        <v>6768.3523011280422</v>
      </c>
      <c r="H146" s="36">
        <f t="shared" si="13"/>
        <v>-47.361242702827894</v>
      </c>
      <c r="I146" s="36">
        <f t="shared" si="14"/>
        <v>2243.0873103561685</v>
      </c>
      <c r="J146" s="1"/>
    </row>
    <row r="147" spans="1:10" x14ac:dyDescent="0.25">
      <c r="A147" s="32"/>
      <c r="B147" s="32">
        <v>133</v>
      </c>
      <c r="C147" s="40">
        <v>674.21</v>
      </c>
      <c r="D147" s="40">
        <v>2164.6799999999998</v>
      </c>
      <c r="E147" s="34">
        <f t="shared" si="10"/>
        <v>6616.9354838708605</v>
      </c>
      <c r="F147" s="35">
        <f t="shared" si="11"/>
        <v>2117.7037425809294</v>
      </c>
      <c r="G147" s="35">
        <f t="shared" si="12"/>
        <v>6775.9921060761699</v>
      </c>
      <c r="H147" s="36">
        <f t="shared" si="13"/>
        <v>-46.976257419070407</v>
      </c>
      <c r="I147" s="36">
        <f t="shared" si="14"/>
        <v>2206.7687611027673</v>
      </c>
      <c r="J147" s="1"/>
    </row>
    <row r="148" spans="1:10" x14ac:dyDescent="0.25">
      <c r="A148" s="32"/>
      <c r="B148" s="32">
        <v>134</v>
      </c>
      <c r="C148" s="40">
        <v>679.17</v>
      </c>
      <c r="D148" s="40">
        <v>2181.08</v>
      </c>
      <c r="E148" s="34">
        <f t="shared" si="10"/>
        <v>6612.9032258065909</v>
      </c>
      <c r="F148" s="35">
        <f t="shared" si="11"/>
        <v>2134.5176852720351</v>
      </c>
      <c r="G148" s="35">
        <f t="shared" si="12"/>
        <v>6783.6405344849336</v>
      </c>
      <c r="H148" s="36">
        <f t="shared" si="13"/>
        <v>-46.562314727964804</v>
      </c>
      <c r="I148" s="36">
        <f t="shared" si="14"/>
        <v>2168.0491528260482</v>
      </c>
      <c r="J148" s="1"/>
    </row>
    <row r="149" spans="1:10" x14ac:dyDescent="0.25">
      <c r="A149" s="32"/>
      <c r="B149" s="32">
        <v>135</v>
      </c>
      <c r="C149" s="40">
        <v>684.13</v>
      </c>
      <c r="D149" s="40">
        <v>2197.48</v>
      </c>
      <c r="E149" s="34">
        <f t="shared" si="10"/>
        <v>6612.9032258064399</v>
      </c>
      <c r="F149" s="35">
        <f t="shared" si="11"/>
        <v>2151.3506067687485</v>
      </c>
      <c r="G149" s="35">
        <f t="shared" si="12"/>
        <v>6791.2975960881022</v>
      </c>
      <c r="H149" s="36">
        <f t="shared" si="13"/>
        <v>-46.12939323125147</v>
      </c>
      <c r="I149" s="36">
        <f t="shared" si="14"/>
        <v>2127.9209198834287</v>
      </c>
      <c r="J149" s="1"/>
    </row>
    <row r="150" spans="1:10" x14ac:dyDescent="0.25">
      <c r="A150" s="32"/>
      <c r="B150" s="32">
        <v>136</v>
      </c>
      <c r="C150" s="40">
        <v>689.09</v>
      </c>
      <c r="D150" s="40">
        <v>2213.89</v>
      </c>
      <c r="E150" s="34">
        <f t="shared" si="10"/>
        <v>6616.9354838708605</v>
      </c>
      <c r="F150" s="35">
        <f t="shared" si="11"/>
        <v>2168.2025284934639</v>
      </c>
      <c r="G150" s="35">
        <f t="shared" si="12"/>
        <v>6798.9633006304248</v>
      </c>
      <c r="H150" s="36">
        <f t="shared" si="13"/>
        <v>-45.687471506535985</v>
      </c>
      <c r="I150" s="36">
        <f t="shared" si="14"/>
        <v>2087.3450526605375</v>
      </c>
      <c r="J150" s="1"/>
    </row>
    <row r="151" spans="1:10" x14ac:dyDescent="0.25">
      <c r="A151" s="32"/>
      <c r="B151" s="32">
        <v>137</v>
      </c>
      <c r="C151" s="40">
        <v>694.04</v>
      </c>
      <c r="D151" s="40">
        <v>2230.29</v>
      </c>
      <c r="E151" s="34">
        <f t="shared" si="10"/>
        <v>6626.2626262627546</v>
      </c>
      <c r="F151" s="35">
        <f t="shared" si="11"/>
        <v>2185.0394387431807</v>
      </c>
      <c r="G151" s="35">
        <f t="shared" si="12"/>
        <v>6806.6221766617946</v>
      </c>
      <c r="H151" s="36">
        <f t="shared" si="13"/>
        <v>-45.25056125681931</v>
      </c>
      <c r="I151" s="36">
        <f t="shared" si="14"/>
        <v>2047.6132940571567</v>
      </c>
      <c r="J151" s="1"/>
    </row>
    <row r="152" spans="1:10" x14ac:dyDescent="0.25">
      <c r="A152" s="32"/>
      <c r="B152" s="32">
        <v>138</v>
      </c>
      <c r="C152" s="40">
        <v>699</v>
      </c>
      <c r="D152" s="40">
        <v>2246.6999999999998</v>
      </c>
      <c r="E152" s="34">
        <f t="shared" si="10"/>
        <v>6616.9354838708605</v>
      </c>
      <c r="F152" s="35">
        <f t="shared" si="11"/>
        <v>2201.9293868728128</v>
      </c>
      <c r="G152" s="35">
        <f t="shared" si="12"/>
        <v>6814.3051788862258</v>
      </c>
      <c r="H152" s="36">
        <f t="shared" si="13"/>
        <v>-44.770613127187062</v>
      </c>
      <c r="I152" s="36">
        <f t="shared" si="14"/>
        <v>2004.4077997842544</v>
      </c>
      <c r="J152" s="1"/>
    </row>
    <row r="153" spans="1:10" x14ac:dyDescent="0.25">
      <c r="A153" s="32"/>
      <c r="B153" s="32">
        <v>139</v>
      </c>
      <c r="C153" s="40">
        <v>703.96</v>
      </c>
      <c r="D153" s="40">
        <v>2263.1</v>
      </c>
      <c r="E153" s="34">
        <f t="shared" si="10"/>
        <v>6612.9032258064399</v>
      </c>
      <c r="F153" s="35">
        <f t="shared" si="11"/>
        <v>2218.8383995994927</v>
      </c>
      <c r="G153" s="35">
        <f t="shared" si="12"/>
        <v>6821.9968533303936</v>
      </c>
      <c r="H153" s="36">
        <f t="shared" si="13"/>
        <v>-44.261600400507177</v>
      </c>
      <c r="I153" s="36">
        <f t="shared" si="14"/>
        <v>1959.0892700141771</v>
      </c>
      <c r="J153" s="1"/>
    </row>
    <row r="154" spans="1:10" x14ac:dyDescent="0.25">
      <c r="A154" s="32"/>
      <c r="B154" s="32">
        <v>140</v>
      </c>
      <c r="C154" s="40">
        <v>708.92</v>
      </c>
      <c r="D154" s="40">
        <v>2279.5</v>
      </c>
      <c r="E154" s="34">
        <f t="shared" si="10"/>
        <v>6612.9032258065909</v>
      </c>
      <c r="F154" s="35">
        <f t="shared" si="11"/>
        <v>2235.7664984424587</v>
      </c>
      <c r="G154" s="35">
        <f t="shared" si="12"/>
        <v>6829.6972097831003</v>
      </c>
      <c r="H154" s="36">
        <f t="shared" si="13"/>
        <v>-43.733501557541331</v>
      </c>
      <c r="I154" s="36">
        <f t="shared" si="14"/>
        <v>1912.6191584834701</v>
      </c>
      <c r="J154" s="1"/>
    </row>
    <row r="155" spans="1:10" x14ac:dyDescent="0.25">
      <c r="A155" s="32"/>
      <c r="B155" s="32">
        <v>141</v>
      </c>
      <c r="C155" s="40">
        <v>713.87</v>
      </c>
      <c r="D155" s="40">
        <v>2295.91</v>
      </c>
      <c r="E155" s="34">
        <f t="shared" si="10"/>
        <v>6630.3030303029109</v>
      </c>
      <c r="F155" s="35">
        <f t="shared" si="11"/>
        <v>2252.6795179528312</v>
      </c>
      <c r="G155" s="35">
        <f t="shared" si="12"/>
        <v>6837.3907068573781</v>
      </c>
      <c r="H155" s="36">
        <f t="shared" si="13"/>
        <v>-43.230482047168607</v>
      </c>
      <c r="I155" s="36">
        <f t="shared" si="14"/>
        <v>1868.8745780305671</v>
      </c>
      <c r="J155" s="1"/>
    </row>
    <row r="156" spans="1:10" x14ac:dyDescent="0.25">
      <c r="A156" s="32"/>
      <c r="B156" s="32">
        <v>142</v>
      </c>
      <c r="C156" s="40">
        <v>718.83</v>
      </c>
      <c r="D156" s="40">
        <v>2312.31</v>
      </c>
      <c r="E156" s="34">
        <f t="shared" si="10"/>
        <v>6612.9032258064399</v>
      </c>
      <c r="F156" s="35">
        <f t="shared" si="11"/>
        <v>2269.6458150945796</v>
      </c>
      <c r="G156" s="35">
        <f t="shared" si="12"/>
        <v>6845.1084391843187</v>
      </c>
      <c r="H156" s="36">
        <f t="shared" si="13"/>
        <v>-42.66418490542037</v>
      </c>
      <c r="I156" s="36">
        <f t="shared" si="14"/>
        <v>1820.2326736438995</v>
      </c>
      <c r="J156" s="1"/>
    </row>
    <row r="157" spans="1:10" x14ac:dyDescent="0.25">
      <c r="A157" s="32"/>
      <c r="B157" s="32">
        <v>143</v>
      </c>
      <c r="C157" s="40">
        <v>723.79</v>
      </c>
      <c r="D157" s="40">
        <v>2328.7199999999998</v>
      </c>
      <c r="E157" s="34">
        <f t="shared" si="10"/>
        <v>6616.9354838710124</v>
      </c>
      <c r="F157" s="35">
        <f t="shared" si="11"/>
        <v>2286.6312630126276</v>
      </c>
      <c r="G157" s="35">
        <f t="shared" si="12"/>
        <v>6852.8348829327379</v>
      </c>
      <c r="H157" s="36">
        <f t="shared" si="13"/>
        <v>-42.088736987372158</v>
      </c>
      <c r="I157" s="36">
        <f t="shared" si="14"/>
        <v>1771.4617811921892</v>
      </c>
      <c r="J157" s="1"/>
    </row>
    <row r="158" spans="1:10" x14ac:dyDescent="0.25">
      <c r="A158" s="32"/>
      <c r="B158" s="32">
        <v>144</v>
      </c>
      <c r="C158" s="40">
        <v>728.75</v>
      </c>
      <c r="D158" s="40">
        <v>2345.12</v>
      </c>
      <c r="E158" s="34">
        <f t="shared" si="10"/>
        <v>6612.9032258064399</v>
      </c>
      <c r="F158" s="35">
        <f t="shared" si="11"/>
        <v>2303.6358833234935</v>
      </c>
      <c r="G158" s="35">
        <f t="shared" si="12"/>
        <v>6860.5700479356883</v>
      </c>
      <c r="H158" s="36">
        <f t="shared" si="13"/>
        <v>-41.484116676506346</v>
      </c>
      <c r="I158" s="36">
        <f t="shared" si="14"/>
        <v>1720.931936429992</v>
      </c>
      <c r="J158" s="1"/>
    </row>
    <row r="159" spans="1:10" x14ac:dyDescent="0.25">
      <c r="A159" s="32"/>
      <c r="B159" s="32">
        <v>145</v>
      </c>
      <c r="C159" s="40">
        <v>733.7</v>
      </c>
      <c r="D159" s="40">
        <v>2361.52</v>
      </c>
      <c r="E159" s="34">
        <f t="shared" si="10"/>
        <v>6626.2626262626018</v>
      </c>
      <c r="F159" s="35">
        <f t="shared" si="11"/>
        <v>2320.6253561374297</v>
      </c>
      <c r="G159" s="35">
        <f t="shared" si="12"/>
        <v>6868.2983225532034</v>
      </c>
      <c r="H159" s="36">
        <f t="shared" si="13"/>
        <v>-40.894643862570319</v>
      </c>
      <c r="I159" s="36">
        <f t="shared" si="14"/>
        <v>1672.3718966464603</v>
      </c>
      <c r="J159" s="1"/>
    </row>
    <row r="160" spans="1:10" x14ac:dyDescent="0.25">
      <c r="A160" s="32"/>
      <c r="B160" s="32">
        <v>146</v>
      </c>
      <c r="C160" s="40">
        <v>738.66</v>
      </c>
      <c r="D160" s="40">
        <v>2377.9299999999998</v>
      </c>
      <c r="E160" s="34">
        <f t="shared" si="10"/>
        <v>6616.9354838710124</v>
      </c>
      <c r="F160" s="35">
        <f t="shared" si="11"/>
        <v>2337.6683474179663</v>
      </c>
      <c r="G160" s="35">
        <f t="shared" si="12"/>
        <v>6876.050941975971</v>
      </c>
      <c r="H160" s="36">
        <f t="shared" si="13"/>
        <v>-40.261652582033548</v>
      </c>
      <c r="I160" s="36">
        <f t="shared" si="14"/>
        <v>1621.0006686363686</v>
      </c>
      <c r="J160" s="1"/>
    </row>
    <row r="161" spans="1:10" x14ac:dyDescent="0.25">
      <c r="A161" s="32"/>
      <c r="B161" s="32">
        <v>147</v>
      </c>
      <c r="C161" s="40">
        <v>743.62</v>
      </c>
      <c r="D161" s="40">
        <v>2394.33</v>
      </c>
      <c r="E161" s="34">
        <f t="shared" si="10"/>
        <v>6612.9032258064399</v>
      </c>
      <c r="F161" s="35">
        <f t="shared" si="11"/>
        <v>2354.7305760436248</v>
      </c>
      <c r="G161" s="35">
        <f t="shared" si="12"/>
        <v>6883.8123121991684</v>
      </c>
      <c r="H161" s="36">
        <f t="shared" si="13"/>
        <v>-39.599423956375176</v>
      </c>
      <c r="I161" s="36">
        <f t="shared" si="14"/>
        <v>1568.1143776767401</v>
      </c>
      <c r="J161" s="1"/>
    </row>
    <row r="162" spans="1:10" x14ac:dyDescent="0.25">
      <c r="A162" s="32"/>
      <c r="B162" s="32">
        <v>148</v>
      </c>
      <c r="C162" s="40">
        <v>748.58</v>
      </c>
      <c r="D162" s="40">
        <v>2410.7399999999998</v>
      </c>
      <c r="E162" s="34">
        <f t="shared" si="10"/>
        <v>6616.9354838708605</v>
      </c>
      <c r="F162" s="35">
        <f t="shared" si="11"/>
        <v>2371.8120637286352</v>
      </c>
      <c r="G162" s="35">
        <f t="shared" si="12"/>
        <v>6891.5824431002975</v>
      </c>
      <c r="H162" s="36">
        <f t="shared" si="13"/>
        <v>-38.927936271364615</v>
      </c>
      <c r="I162" s="36">
        <f t="shared" si="14"/>
        <v>1515.3842223474248</v>
      </c>
      <c r="J162" s="1"/>
    </row>
    <row r="163" spans="1:10" x14ac:dyDescent="0.25">
      <c r="A163" s="32"/>
      <c r="B163" s="32">
        <v>149</v>
      </c>
      <c r="C163" s="40">
        <v>753.53</v>
      </c>
      <c r="D163" s="40">
        <v>2427.14</v>
      </c>
      <c r="E163" s="34">
        <f t="shared" si="10"/>
        <v>6626.2626262627546</v>
      </c>
      <c r="F163" s="35">
        <f t="shared" si="11"/>
        <v>2388.8783354442453</v>
      </c>
      <c r="G163" s="35">
        <f t="shared" si="12"/>
        <v>6899.3456524688172</v>
      </c>
      <c r="H163" s="36">
        <f t="shared" si="13"/>
        <v>-38.261664555754578</v>
      </c>
      <c r="I163" s="36">
        <f t="shared" si="14"/>
        <v>1463.9549745770862</v>
      </c>
      <c r="J163" s="1"/>
    </row>
    <row r="164" spans="1:10" x14ac:dyDescent="0.25">
      <c r="A164" s="32"/>
      <c r="B164" s="32">
        <v>150</v>
      </c>
      <c r="C164" s="40">
        <v>758.49</v>
      </c>
      <c r="D164" s="40">
        <v>2443.54</v>
      </c>
      <c r="E164" s="34">
        <f t="shared" si="10"/>
        <v>6612.9032258064399</v>
      </c>
      <c r="F164" s="35">
        <f t="shared" si="11"/>
        <v>2405.9983675503531</v>
      </c>
      <c r="G164" s="35">
        <f t="shared" si="12"/>
        <v>6907.1333166904024</v>
      </c>
      <c r="H164" s="36">
        <f t="shared" si="13"/>
        <v>-37.541632449646841</v>
      </c>
      <c r="I164" s="36">
        <f t="shared" si="14"/>
        <v>1409.3741669843766</v>
      </c>
      <c r="J164" s="1"/>
    </row>
    <row r="165" spans="1:10" x14ac:dyDescent="0.25">
      <c r="A165" s="32"/>
      <c r="B165" s="32">
        <v>151</v>
      </c>
      <c r="C165" s="40">
        <v>763.45</v>
      </c>
      <c r="D165" s="40">
        <v>2459.9499999999998</v>
      </c>
      <c r="E165" s="34">
        <f t="shared" si="10"/>
        <v>6616.9354838708605</v>
      </c>
      <c r="F165" s="35">
        <f t="shared" si="11"/>
        <v>2423.1377239617259</v>
      </c>
      <c r="G165" s="35">
        <f t="shared" si="12"/>
        <v>6914.9297712693751</v>
      </c>
      <c r="H165" s="36">
        <f t="shared" si="13"/>
        <v>-36.812276038273922</v>
      </c>
      <c r="I165" s="36">
        <f t="shared" si="14"/>
        <v>1355.1436671180763</v>
      </c>
      <c r="J165" s="1"/>
    </row>
    <row r="166" spans="1:10" x14ac:dyDescent="0.25">
      <c r="A166" s="32"/>
      <c r="B166" s="32">
        <v>152</v>
      </c>
      <c r="C166" s="40">
        <v>768.41</v>
      </c>
      <c r="D166" s="40">
        <v>2476.35</v>
      </c>
      <c r="E166" s="34">
        <f t="shared" si="10"/>
        <v>6612.9032258065909</v>
      </c>
      <c r="F166" s="35">
        <f t="shared" si="11"/>
        <v>2440.2964264907473</v>
      </c>
      <c r="G166" s="35">
        <f t="shared" si="12"/>
        <v>6922.7350261278871</v>
      </c>
      <c r="H166" s="36">
        <f t="shared" si="13"/>
        <v>-36.053573509252601</v>
      </c>
      <c r="I166" s="36">
        <f t="shared" si="14"/>
        <v>1299.860162787081</v>
      </c>
      <c r="J166" s="1"/>
    </row>
    <row r="167" spans="1:10" x14ac:dyDescent="0.25">
      <c r="A167" s="32"/>
      <c r="B167" s="32">
        <v>153</v>
      </c>
      <c r="C167" s="40">
        <v>773.37</v>
      </c>
      <c r="D167" s="40">
        <v>2492.75</v>
      </c>
      <c r="E167" s="34">
        <f t="shared" si="10"/>
        <v>6612.9032258064399</v>
      </c>
      <c r="F167" s="35">
        <f t="shared" si="11"/>
        <v>2457.4744969744279</v>
      </c>
      <c r="G167" s="35">
        <f t="shared" si="12"/>
        <v>6930.5490911992883</v>
      </c>
      <c r="H167" s="36">
        <f t="shared" si="13"/>
        <v>-35.275503025572107</v>
      </c>
      <c r="I167" s="36">
        <f t="shared" si="14"/>
        <v>1244.3611137071468</v>
      </c>
      <c r="J167" s="1"/>
    </row>
    <row r="168" spans="1:10" x14ac:dyDescent="0.25">
      <c r="A168" s="32"/>
      <c r="B168" s="32">
        <v>154</v>
      </c>
      <c r="C168" s="40">
        <v>778.32</v>
      </c>
      <c r="D168" s="40">
        <v>2509.16</v>
      </c>
      <c r="E168" s="34">
        <f t="shared" si="10"/>
        <v>6630.3030303029109</v>
      </c>
      <c r="F168" s="35">
        <f t="shared" si="11"/>
        <v>2474.6372654539941</v>
      </c>
      <c r="G168" s="35">
        <f t="shared" si="12"/>
        <v>6938.3561956020876</v>
      </c>
      <c r="H168" s="36">
        <f t="shared" si="13"/>
        <v>-34.522734546005722</v>
      </c>
      <c r="I168" s="36">
        <f t="shared" si="14"/>
        <v>1191.819200533977</v>
      </c>
      <c r="J168" s="1"/>
    </row>
    <row r="169" spans="1:10" x14ac:dyDescent="0.25">
      <c r="A169" s="32"/>
      <c r="B169" s="32">
        <v>155</v>
      </c>
      <c r="C169" s="40">
        <v>783.28</v>
      </c>
      <c r="D169" s="40">
        <v>2525.56</v>
      </c>
      <c r="E169" s="34">
        <f t="shared" si="10"/>
        <v>6612.9032258065909</v>
      </c>
      <c r="F169" s="35">
        <f t="shared" si="11"/>
        <v>2491.8540982981076</v>
      </c>
      <c r="G169" s="35">
        <f t="shared" si="12"/>
        <v>6946.1878931315141</v>
      </c>
      <c r="H169" s="36">
        <f t="shared" si="13"/>
        <v>-33.705901701892344</v>
      </c>
      <c r="I169" s="36">
        <f t="shared" si="14"/>
        <v>1136.0878095376293</v>
      </c>
      <c r="J169" s="1"/>
    </row>
    <row r="170" spans="1:10" x14ac:dyDescent="0.25">
      <c r="A170" s="32"/>
      <c r="B170" s="32">
        <v>156</v>
      </c>
      <c r="C170" s="40">
        <v>788.24</v>
      </c>
      <c r="D170" s="40">
        <v>2541.96</v>
      </c>
      <c r="E170" s="34">
        <f t="shared" si="10"/>
        <v>6612.9032258064399</v>
      </c>
      <c r="F170" s="35">
        <f t="shared" si="11"/>
        <v>2509.0903647117102</v>
      </c>
      <c r="G170" s="35">
        <f t="shared" si="12"/>
        <v>6954.0284307211032</v>
      </c>
      <c r="H170" s="36">
        <f t="shared" si="13"/>
        <v>-32.869635288289828</v>
      </c>
      <c r="I170" s="36">
        <f t="shared" si="14"/>
        <v>1080.4129239851879</v>
      </c>
      <c r="J170" s="1"/>
    </row>
    <row r="171" spans="1:10" x14ac:dyDescent="0.25">
      <c r="A171" s="32"/>
      <c r="B171" s="32">
        <v>157</v>
      </c>
      <c r="C171" s="40">
        <v>793.2</v>
      </c>
      <c r="D171" s="40">
        <v>2558.37</v>
      </c>
      <c r="E171" s="34">
        <f t="shared" si="10"/>
        <v>6616.9354838708605</v>
      </c>
      <c r="F171" s="35">
        <f t="shared" si="11"/>
        <v>2526.346086630519</v>
      </c>
      <c r="G171" s="35">
        <f t="shared" si="12"/>
        <v>6961.8778183491077</v>
      </c>
      <c r="H171" s="36">
        <f t="shared" si="13"/>
        <v>-32.023913369480852</v>
      </c>
      <c r="I171" s="36">
        <f t="shared" si="14"/>
        <v>1025.5310274960145</v>
      </c>
      <c r="J171" s="1"/>
    </row>
    <row r="172" spans="1:10" x14ac:dyDescent="0.25">
      <c r="A172" s="32"/>
      <c r="B172" s="32">
        <v>158</v>
      </c>
      <c r="C172" s="40">
        <v>798.15</v>
      </c>
      <c r="D172" s="40">
        <v>2574.77</v>
      </c>
      <c r="E172" s="34">
        <f t="shared" si="10"/>
        <v>6626.2626262627546</v>
      </c>
      <c r="F172" s="35">
        <f t="shared" si="11"/>
        <v>2543.5864373743111</v>
      </c>
      <c r="G172" s="35">
        <f t="shared" si="12"/>
        <v>6969.7202138436287</v>
      </c>
      <c r="H172" s="36">
        <f t="shared" si="13"/>
        <v>-31.183562625688865</v>
      </c>
      <c r="I172" s="36">
        <f t="shared" si="14"/>
        <v>972.41457803025935</v>
      </c>
      <c r="J172" s="1"/>
    </row>
    <row r="173" spans="1:10" x14ac:dyDescent="0.25">
      <c r="A173" s="32"/>
      <c r="B173" s="32">
        <v>159</v>
      </c>
      <c r="C173" s="40">
        <v>803.11</v>
      </c>
      <c r="D173" s="40">
        <v>2591.1799999999998</v>
      </c>
      <c r="E173" s="34">
        <f t="shared" si="10"/>
        <v>6616.9354838708605</v>
      </c>
      <c r="F173" s="35">
        <f t="shared" si="11"/>
        <v>2560.881096874215</v>
      </c>
      <c r="G173" s="35">
        <f t="shared" si="12"/>
        <v>6977.5873136350965</v>
      </c>
      <c r="H173" s="36">
        <f t="shared" si="13"/>
        <v>-30.298903125784818</v>
      </c>
      <c r="I173" s="36">
        <f t="shared" si="14"/>
        <v>918.02353062569307</v>
      </c>
      <c r="J173" s="1"/>
    </row>
    <row r="174" spans="1:10" x14ac:dyDescent="0.25">
      <c r="A174" s="32"/>
      <c r="B174" s="32">
        <v>160</v>
      </c>
      <c r="C174" s="40">
        <v>808.07</v>
      </c>
      <c r="D174" s="40">
        <v>2607.58</v>
      </c>
      <c r="E174" s="34">
        <f t="shared" si="10"/>
        <v>6612.9032258064399</v>
      </c>
      <c r="F174" s="35">
        <f t="shared" si="11"/>
        <v>2578.1952777907577</v>
      </c>
      <c r="G174" s="35">
        <f t="shared" si="12"/>
        <v>6985.4632934471729</v>
      </c>
      <c r="H174" s="36">
        <f t="shared" si="13"/>
        <v>-29.384722209242227</v>
      </c>
      <c r="I174" s="36">
        <f t="shared" si="14"/>
        <v>863.46189931433344</v>
      </c>
      <c r="J174" s="1"/>
    </row>
    <row r="175" spans="1:10" x14ac:dyDescent="0.25">
      <c r="A175" s="32"/>
      <c r="B175" s="32">
        <v>161</v>
      </c>
      <c r="C175" s="40">
        <v>813.03</v>
      </c>
      <c r="D175" s="40">
        <v>2623.98</v>
      </c>
      <c r="E175" s="34">
        <f t="shared" si="10"/>
        <v>6612.9032258065909</v>
      </c>
      <c r="F175" s="35">
        <f t="shared" si="11"/>
        <v>2595.5290021588157</v>
      </c>
      <c r="G175" s="35">
        <f t="shared" si="12"/>
        <v>6993.3481633032152</v>
      </c>
      <c r="H175" s="36">
        <f t="shared" si="13"/>
        <v>-28.450997841184289</v>
      </c>
      <c r="I175" s="36">
        <f t="shared" si="14"/>
        <v>809.45927815907305</v>
      </c>
      <c r="J175" s="1"/>
    </row>
    <row r="176" spans="1:10" x14ac:dyDescent="0.25">
      <c r="A176" s="32"/>
      <c r="B176" s="32">
        <v>162</v>
      </c>
      <c r="C176" s="40">
        <v>817.98</v>
      </c>
      <c r="D176" s="40">
        <v>2640.39</v>
      </c>
      <c r="E176" s="34">
        <f t="shared" si="10"/>
        <v>6630.3030303029109</v>
      </c>
      <c r="F176" s="35">
        <f t="shared" si="11"/>
        <v>2612.8472858682844</v>
      </c>
      <c r="G176" s="35">
        <f t="shared" si="12"/>
        <v>7001.2260094186659</v>
      </c>
      <c r="H176" s="36">
        <f t="shared" si="13"/>
        <v>-27.542714131715456</v>
      </c>
      <c r="I176" s="36">
        <f t="shared" si="14"/>
        <v>758.60110174139834</v>
      </c>
      <c r="J176" s="1"/>
    </row>
    <row r="177" spans="1:10" x14ac:dyDescent="0.25">
      <c r="A177" s="32"/>
      <c r="B177" s="32">
        <v>163</v>
      </c>
      <c r="C177" s="40">
        <v>822.94</v>
      </c>
      <c r="D177" s="40">
        <v>2656.79</v>
      </c>
      <c r="E177" s="34">
        <f t="shared" si="10"/>
        <v>6612.9032258064399</v>
      </c>
      <c r="F177" s="35">
        <f t="shared" si="11"/>
        <v>2630.2201238301682</v>
      </c>
      <c r="G177" s="35">
        <f t="shared" si="12"/>
        <v>7009.1286715039123</v>
      </c>
      <c r="H177" s="36">
        <f t="shared" si="13"/>
        <v>-26.569876169831787</v>
      </c>
      <c r="I177" s="36">
        <f t="shared" si="14"/>
        <v>705.95831968019502</v>
      </c>
      <c r="J177" s="1"/>
    </row>
    <row r="178" spans="1:10" x14ac:dyDescent="0.25">
      <c r="A178" s="32"/>
      <c r="B178" s="32">
        <v>164</v>
      </c>
      <c r="C178" s="40">
        <v>827.9</v>
      </c>
      <c r="D178" s="40">
        <v>2673.19</v>
      </c>
      <c r="E178" s="34">
        <f t="shared" si="10"/>
        <v>6612.9032258065909</v>
      </c>
      <c r="F178" s="35">
        <f t="shared" si="11"/>
        <v>2647.6125714529426</v>
      </c>
      <c r="G178" s="35">
        <f t="shared" si="12"/>
        <v>7017.0402537508489</v>
      </c>
      <c r="H178" s="36">
        <f t="shared" si="13"/>
        <v>-25.57742854705748</v>
      </c>
      <c r="I178" s="36">
        <f t="shared" si="14"/>
        <v>654.20485107983086</v>
      </c>
      <c r="J178" s="1"/>
    </row>
    <row r="179" spans="1:10" x14ac:dyDescent="0.25">
      <c r="A179" s="32"/>
      <c r="B179" s="32">
        <v>165</v>
      </c>
      <c r="C179" s="40">
        <v>832.86</v>
      </c>
      <c r="D179" s="40">
        <v>2689.6</v>
      </c>
      <c r="E179" s="34">
        <f t="shared" si="10"/>
        <v>6616.9354838708605</v>
      </c>
      <c r="F179" s="35">
        <f t="shared" si="11"/>
        <v>2665.0246508710957</v>
      </c>
      <c r="G179" s="35">
        <f t="shared" si="12"/>
        <v>7024.9607662281451</v>
      </c>
      <c r="H179" s="36">
        <f t="shared" si="13"/>
        <v>-24.575349128904236</v>
      </c>
      <c r="I179" s="36">
        <f t="shared" si="14"/>
        <v>603.94778480753416</v>
      </c>
      <c r="J179" s="1"/>
    </row>
    <row r="180" spans="1:10" x14ac:dyDescent="0.25">
      <c r="A180" s="32"/>
      <c r="B180" s="32">
        <v>166</v>
      </c>
      <c r="C180" s="40">
        <v>837.81</v>
      </c>
      <c r="D180" s="40">
        <v>2706</v>
      </c>
      <c r="E180" s="34">
        <f t="shared" si="10"/>
        <v>6626.2626262627546</v>
      </c>
      <c r="F180" s="35">
        <f t="shared" si="11"/>
        <v>2682.4212198329847</v>
      </c>
      <c r="G180" s="35">
        <f t="shared" si="12"/>
        <v>7032.8742232148579</v>
      </c>
      <c r="H180" s="36">
        <f t="shared" si="13"/>
        <v>-23.578780167015339</v>
      </c>
      <c r="I180" s="36">
        <f t="shared" si="14"/>
        <v>555.95887416443588</v>
      </c>
      <c r="J180" s="1"/>
    </row>
    <row r="181" spans="1:10" x14ac:dyDescent="0.25">
      <c r="A181" s="32"/>
      <c r="B181" s="32">
        <v>167</v>
      </c>
      <c r="C181" s="40">
        <v>842.77</v>
      </c>
      <c r="D181" s="40">
        <v>2722.4</v>
      </c>
      <c r="E181" s="34">
        <f t="shared" si="10"/>
        <v>6612.9032258064399</v>
      </c>
      <c r="F181" s="35">
        <f t="shared" si="11"/>
        <v>2699.872589653336</v>
      </c>
      <c r="G181" s="35">
        <f t="shared" si="12"/>
        <v>7040.8126083490251</v>
      </c>
      <c r="H181" s="36">
        <f t="shared" si="13"/>
        <v>-22.527410346664055</v>
      </c>
      <c r="I181" s="36">
        <f t="shared" si="14"/>
        <v>507.48421692698673</v>
      </c>
      <c r="J181" s="1"/>
    </row>
    <row r="182" spans="1:10" x14ac:dyDescent="0.25">
      <c r="A182" s="32"/>
      <c r="B182" s="32">
        <v>168</v>
      </c>
      <c r="C182" s="40">
        <v>847.73</v>
      </c>
      <c r="D182" s="40">
        <v>2738.81</v>
      </c>
      <c r="E182" s="34">
        <f t="shared" si="10"/>
        <v>6616.9354838708605</v>
      </c>
      <c r="F182" s="35">
        <f t="shared" si="11"/>
        <v>2717.3436577777288</v>
      </c>
      <c r="G182" s="35">
        <f t="shared" si="12"/>
        <v>7048.7599539674165</v>
      </c>
      <c r="H182" s="36">
        <f t="shared" si="13"/>
        <v>-21.466342222271123</v>
      </c>
      <c r="I182" s="36">
        <f t="shared" si="14"/>
        <v>460.80384840365997</v>
      </c>
      <c r="J182" s="1"/>
    </row>
    <row r="183" spans="1:10" x14ac:dyDescent="0.25">
      <c r="A183" s="32"/>
      <c r="B183" s="32">
        <v>169</v>
      </c>
      <c r="C183" s="40">
        <v>852.69</v>
      </c>
      <c r="D183" s="40">
        <v>2755.21</v>
      </c>
      <c r="E183" s="34">
        <f t="shared" si="10"/>
        <v>6612.9032258064399</v>
      </c>
      <c r="F183" s="35">
        <f t="shared" si="11"/>
        <v>2734.8344464407091</v>
      </c>
      <c r="G183" s="35">
        <f t="shared" si="12"/>
        <v>7056.716270184218</v>
      </c>
      <c r="H183" s="36">
        <f t="shared" si="13"/>
        <v>-20.375553559290893</v>
      </c>
      <c r="I183" s="36">
        <f t="shared" si="14"/>
        <v>415.16318284753174</v>
      </c>
      <c r="J183" s="1"/>
    </row>
    <row r="184" spans="1:10" x14ac:dyDescent="0.25">
      <c r="A184" s="32"/>
      <c r="B184" s="32">
        <v>170</v>
      </c>
      <c r="C184" s="40">
        <v>857.64</v>
      </c>
      <c r="D184" s="40">
        <v>2771.61</v>
      </c>
      <c r="E184" s="34">
        <f t="shared" si="10"/>
        <v>6626.2626262627546</v>
      </c>
      <c r="F184" s="35">
        <f t="shared" si="11"/>
        <v>2752.3096545342432</v>
      </c>
      <c r="G184" s="35">
        <f t="shared" si="12"/>
        <v>7064.6654990169263</v>
      </c>
      <c r="H184" s="36">
        <f t="shared" si="13"/>
        <v>-19.300345465756891</v>
      </c>
      <c r="I184" s="36">
        <f t="shared" si="14"/>
        <v>372.50333509756257</v>
      </c>
      <c r="J184" s="1"/>
    </row>
    <row r="185" spans="1:10" x14ac:dyDescent="0.25">
      <c r="A185" s="32"/>
      <c r="B185" s="32">
        <v>171</v>
      </c>
      <c r="C185" s="40">
        <v>862.6</v>
      </c>
      <c r="D185" s="40">
        <v>2788.02</v>
      </c>
      <c r="E185" s="34">
        <f t="shared" si="10"/>
        <v>6616.9354838708605</v>
      </c>
      <c r="F185" s="35">
        <f t="shared" si="11"/>
        <v>2769.8399112070333</v>
      </c>
      <c r="G185" s="35">
        <f t="shared" si="12"/>
        <v>7072.6397686818273</v>
      </c>
      <c r="H185" s="36">
        <f t="shared" si="13"/>
        <v>-18.180088792966671</v>
      </c>
      <c r="I185" s="36">
        <f t="shared" si="14"/>
        <v>330.51562852015235</v>
      </c>
      <c r="J185" s="1"/>
    </row>
    <row r="186" spans="1:10" x14ac:dyDescent="0.25">
      <c r="A186" s="32"/>
      <c r="B186" s="32">
        <v>172</v>
      </c>
      <c r="C186" s="40">
        <v>867.56</v>
      </c>
      <c r="D186" s="40">
        <v>2804.42</v>
      </c>
      <c r="E186" s="34">
        <f t="shared" si="10"/>
        <v>6612.9032258065909</v>
      </c>
      <c r="F186" s="35">
        <f t="shared" si="11"/>
        <v>2787.3899552277226</v>
      </c>
      <c r="G186" s="35">
        <f t="shared" si="12"/>
        <v>7080.6230393357655</v>
      </c>
      <c r="H186" s="36">
        <f t="shared" si="13"/>
        <v>-17.030044772277506</v>
      </c>
      <c r="I186" s="36">
        <f t="shared" si="14"/>
        <v>290.02242494577644</v>
      </c>
      <c r="J186" s="1"/>
    </row>
    <row r="187" spans="1:10" x14ac:dyDescent="0.25">
      <c r="A187" s="32"/>
      <c r="B187" s="32">
        <v>173</v>
      </c>
      <c r="C187" s="40">
        <v>872.51</v>
      </c>
      <c r="D187" s="40">
        <v>2820.82</v>
      </c>
      <c r="E187" s="34">
        <f t="shared" si="10"/>
        <v>6626.2626262626018</v>
      </c>
      <c r="F187" s="35">
        <f t="shared" si="11"/>
        <v>2804.924365895055</v>
      </c>
      <c r="G187" s="35">
        <f t="shared" si="12"/>
        <v>7088.5991985949431</v>
      </c>
      <c r="H187" s="36">
        <f t="shared" si="13"/>
        <v>-15.895634104945202</v>
      </c>
      <c r="I187" s="36">
        <f t="shared" si="14"/>
        <v>252.67118359829706</v>
      </c>
      <c r="J187" s="1"/>
    </row>
    <row r="188" spans="1:10" x14ac:dyDescent="0.25">
      <c r="A188" s="32"/>
      <c r="B188" s="32">
        <v>174</v>
      </c>
      <c r="C188" s="40">
        <v>877.47</v>
      </c>
      <c r="D188" s="40">
        <v>2837.23</v>
      </c>
      <c r="E188" s="34">
        <f t="shared" si="10"/>
        <v>6616.9354838708605</v>
      </c>
      <c r="F188" s="35">
        <f t="shared" si="11"/>
        <v>2822.514011635426</v>
      </c>
      <c r="G188" s="35">
        <f t="shared" si="12"/>
        <v>7096.6004835197391</v>
      </c>
      <c r="H188" s="36">
        <f t="shared" si="13"/>
        <v>-14.715988364574059</v>
      </c>
      <c r="I188" s="36">
        <f t="shared" si="14"/>
        <v>216.5603135462791</v>
      </c>
      <c r="J188" s="1"/>
    </row>
    <row r="189" spans="1:10" x14ac:dyDescent="0.25">
      <c r="A189" s="32"/>
      <c r="B189" s="32">
        <v>175</v>
      </c>
      <c r="C189" s="40">
        <v>882.43</v>
      </c>
      <c r="D189" s="40">
        <v>2853.63</v>
      </c>
      <c r="E189" s="34">
        <f t="shared" si="10"/>
        <v>6612.9032258065909</v>
      </c>
      <c r="F189" s="35">
        <f t="shared" si="11"/>
        <v>2840.1235117593401</v>
      </c>
      <c r="G189" s="35">
        <f t="shared" si="12"/>
        <v>7104.6107999271526</v>
      </c>
      <c r="H189" s="36">
        <f t="shared" si="13"/>
        <v>-13.506488240660019</v>
      </c>
      <c r="I189" s="36">
        <f t="shared" si="14"/>
        <v>182.42522459508737</v>
      </c>
      <c r="J189" s="1"/>
    </row>
    <row r="190" spans="1:10" x14ac:dyDescent="0.25">
      <c r="A190" s="32"/>
      <c r="B190" s="32">
        <v>176</v>
      </c>
      <c r="C190" s="40">
        <v>887.39</v>
      </c>
      <c r="D190" s="40">
        <v>2870.03</v>
      </c>
      <c r="E190" s="34">
        <f t="shared" si="10"/>
        <v>6612.9032258064399</v>
      </c>
      <c r="F190" s="35">
        <f t="shared" si="11"/>
        <v>2857.7528886775167</v>
      </c>
      <c r="G190" s="35">
        <f t="shared" si="12"/>
        <v>7112.630158011506</v>
      </c>
      <c r="H190" s="36">
        <f t="shared" si="13"/>
        <v>-12.277111322483506</v>
      </c>
      <c r="I190" s="36">
        <f t="shared" si="14"/>
        <v>150.72746242465271</v>
      </c>
      <c r="J190" s="1"/>
    </row>
    <row r="191" spans="1:10" x14ac:dyDescent="0.25">
      <c r="A191" s="32"/>
      <c r="B191" s="32">
        <v>177</v>
      </c>
      <c r="C191" s="40">
        <v>892.34</v>
      </c>
      <c r="D191" s="40">
        <v>2886.44</v>
      </c>
      <c r="E191" s="34">
        <f t="shared" si="10"/>
        <v>6630.3030303029109</v>
      </c>
      <c r="F191" s="35">
        <f t="shared" si="11"/>
        <v>2875.3665615736136</v>
      </c>
      <c r="G191" s="35">
        <f t="shared" si="12"/>
        <v>7120.642372554883</v>
      </c>
      <c r="H191" s="36">
        <f t="shared" si="13"/>
        <v>-11.073438426386474</v>
      </c>
      <c r="I191" s="36">
        <f t="shared" si="14"/>
        <v>122.62103858297255</v>
      </c>
      <c r="J191" s="1"/>
    </row>
    <row r="192" spans="1:10" x14ac:dyDescent="0.25">
      <c r="A192" s="32"/>
      <c r="B192" s="32">
        <v>178</v>
      </c>
      <c r="C192" s="40">
        <v>897.3</v>
      </c>
      <c r="D192" s="40">
        <v>2902.84</v>
      </c>
      <c r="E192" s="34">
        <f t="shared" si="10"/>
        <v>6612.9032258065909</v>
      </c>
      <c r="F192" s="35">
        <f t="shared" si="11"/>
        <v>2893.03571922636</v>
      </c>
      <c r="G192" s="35">
        <f t="shared" si="12"/>
        <v>7128.6798263414757</v>
      </c>
      <c r="H192" s="36">
        <f t="shared" si="13"/>
        <v>-9.8042807736401301</v>
      </c>
      <c r="I192" s="36">
        <f t="shared" si="14"/>
        <v>96.123921488369504</v>
      </c>
      <c r="J192" s="1"/>
    </row>
    <row r="193" spans="1:10" x14ac:dyDescent="0.25">
      <c r="A193" s="32"/>
      <c r="B193" s="32">
        <v>179</v>
      </c>
      <c r="C193" s="40">
        <v>902.26</v>
      </c>
      <c r="D193" s="40">
        <v>2919.24</v>
      </c>
      <c r="E193" s="34">
        <f t="shared" si="10"/>
        <v>6612.9032258062562</v>
      </c>
      <c r="F193" s="35">
        <f t="shared" si="11"/>
        <v>2910.7248210120429</v>
      </c>
      <c r="G193" s="35">
        <f t="shared" si="12"/>
        <v>7136.7263524364344</v>
      </c>
      <c r="H193" s="36">
        <f t="shared" si="13"/>
        <v>-8.5151789879569151</v>
      </c>
      <c r="I193" s="36">
        <f t="shared" si="14"/>
        <v>72.508273196942952</v>
      </c>
      <c r="J193" s="1"/>
    </row>
    <row r="194" spans="1:10" x14ac:dyDescent="0.25">
      <c r="A194" s="32"/>
      <c r="B194" s="32">
        <v>180</v>
      </c>
      <c r="C194" s="40">
        <v>907.22</v>
      </c>
      <c r="D194" s="40">
        <v>2935.65</v>
      </c>
      <c r="E194" s="34">
        <f t="shared" si="10"/>
        <v>6616.9354838710442</v>
      </c>
      <c r="F194" s="35">
        <f t="shared" si="11"/>
        <v>2928.433889442686</v>
      </c>
      <c r="G194" s="35">
        <f t="shared" si="12"/>
        <v>7144.7819610801653</v>
      </c>
      <c r="H194" s="36">
        <f t="shared" si="13"/>
        <v>-7.2161105573140958</v>
      </c>
      <c r="I194" s="36">
        <f t="shared" si="14"/>
        <v>52.072251575379951</v>
      </c>
      <c r="J194" s="1"/>
    </row>
    <row r="195" spans="1:10" x14ac:dyDescent="0.25">
      <c r="A195" s="32"/>
      <c r="B195" s="32">
        <v>181</v>
      </c>
      <c r="C195" s="40">
        <v>912.17</v>
      </c>
      <c r="D195" s="40">
        <v>2952.05</v>
      </c>
      <c r="E195" s="34">
        <f t="shared" si="10"/>
        <v>6626.2626262627546</v>
      </c>
      <c r="F195" s="35">
        <f t="shared" si="11"/>
        <v>2946.1271828630738</v>
      </c>
      <c r="G195" s="35">
        <f t="shared" si="12"/>
        <v>7152.8303938913859</v>
      </c>
      <c r="H195" s="36">
        <f t="shared" si="13"/>
        <v>-5.9228171369263691</v>
      </c>
      <c r="I195" s="36">
        <f t="shared" si="14"/>
        <v>35.079762837468671</v>
      </c>
      <c r="J195" s="1"/>
    </row>
    <row r="196" spans="1:10" x14ac:dyDescent="0.25">
      <c r="A196" s="32"/>
      <c r="B196" s="32">
        <v>182</v>
      </c>
      <c r="C196" s="40">
        <v>917.13</v>
      </c>
      <c r="D196" s="40">
        <v>2968.45</v>
      </c>
      <c r="E196" s="34">
        <f t="shared" si="10"/>
        <v>6612.9032258062562</v>
      </c>
      <c r="F196" s="35">
        <f t="shared" si="11"/>
        <v>2963.8762118523891</v>
      </c>
      <c r="G196" s="35">
        <f t="shared" si="12"/>
        <v>7160.9041800368359</v>
      </c>
      <c r="H196" s="36">
        <f t="shared" si="13"/>
        <v>-4.573788147610685</v>
      </c>
      <c r="I196" s="36">
        <f t="shared" si="14"/>
        <v>20.919538019223982</v>
      </c>
      <c r="J196" s="1"/>
    </row>
    <row r="197" spans="1:10" x14ac:dyDescent="0.25">
      <c r="A197" s="32"/>
      <c r="B197" s="32">
        <v>183</v>
      </c>
      <c r="C197" s="40">
        <v>922.09</v>
      </c>
      <c r="D197" s="40">
        <v>2984.86</v>
      </c>
      <c r="E197" s="34">
        <f t="shared" si="10"/>
        <v>6616.9354838710442</v>
      </c>
      <c r="F197" s="35">
        <f t="shared" si="11"/>
        <v>2981.6452751297329</v>
      </c>
      <c r="G197" s="35">
        <f t="shared" si="12"/>
        <v>7168.9870795009483</v>
      </c>
      <c r="H197" s="36">
        <f t="shared" si="13"/>
        <v>-3.2147248702672186</v>
      </c>
      <c r="I197" s="36">
        <f t="shared" si="14"/>
        <v>10.334455991514586</v>
      </c>
      <c r="J197" s="1"/>
    </row>
    <row r="198" spans="1:10" x14ac:dyDescent="0.25">
      <c r="A198" s="32"/>
      <c r="B198" s="32">
        <v>184</v>
      </c>
      <c r="C198" s="40">
        <v>927.05</v>
      </c>
      <c r="D198" s="40">
        <v>3001.26</v>
      </c>
      <c r="E198" s="34">
        <f t="shared" si="10"/>
        <v>6612.9032258065909</v>
      </c>
      <c r="F198" s="35">
        <f t="shared" si="11"/>
        <v>2999.4343953088933</v>
      </c>
      <c r="G198" s="35">
        <f t="shared" si="12"/>
        <v>7177.0791025704193</v>
      </c>
      <c r="H198" s="36">
        <f t="shared" si="13"/>
        <v>-1.8256046911069461</v>
      </c>
      <c r="I198" s="36">
        <f t="shared" si="14"/>
        <v>3.3328324881916882</v>
      </c>
      <c r="J198" s="1"/>
    </row>
    <row r="199" spans="1:10" x14ac:dyDescent="0.25">
      <c r="A199" s="32"/>
      <c r="B199" s="32">
        <v>185</v>
      </c>
      <c r="C199" s="40">
        <v>932</v>
      </c>
      <c r="D199" s="40">
        <v>3017.66</v>
      </c>
      <c r="E199" s="34">
        <f t="shared" si="10"/>
        <v>6626.2626262624181</v>
      </c>
      <c r="F199" s="35">
        <f t="shared" si="11"/>
        <v>3017.207669168733</v>
      </c>
      <c r="G199" s="35">
        <f t="shared" si="12"/>
        <v>7185.1639173698795</v>
      </c>
      <c r="H199" s="36">
        <f t="shared" si="13"/>
        <v>-0.45233083126686324</v>
      </c>
      <c r="I199" s="36">
        <f t="shared" si="14"/>
        <v>0.2046031809145715</v>
      </c>
      <c r="J199" s="1"/>
    </row>
    <row r="200" spans="1:10" x14ac:dyDescent="0.25">
      <c r="A200" s="32"/>
      <c r="B200" s="32">
        <v>186</v>
      </c>
      <c r="C200" s="40">
        <v>936.96</v>
      </c>
      <c r="D200" s="40">
        <v>3034.07</v>
      </c>
      <c r="E200" s="34">
        <f t="shared" si="10"/>
        <v>6616.9354838710442</v>
      </c>
      <c r="F200" s="35">
        <f t="shared" si="11"/>
        <v>3035.0369305435429</v>
      </c>
      <c r="G200" s="35">
        <f t="shared" si="12"/>
        <v>7193.2742001103161</v>
      </c>
      <c r="H200" s="36">
        <f t="shared" si="13"/>
        <v>0.96693054354273045</v>
      </c>
      <c r="I200" s="36">
        <f t="shared" si="14"/>
        <v>0.93495467603584015</v>
      </c>
      <c r="J200" s="1"/>
    </row>
    <row r="201" spans="1:10" x14ac:dyDescent="0.25">
      <c r="C201" s="41">
        <v>941.92</v>
      </c>
      <c r="D201" s="41">
        <v>3050.47</v>
      </c>
      <c r="E201" s="34">
        <f t="shared" ref="E201:E264" si="15">IF(C201="","",2*(D201-D200)/((C201-C200)/1000))</f>
        <v>6612.903225806408</v>
      </c>
      <c r="F201" s="35">
        <f t="shared" ref="F201:F264" si="16">IF(C201="","",F$7+(F$9/F$10)*(EXP(F$10*(C201-F$8)/2000)-1))</f>
        <v>3052.8863167690138</v>
      </c>
      <c r="G201" s="35">
        <f t="shared" ref="G201:G264" si="17">IF(E201="","",F$9+(F201-F$7)*F$10)</f>
        <v>7201.3936373650949</v>
      </c>
      <c r="H201" s="36">
        <f t="shared" ref="H201:H264" si="18">IF(F201="","",F201-D201)</f>
        <v>2.4163167690139744</v>
      </c>
      <c r="I201" s="36">
        <f t="shared" ref="I201:I264" si="19">IF(H201="","",H201^2)</f>
        <v>5.8385867282181323</v>
      </c>
    </row>
    <row r="202" spans="1:10" x14ac:dyDescent="0.25">
      <c r="C202" s="41">
        <v>946.88</v>
      </c>
      <c r="D202" s="41">
        <v>3066.87</v>
      </c>
      <c r="E202" s="34">
        <f t="shared" si="15"/>
        <v>6612.9032258064399</v>
      </c>
      <c r="F202" s="35">
        <f t="shared" si="16"/>
        <v>3070.7558505611478</v>
      </c>
      <c r="G202" s="35">
        <f t="shared" si="17"/>
        <v>7209.5222394674092</v>
      </c>
      <c r="H202" s="36">
        <f t="shared" si="18"/>
        <v>3.8858505611478904</v>
      </c>
      <c r="I202" s="36">
        <f t="shared" si="19"/>
        <v>15.099834583573374</v>
      </c>
    </row>
    <row r="203" spans="1:10" x14ac:dyDescent="0.25">
      <c r="C203" s="41">
        <v>951.83</v>
      </c>
      <c r="D203" s="41">
        <v>3083.28</v>
      </c>
      <c r="E203" s="34">
        <f t="shared" si="15"/>
        <v>6630.3030303030946</v>
      </c>
      <c r="F203" s="35">
        <f t="shared" si="16"/>
        <v>3088.6094664025541</v>
      </c>
      <c r="G203" s="35">
        <f t="shared" si="17"/>
        <v>7217.6436007155835</v>
      </c>
      <c r="H203" s="36">
        <f t="shared" si="18"/>
        <v>5.3294664025538623</v>
      </c>
      <c r="I203" s="36">
        <f t="shared" si="19"/>
        <v>28.403212135950408</v>
      </c>
    </row>
    <row r="204" spans="1:10" x14ac:dyDescent="0.25">
      <c r="C204" s="41">
        <v>956.79</v>
      </c>
      <c r="D204" s="41">
        <v>3099.68</v>
      </c>
      <c r="E204" s="34">
        <f t="shared" si="15"/>
        <v>6612.903225806408</v>
      </c>
      <c r="F204" s="35">
        <f t="shared" si="16"/>
        <v>3106.519322843862</v>
      </c>
      <c r="G204" s="35">
        <f t="shared" si="17"/>
        <v>7225.7905450295439</v>
      </c>
      <c r="H204" s="36">
        <f t="shared" si="18"/>
        <v>6.8393228438621918</v>
      </c>
      <c r="I204" s="36">
        <f t="shared" si="19"/>
        <v>46.776336962575222</v>
      </c>
    </row>
    <row r="205" spans="1:10" x14ac:dyDescent="0.25">
      <c r="C205" s="41">
        <v>961.75</v>
      </c>
      <c r="D205" s="41">
        <v>3116.09</v>
      </c>
      <c r="E205" s="34">
        <f t="shared" si="15"/>
        <v>6616.9354838710442</v>
      </c>
      <c r="F205" s="35">
        <f t="shared" si="16"/>
        <v>3124.4493951078412</v>
      </c>
      <c r="G205" s="35">
        <f t="shared" si="17"/>
        <v>7233.9466852397491</v>
      </c>
      <c r="H205" s="36">
        <f t="shared" si="18"/>
        <v>8.35939510784101</v>
      </c>
      <c r="I205" s="36">
        <f t="shared" si="19"/>
        <v>69.879486568996214</v>
      </c>
    </row>
    <row r="206" spans="1:10" x14ac:dyDescent="0.25">
      <c r="C206" s="41">
        <v>966.71</v>
      </c>
      <c r="D206" s="41">
        <v>3132.49</v>
      </c>
      <c r="E206" s="34">
        <f t="shared" si="15"/>
        <v>6612.9032258062562</v>
      </c>
      <c r="F206" s="35">
        <f t="shared" si="16"/>
        <v>3142.3997060131737</v>
      </c>
      <c r="G206" s="35">
        <f t="shared" si="17"/>
        <v>7242.1120317260975</v>
      </c>
      <c r="H206" s="36">
        <f t="shared" si="18"/>
        <v>9.9097060131739454</v>
      </c>
      <c r="I206" s="36">
        <f t="shared" si="19"/>
        <v>98.202273267535858</v>
      </c>
    </row>
    <row r="207" spans="1:10" x14ac:dyDescent="0.25">
      <c r="C207" s="41">
        <v>971.66</v>
      </c>
      <c r="D207" s="41">
        <v>3148.89</v>
      </c>
      <c r="E207" s="34">
        <f t="shared" si="15"/>
        <v>6626.2626262627546</v>
      </c>
      <c r="F207" s="35">
        <f t="shared" si="16"/>
        <v>3160.3340270125645</v>
      </c>
      <c r="G207" s="35">
        <f t="shared" si="17"/>
        <v>7250.2701046268794</v>
      </c>
      <c r="H207" s="36">
        <f t="shared" si="18"/>
        <v>11.444027012564675</v>
      </c>
      <c r="I207" s="36">
        <f t="shared" si="19"/>
        <v>130.96575426430996</v>
      </c>
    </row>
    <row r="208" spans="1:10" x14ac:dyDescent="0.25">
      <c r="C208" s="41">
        <v>976.62</v>
      </c>
      <c r="D208" s="41">
        <v>3165.3</v>
      </c>
      <c r="E208" s="34">
        <f t="shared" si="15"/>
        <v>6616.9354838710442</v>
      </c>
      <c r="F208" s="35">
        <f t="shared" si="16"/>
        <v>3178.3248428408397</v>
      </c>
      <c r="G208" s="35">
        <f t="shared" si="17"/>
        <v>7258.4538762386737</v>
      </c>
      <c r="H208" s="36">
        <f t="shared" si="18"/>
        <v>13.024842840839483</v>
      </c>
      <c r="I208" s="36">
        <f t="shared" si="19"/>
        <v>169.64653102856752</v>
      </c>
    </row>
    <row r="209" spans="3:9" x14ac:dyDescent="0.25">
      <c r="C209" s="41">
        <v>981.58</v>
      </c>
      <c r="D209" s="41">
        <v>3181.7</v>
      </c>
      <c r="E209" s="34">
        <f t="shared" si="15"/>
        <v>6612.9032258062562</v>
      </c>
      <c r="F209" s="35">
        <f t="shared" si="16"/>
        <v>3196.3359658750128</v>
      </c>
      <c r="G209" s="35">
        <f t="shared" si="17"/>
        <v>7266.6468853156694</v>
      </c>
      <c r="H209" s="36">
        <f t="shared" si="18"/>
        <v>14.635965875012971</v>
      </c>
      <c r="I209" s="36">
        <f t="shared" si="19"/>
        <v>214.2114970945442</v>
      </c>
    </row>
    <row r="210" spans="3:9" x14ac:dyDescent="0.25">
      <c r="C210" s="41">
        <v>986.54</v>
      </c>
      <c r="D210" s="41">
        <v>3198.1</v>
      </c>
      <c r="E210" s="34">
        <f t="shared" si="15"/>
        <v>6612.9032258065909</v>
      </c>
      <c r="F210" s="35">
        <f t="shared" si="16"/>
        <v>3214.3674190369275</v>
      </c>
      <c r="G210" s="35">
        <f t="shared" si="17"/>
        <v>7274.8491422846919</v>
      </c>
      <c r="H210" s="36">
        <f t="shared" si="18"/>
        <v>16.267419036927549</v>
      </c>
      <c r="I210" s="36">
        <f t="shared" si="19"/>
        <v>264.62892212299283</v>
      </c>
    </row>
    <row r="211" spans="3:9" x14ac:dyDescent="0.25">
      <c r="C211" s="41">
        <v>991.5</v>
      </c>
      <c r="D211" s="41">
        <v>3214.51</v>
      </c>
      <c r="E211" s="34">
        <f t="shared" si="15"/>
        <v>6616.9354838710442</v>
      </c>
      <c r="F211" s="35">
        <f t="shared" si="16"/>
        <v>3232.4192252742978</v>
      </c>
      <c r="G211" s="35">
        <f t="shared" si="17"/>
        <v>7283.0606575843385</v>
      </c>
      <c r="H211" s="36">
        <f t="shared" si="18"/>
        <v>17.909225274297569</v>
      </c>
      <c r="I211" s="36">
        <f t="shared" si="19"/>
        <v>320.74034992553885</v>
      </c>
    </row>
    <row r="212" spans="3:9" x14ac:dyDescent="0.25">
      <c r="C212" s="41">
        <v>996.45</v>
      </c>
      <c r="D212" s="41">
        <v>3230.91</v>
      </c>
      <c r="E212" s="34">
        <f t="shared" si="15"/>
        <v>6626.2626262624181</v>
      </c>
      <c r="F212" s="35">
        <f t="shared" si="16"/>
        <v>3250.454951194989</v>
      </c>
      <c r="G212" s="35">
        <f t="shared" si="17"/>
        <v>7291.264858171834</v>
      </c>
      <c r="H212" s="36">
        <f t="shared" si="18"/>
        <v>19.544951194989153</v>
      </c>
      <c r="I212" s="36">
        <f t="shared" si="19"/>
        <v>382.00511721450795</v>
      </c>
    </row>
    <row r="213" spans="3:9" x14ac:dyDescent="0.25">
      <c r="C213" s="41">
        <v>1001.41</v>
      </c>
      <c r="D213" s="41">
        <v>3247.31</v>
      </c>
      <c r="E213" s="34">
        <f t="shared" si="15"/>
        <v>6612.9032258065909</v>
      </c>
      <c r="F213" s="35">
        <f t="shared" si="16"/>
        <v>3268.5474913797766</v>
      </c>
      <c r="G213" s="35">
        <f t="shared" si="17"/>
        <v>7299.4949027769708</v>
      </c>
      <c r="H213" s="36">
        <f t="shared" si="18"/>
        <v>21.237491379776657</v>
      </c>
      <c r="I213" s="36">
        <f t="shared" si="19"/>
        <v>451.0310401060878</v>
      </c>
    </row>
    <row r="214" spans="3:9" x14ac:dyDescent="0.25">
      <c r="C214" s="41">
        <v>1006.37</v>
      </c>
      <c r="D214" s="41">
        <v>3263.72</v>
      </c>
      <c r="E214" s="34">
        <f t="shared" si="15"/>
        <v>6616.9354838708605</v>
      </c>
      <c r="F214" s="35">
        <f t="shared" si="16"/>
        <v>3286.6604535922443</v>
      </c>
      <c r="G214" s="35">
        <f t="shared" si="17"/>
        <v>7307.7342370781389</v>
      </c>
      <c r="H214" s="36">
        <f t="shared" si="18"/>
        <v>22.940453592244467</v>
      </c>
      <c r="I214" s="36">
        <f t="shared" si="19"/>
        <v>526.26441101792204</v>
      </c>
    </row>
    <row r="215" spans="3:9" x14ac:dyDescent="0.25">
      <c r="C215" s="41">
        <v>1011.32</v>
      </c>
      <c r="D215" s="41">
        <v>3280.12</v>
      </c>
      <c r="E215" s="34">
        <f t="shared" si="15"/>
        <v>6626.2626262626018</v>
      </c>
      <c r="F215" s="35">
        <f t="shared" si="16"/>
        <v>3304.7572810110769</v>
      </c>
      <c r="G215" s="35">
        <f t="shared" si="17"/>
        <v>7315.9662318863466</v>
      </c>
      <c r="H215" s="36">
        <f t="shared" si="18"/>
        <v>24.637281011076993</v>
      </c>
      <c r="I215" s="36">
        <f t="shared" si="19"/>
        <v>606.99561561877499</v>
      </c>
    </row>
    <row r="216" spans="3:9" x14ac:dyDescent="0.25">
      <c r="C216" s="41">
        <v>1016.28</v>
      </c>
      <c r="D216" s="41">
        <v>3296.52</v>
      </c>
      <c r="E216" s="34">
        <f t="shared" si="15"/>
        <v>6612.9032258065909</v>
      </c>
      <c r="F216" s="35">
        <f t="shared" si="16"/>
        <v>3322.911115169577</v>
      </c>
      <c r="G216" s="35">
        <f t="shared" si="17"/>
        <v>7324.2241582666538</v>
      </c>
      <c r="H216" s="36">
        <f t="shared" si="18"/>
        <v>26.391115169577006</v>
      </c>
      <c r="I216" s="36">
        <f t="shared" si="19"/>
        <v>696.49095989387752</v>
      </c>
    </row>
    <row r="217" spans="3:9" x14ac:dyDescent="0.25">
      <c r="C217" s="41">
        <v>1021.24</v>
      </c>
      <c r="D217" s="41">
        <v>3312.93</v>
      </c>
      <c r="E217" s="34">
        <f t="shared" si="15"/>
        <v>6616.9354838708605</v>
      </c>
      <c r="F217" s="35">
        <f t="shared" si="16"/>
        <v>3341.085440541578</v>
      </c>
      <c r="G217" s="35">
        <f t="shared" si="17"/>
        <v>7332.4914058146578</v>
      </c>
      <c r="H217" s="36">
        <f t="shared" si="18"/>
        <v>28.155440541578173</v>
      </c>
      <c r="I217" s="36">
        <f t="shared" si="19"/>
        <v>792.72883209034376</v>
      </c>
    </row>
    <row r="218" spans="3:9" x14ac:dyDescent="0.25">
      <c r="C218" s="41">
        <v>1026.2</v>
      </c>
      <c r="D218" s="41">
        <v>3329.33</v>
      </c>
      <c r="E218" s="34">
        <f t="shared" si="15"/>
        <v>6612.9032258064399</v>
      </c>
      <c r="F218" s="35">
        <f t="shared" si="16"/>
        <v>3359.2802802566148</v>
      </c>
      <c r="G218" s="35">
        <f t="shared" si="17"/>
        <v>7340.7679850516615</v>
      </c>
      <c r="H218" s="36">
        <f t="shared" si="18"/>
        <v>29.95028025661486</v>
      </c>
      <c r="I218" s="36">
        <f t="shared" si="19"/>
        <v>897.01928744977386</v>
      </c>
    </row>
    <row r="219" spans="3:9" x14ac:dyDescent="0.25">
      <c r="C219" s="41">
        <v>1031.1500000000001</v>
      </c>
      <c r="D219" s="41">
        <v>3345.73</v>
      </c>
      <c r="E219" s="34">
        <f t="shared" si="15"/>
        <v>6626.2626262626018</v>
      </c>
      <c r="F219" s="35">
        <f t="shared" si="16"/>
        <v>3377.4589122425923</v>
      </c>
      <c r="G219" s="35">
        <f t="shared" si="17"/>
        <v>7349.0371916183976</v>
      </c>
      <c r="H219" s="36">
        <f t="shared" si="18"/>
        <v>31.728912242592287</v>
      </c>
      <c r="I219" s="36">
        <f t="shared" si="19"/>
        <v>1006.7238720981227</v>
      </c>
    </row>
    <row r="220" spans="3:9" x14ac:dyDescent="0.25">
      <c r="C220" s="41">
        <v>1036.1099999999999</v>
      </c>
      <c r="D220" s="41">
        <v>3362.13</v>
      </c>
      <c r="E220" s="34">
        <f t="shared" si="15"/>
        <v>6612.9032258067427</v>
      </c>
      <c r="F220" s="35">
        <f t="shared" si="16"/>
        <v>3395.6948086604598</v>
      </c>
      <c r="G220" s="35">
        <f t="shared" si="17"/>
        <v>7357.3324469778354</v>
      </c>
      <c r="H220" s="36">
        <f t="shared" si="18"/>
        <v>33.564808660459676</v>
      </c>
      <c r="I220" s="36">
        <f t="shared" si="19"/>
        <v>1126.5963804132689</v>
      </c>
    </row>
    <row r="221" spans="3:9" x14ac:dyDescent="0.25">
      <c r="C221" s="41">
        <v>1041.07</v>
      </c>
      <c r="D221" s="41">
        <v>3378.54</v>
      </c>
      <c r="E221" s="34">
        <f t="shared" si="15"/>
        <v>6616.9354838708605</v>
      </c>
      <c r="F221" s="35">
        <f t="shared" si="16"/>
        <v>3413.9512889199314</v>
      </c>
      <c r="G221" s="35">
        <f t="shared" si="17"/>
        <v>7365.637065640205</v>
      </c>
      <c r="H221" s="36">
        <f t="shared" si="18"/>
        <v>35.411288919931394</v>
      </c>
      <c r="I221" s="36">
        <f t="shared" si="19"/>
        <v>1253.9593829708558</v>
      </c>
    </row>
    <row r="222" spans="3:9" x14ac:dyDescent="0.25">
      <c r="C222" s="41">
        <v>1046.03</v>
      </c>
      <c r="D222" s="41">
        <v>3394.94</v>
      </c>
      <c r="E222" s="34">
        <f t="shared" si="15"/>
        <v>6612.9032258064399</v>
      </c>
      <c r="F222" s="35">
        <f t="shared" si="16"/>
        <v>3432.2283762551015</v>
      </c>
      <c r="G222" s="35">
        <f t="shared" si="17"/>
        <v>7373.9510581743725</v>
      </c>
      <c r="H222" s="36">
        <f t="shared" si="18"/>
        <v>37.288376255101412</v>
      </c>
      <c r="I222" s="36">
        <f t="shared" si="19"/>
        <v>1390.4230037420107</v>
      </c>
    </row>
    <row r="223" spans="3:9" x14ac:dyDescent="0.25">
      <c r="C223" s="41">
        <v>1050.98</v>
      </c>
      <c r="D223" s="41">
        <v>3411.34</v>
      </c>
      <c r="E223" s="34">
        <f t="shared" si="15"/>
        <v>6626.2626262626018</v>
      </c>
      <c r="F223" s="35">
        <f t="shared" si="16"/>
        <v>3450.4891825960904</v>
      </c>
      <c r="G223" s="35">
        <f t="shared" si="17"/>
        <v>7382.2576447109868</v>
      </c>
      <c r="H223" s="36">
        <f t="shared" si="18"/>
        <v>39.149182596090213</v>
      </c>
      <c r="I223" s="36">
        <f t="shared" si="19"/>
        <v>1532.6584979420129</v>
      </c>
    </row>
    <row r="224" spans="3:9" x14ac:dyDescent="0.25">
      <c r="C224" s="41">
        <v>1055.94</v>
      </c>
      <c r="D224" s="41">
        <v>3427.74</v>
      </c>
      <c r="E224" s="34">
        <f t="shared" si="15"/>
        <v>6612.9032258062562</v>
      </c>
      <c r="F224" s="35">
        <f t="shared" si="16"/>
        <v>3468.8075122260593</v>
      </c>
      <c r="G224" s="35">
        <f t="shared" si="17"/>
        <v>7390.5903977907901</v>
      </c>
      <c r="H224" s="36">
        <f t="shared" si="18"/>
        <v>41.067512226059534</v>
      </c>
      <c r="I224" s="36">
        <f t="shared" si="19"/>
        <v>1686.5405604375494</v>
      </c>
    </row>
    <row r="225" spans="3:9" x14ac:dyDescent="0.25">
      <c r="C225" s="41">
        <v>1060.9000000000001</v>
      </c>
      <c r="D225" s="41">
        <v>3444.15</v>
      </c>
      <c r="E225" s="34">
        <f t="shared" si="15"/>
        <v>6616.9354838710442</v>
      </c>
      <c r="F225" s="35">
        <f t="shared" si="16"/>
        <v>3487.1465187444533</v>
      </c>
      <c r="G225" s="35">
        <f t="shared" si="17"/>
        <v>7398.9325564992278</v>
      </c>
      <c r="H225" s="36">
        <f t="shared" si="18"/>
        <v>42.996518744453169</v>
      </c>
      <c r="I225" s="36">
        <f t="shared" si="19"/>
        <v>1848.7006241421127</v>
      </c>
    </row>
    <row r="226" spans="3:9" x14ac:dyDescent="0.25">
      <c r="C226" s="41">
        <v>1065.8499999999999</v>
      </c>
      <c r="D226" s="41">
        <v>3460.55</v>
      </c>
      <c r="E226" s="34">
        <f t="shared" si="15"/>
        <v>6626.2626262629065</v>
      </c>
      <c r="F226" s="35">
        <f t="shared" si="16"/>
        <v>3505.4691891118518</v>
      </c>
      <c r="G226" s="35">
        <f t="shared" si="17"/>
        <v>7407.2672841200465</v>
      </c>
      <c r="H226" s="36">
        <f t="shared" si="18"/>
        <v>44.919189111851665</v>
      </c>
      <c r="I226" s="36">
        <f t="shared" si="19"/>
        <v>2017.7335504662931</v>
      </c>
    </row>
    <row r="227" spans="3:9" x14ac:dyDescent="0.25">
      <c r="C227" s="41">
        <v>1070.81</v>
      </c>
      <c r="D227" s="41">
        <v>3476.95</v>
      </c>
      <c r="E227" s="34">
        <f t="shared" si="15"/>
        <v>6612.9032258062562</v>
      </c>
      <c r="F227" s="35">
        <f t="shared" si="16"/>
        <v>3523.8495776458408</v>
      </c>
      <c r="G227" s="35">
        <f t="shared" si="17"/>
        <v>7415.6282669311649</v>
      </c>
      <c r="H227" s="36">
        <f t="shared" si="18"/>
        <v>46.899577645840964</v>
      </c>
      <c r="I227" s="36">
        <f t="shared" si="19"/>
        <v>2199.5703833582656</v>
      </c>
    </row>
    <row r="228" spans="3:9" x14ac:dyDescent="0.25">
      <c r="C228" s="41">
        <v>1075.77</v>
      </c>
      <c r="D228" s="41">
        <v>3493.35</v>
      </c>
      <c r="E228" s="34">
        <f t="shared" si="15"/>
        <v>6612.9032258064399</v>
      </c>
      <c r="F228" s="35">
        <f t="shared" si="16"/>
        <v>3542.2507131174916</v>
      </c>
      <c r="G228" s="35">
        <f t="shared" si="17"/>
        <v>7423.9986872353402</v>
      </c>
      <c r="H228" s="36">
        <f t="shared" si="18"/>
        <v>48.900713117491705</v>
      </c>
      <c r="I228" s="36">
        <f t="shared" si="19"/>
        <v>2391.2797433992255</v>
      </c>
    </row>
    <row r="229" spans="3:9" x14ac:dyDescent="0.25">
      <c r="C229" s="41">
        <v>1080.73</v>
      </c>
      <c r="D229" s="41">
        <v>3509.76</v>
      </c>
      <c r="E229" s="34">
        <f t="shared" si="15"/>
        <v>6616.9354838710442</v>
      </c>
      <c r="F229" s="35">
        <f t="shared" si="16"/>
        <v>3560.6726189449955</v>
      </c>
      <c r="G229" s="35">
        <f t="shared" si="17"/>
        <v>7432.3785556851826</v>
      </c>
      <c r="H229" s="36">
        <f t="shared" si="18"/>
        <v>50.912618944995302</v>
      </c>
      <c r="I229" s="36">
        <f t="shared" si="19"/>
        <v>2592.0947678382945</v>
      </c>
    </row>
    <row r="230" spans="3:9" x14ac:dyDescent="0.25">
      <c r="C230" s="41">
        <v>1085.68</v>
      </c>
      <c r="D230" s="41">
        <v>3526.16</v>
      </c>
      <c r="E230" s="34">
        <f t="shared" si="15"/>
        <v>6626.2626262624181</v>
      </c>
      <c r="F230" s="35">
        <f t="shared" si="16"/>
        <v>3579.0781147758671</v>
      </c>
      <c r="G230" s="35">
        <f t="shared" si="17"/>
        <v>7440.7509594560524</v>
      </c>
      <c r="H230" s="36">
        <f t="shared" si="18"/>
        <v>52.918114775867252</v>
      </c>
      <c r="I230" s="36">
        <f t="shared" si="19"/>
        <v>2800.3268714318601</v>
      </c>
    </row>
    <row r="231" spans="3:9" x14ac:dyDescent="0.25">
      <c r="C231" s="41">
        <v>1090.6400000000001</v>
      </c>
      <c r="D231" s="41">
        <v>3542.56</v>
      </c>
      <c r="E231" s="34">
        <f t="shared" si="15"/>
        <v>6612.9032258064399</v>
      </c>
      <c r="F231" s="35">
        <f t="shared" si="16"/>
        <v>3597.5415896814707</v>
      </c>
      <c r="G231" s="35">
        <f t="shared" si="17"/>
        <v>7449.1497371007044</v>
      </c>
      <c r="H231" s="36">
        <f t="shared" si="18"/>
        <v>54.981589681470723</v>
      </c>
      <c r="I231" s="36">
        <f t="shared" si="19"/>
        <v>3022.975203901608</v>
      </c>
    </row>
    <row r="232" spans="3:9" x14ac:dyDescent="0.25">
      <c r="C232" s="41">
        <v>1095.5999999999999</v>
      </c>
      <c r="D232" s="41">
        <v>3558.97</v>
      </c>
      <c r="E232" s="34">
        <f t="shared" si="15"/>
        <v>6616.9354838711633</v>
      </c>
      <c r="F232" s="35">
        <f t="shared" si="16"/>
        <v>3616.0259053088125</v>
      </c>
      <c r="G232" s="35">
        <f t="shared" si="17"/>
        <v>7457.5579948994828</v>
      </c>
      <c r="H232" s="36">
        <f t="shared" si="18"/>
        <v>57.055905308812726</v>
      </c>
      <c r="I232" s="36">
        <f t="shared" si="19"/>
        <v>3255.3763306082042</v>
      </c>
    </row>
    <row r="233" spans="3:9" x14ac:dyDescent="0.25">
      <c r="C233" s="41">
        <v>1100.56</v>
      </c>
      <c r="D233" s="41">
        <v>3575.37</v>
      </c>
      <c r="E233" s="34">
        <f t="shared" si="15"/>
        <v>6612.9032258064399</v>
      </c>
      <c r="F233" s="35">
        <f t="shared" si="16"/>
        <v>3634.5310851819449</v>
      </c>
      <c r="G233" s="35">
        <f t="shared" si="17"/>
        <v>7465.9757435531537</v>
      </c>
      <c r="H233" s="36">
        <f t="shared" si="18"/>
        <v>59.161085181945055</v>
      </c>
      <c r="I233" s="36">
        <f t="shared" si="19"/>
        <v>3500.0339999053585</v>
      </c>
    </row>
    <row r="234" spans="3:9" x14ac:dyDescent="0.25">
      <c r="C234" s="41">
        <v>1105.51</v>
      </c>
      <c r="D234" s="41">
        <v>3591.77</v>
      </c>
      <c r="E234" s="34">
        <f t="shared" si="15"/>
        <v>6626.2626262626018</v>
      </c>
      <c r="F234" s="35">
        <f t="shared" si="16"/>
        <v>3653.0197808789967</v>
      </c>
      <c r="G234" s="35">
        <f t="shared" si="17"/>
        <v>7474.3859937846537</v>
      </c>
      <c r="H234" s="36">
        <f t="shared" si="18"/>
        <v>61.249780878996717</v>
      </c>
      <c r="I234" s="36">
        <f t="shared" si="19"/>
        <v>3751.5356577251118</v>
      </c>
    </row>
    <row r="235" spans="3:9" x14ac:dyDescent="0.25">
      <c r="C235" s="41">
        <v>1110.28</v>
      </c>
      <c r="D235" s="41">
        <v>3608.17</v>
      </c>
      <c r="E235" s="34">
        <f t="shared" si="15"/>
        <v>6876.3102725367526</v>
      </c>
      <c r="F235" s="35">
        <f t="shared" si="16"/>
        <v>3670.855864937872</v>
      </c>
      <c r="G235" s="35">
        <f t="shared" si="17"/>
        <v>7482.4993800690709</v>
      </c>
      <c r="H235" s="36">
        <f t="shared" si="18"/>
        <v>62.685864937871884</v>
      </c>
      <c r="I235" s="36">
        <f t="shared" si="19"/>
        <v>3929.5176630091155</v>
      </c>
    </row>
    <row r="236" spans="3:9" x14ac:dyDescent="0.25">
      <c r="C236" s="41">
        <v>1114.8599999999999</v>
      </c>
      <c r="D236" s="41">
        <v>3624.58</v>
      </c>
      <c r="E236" s="34">
        <f t="shared" si="15"/>
        <v>7165.9388646288717</v>
      </c>
      <c r="F236" s="35">
        <f t="shared" si="16"/>
        <v>3687.9997162496115</v>
      </c>
      <c r="G236" s="35">
        <f t="shared" si="17"/>
        <v>7490.2978793156326</v>
      </c>
      <c r="H236" s="36">
        <f t="shared" si="18"/>
        <v>63.419716249611611</v>
      </c>
      <c r="I236" s="36">
        <f t="shared" si="19"/>
        <v>4022.0604091812511</v>
      </c>
    </row>
    <row r="237" spans="3:9" x14ac:dyDescent="0.25">
      <c r="C237" s="41">
        <v>1119.44</v>
      </c>
      <c r="D237" s="41">
        <v>3640.98</v>
      </c>
      <c r="E237" s="34">
        <f t="shared" si="15"/>
        <v>7161.5720524015451</v>
      </c>
      <c r="F237" s="35">
        <f t="shared" si="16"/>
        <v>3705.1614354293934</v>
      </c>
      <c r="G237" s="35">
        <f t="shared" si="17"/>
        <v>7498.1045064065711</v>
      </c>
      <c r="H237" s="36">
        <f t="shared" si="18"/>
        <v>64.181435429393332</v>
      </c>
      <c r="I237" s="36">
        <f t="shared" si="19"/>
        <v>4119.2566537773855</v>
      </c>
    </row>
    <row r="238" spans="3:9" x14ac:dyDescent="0.25">
      <c r="C238" s="41">
        <v>1124.03</v>
      </c>
      <c r="D238" s="41">
        <v>3657.38</v>
      </c>
      <c r="E238" s="34">
        <f t="shared" si="15"/>
        <v>7145.969498910843</v>
      </c>
      <c r="F238" s="35">
        <f t="shared" si="16"/>
        <v>3722.3785707387019</v>
      </c>
      <c r="G238" s="35">
        <f t="shared" si="17"/>
        <v>7505.9363415232028</v>
      </c>
      <c r="H238" s="36">
        <f t="shared" si="18"/>
        <v>64.998570738701801</v>
      </c>
      <c r="I238" s="36">
        <f t="shared" si="19"/>
        <v>4224.814198074022</v>
      </c>
    </row>
    <row r="239" spans="3:9" x14ac:dyDescent="0.25">
      <c r="C239" s="41">
        <v>1128.6199999999999</v>
      </c>
      <c r="D239" s="41">
        <v>3673.78</v>
      </c>
      <c r="E239" s="34">
        <f t="shared" si="15"/>
        <v>7145.969498910843</v>
      </c>
      <c r="F239" s="35">
        <f t="shared" si="16"/>
        <v>3739.6136894950032</v>
      </c>
      <c r="G239" s="35">
        <f t="shared" si="17"/>
        <v>7513.7763570594661</v>
      </c>
      <c r="H239" s="36">
        <f t="shared" si="18"/>
        <v>65.833689495003</v>
      </c>
      <c r="I239" s="36">
        <f t="shared" si="19"/>
        <v>4334.074672524468</v>
      </c>
    </row>
    <row r="240" spans="3:9" x14ac:dyDescent="0.25">
      <c r="C240" s="41">
        <v>1133.22</v>
      </c>
      <c r="D240" s="41">
        <v>3690.19</v>
      </c>
      <c r="E240" s="34">
        <f t="shared" si="15"/>
        <v>7134.7826086953783</v>
      </c>
      <c r="F240" s="35">
        <f t="shared" si="16"/>
        <v>3756.9044186477404</v>
      </c>
      <c r="G240" s="35">
        <f t="shared" si="17"/>
        <v>7521.6416689907346</v>
      </c>
      <c r="H240" s="36">
        <f t="shared" si="18"/>
        <v>66.714418647740331</v>
      </c>
      <c r="I240" s="36">
        <f t="shared" si="19"/>
        <v>4450.8136555059627</v>
      </c>
    </row>
    <row r="241" spans="3:9" x14ac:dyDescent="0.25">
      <c r="C241" s="41">
        <v>1137.81</v>
      </c>
      <c r="D241" s="41">
        <v>3706.59</v>
      </c>
      <c r="E241" s="34">
        <f t="shared" si="15"/>
        <v>7145.969498910843</v>
      </c>
      <c r="F241" s="35">
        <f t="shared" si="16"/>
        <v>3774.1755999512952</v>
      </c>
      <c r="G241" s="35">
        <f t="shared" si="17"/>
        <v>7529.4980888775999</v>
      </c>
      <c r="H241" s="36">
        <f t="shared" si="18"/>
        <v>67.58559995129508</v>
      </c>
      <c r="I241" s="36">
        <f t="shared" si="19"/>
        <v>4567.8133207764977</v>
      </c>
    </row>
    <row r="242" spans="3:9" x14ac:dyDescent="0.25">
      <c r="C242" s="41">
        <v>1142.4100000000001</v>
      </c>
      <c r="D242" s="41">
        <v>3722.99</v>
      </c>
      <c r="E242" s="34">
        <f t="shared" si="15"/>
        <v>7130.4347826083267</v>
      </c>
      <c r="F242" s="35">
        <f t="shared" si="16"/>
        <v>3791.5025080097862</v>
      </c>
      <c r="G242" s="35">
        <f t="shared" si="17"/>
        <v>7537.3798580893326</v>
      </c>
      <c r="H242" s="36">
        <f t="shared" si="18"/>
        <v>68.512508009786416</v>
      </c>
      <c r="I242" s="36">
        <f t="shared" si="19"/>
        <v>4693.9637537910476</v>
      </c>
    </row>
    <row r="243" spans="3:9" x14ac:dyDescent="0.25">
      <c r="C243" s="41">
        <v>1147</v>
      </c>
      <c r="D243" s="41">
        <v>3739.4</v>
      </c>
      <c r="E243" s="34">
        <f t="shared" si="15"/>
        <v>7150.3267973858838</v>
      </c>
      <c r="F243" s="35">
        <f t="shared" si="16"/>
        <v>3808.8098273174191</v>
      </c>
      <c r="G243" s="35">
        <f t="shared" si="17"/>
        <v>7545.2527166510581</v>
      </c>
      <c r="H243" s="36">
        <f t="shared" si="18"/>
        <v>69.409827317419058</v>
      </c>
      <c r="I243" s="36">
        <f t="shared" si="19"/>
        <v>4817.7241282339328</v>
      </c>
    </row>
    <row r="244" spans="3:9" x14ac:dyDescent="0.25">
      <c r="C244" s="41">
        <v>1151.5999999999999</v>
      </c>
      <c r="D244" s="41">
        <v>3755.8</v>
      </c>
      <c r="E244" s="34">
        <f t="shared" si="15"/>
        <v>7130.434782608876</v>
      </c>
      <c r="F244" s="35">
        <f t="shared" si="16"/>
        <v>3826.1729899819552</v>
      </c>
      <c r="G244" s="35">
        <f t="shared" si="17"/>
        <v>7553.1509775782633</v>
      </c>
      <c r="H244" s="36">
        <f t="shared" si="18"/>
        <v>70.372989981955016</v>
      </c>
      <c r="I244" s="36">
        <f t="shared" si="19"/>
        <v>4952.3577190003407</v>
      </c>
    </row>
    <row r="245" spans="3:9" x14ac:dyDescent="0.25">
      <c r="C245" s="41">
        <v>1156.19</v>
      </c>
      <c r="D245" s="41">
        <v>3772.2</v>
      </c>
      <c r="E245" s="34">
        <f t="shared" si="15"/>
        <v>7145.9694989102909</v>
      </c>
      <c r="F245" s="35">
        <f t="shared" si="16"/>
        <v>3843.5165229083777</v>
      </c>
      <c r="G245" s="35">
        <f t="shared" si="17"/>
        <v>7561.0403092109291</v>
      </c>
      <c r="H245" s="36">
        <f t="shared" si="18"/>
        <v>71.31652290837792</v>
      </c>
      <c r="I245" s="36">
        <f t="shared" si="19"/>
        <v>5086.0464397411924</v>
      </c>
    </row>
    <row r="246" spans="3:9" x14ac:dyDescent="0.25">
      <c r="C246" s="41">
        <v>1160.78</v>
      </c>
      <c r="D246" s="41">
        <v>3788.6</v>
      </c>
      <c r="E246" s="34">
        <f t="shared" si="15"/>
        <v>7145.969498910843</v>
      </c>
      <c r="F246" s="35">
        <f t="shared" si="16"/>
        <v>3860.8781713051958</v>
      </c>
      <c r="G246" s="35">
        <f t="shared" si="17"/>
        <v>7568.9378813188332</v>
      </c>
      <c r="H246" s="36">
        <f t="shared" si="18"/>
        <v>72.278171305195883</v>
      </c>
      <c r="I246" s="36">
        <f t="shared" si="19"/>
        <v>5224.1340472232414</v>
      </c>
    </row>
    <row r="247" spans="3:9" x14ac:dyDescent="0.25">
      <c r="C247" s="41">
        <v>1165.3800000000001</v>
      </c>
      <c r="D247" s="41">
        <v>3805</v>
      </c>
      <c r="E247" s="34">
        <f t="shared" si="15"/>
        <v>7130.4347826085241</v>
      </c>
      <c r="F247" s="35">
        <f t="shared" si="16"/>
        <v>3878.2958383557739</v>
      </c>
      <c r="G247" s="35">
        <f t="shared" si="17"/>
        <v>7576.860935532316</v>
      </c>
      <c r="H247" s="36">
        <f t="shared" si="18"/>
        <v>73.295838355773867</v>
      </c>
      <c r="I247" s="36">
        <f t="shared" si="19"/>
        <v>5372.2799202757315</v>
      </c>
    </row>
    <row r="248" spans="3:9" x14ac:dyDescent="0.25">
      <c r="C248" s="41">
        <v>1169.97</v>
      </c>
      <c r="D248" s="41">
        <v>3821.41</v>
      </c>
      <c r="E248" s="34">
        <f t="shared" si="15"/>
        <v>7150.3267973856855</v>
      </c>
      <c r="F248" s="35">
        <f t="shared" si="16"/>
        <v>3895.6938140488883</v>
      </c>
      <c r="G248" s="35">
        <f t="shared" si="17"/>
        <v>7584.7750324214758</v>
      </c>
      <c r="H248" s="36">
        <f t="shared" si="18"/>
        <v>74.283814048888416</v>
      </c>
      <c r="I248" s="36">
        <f t="shared" si="19"/>
        <v>5518.085029649832</v>
      </c>
    </row>
    <row r="249" spans="3:9" x14ac:dyDescent="0.25">
      <c r="C249" s="41">
        <v>1174.57</v>
      </c>
      <c r="D249" s="41">
        <v>3837.81</v>
      </c>
      <c r="E249" s="34">
        <f t="shared" si="15"/>
        <v>7130.434782608876</v>
      </c>
      <c r="F249" s="35">
        <f t="shared" si="16"/>
        <v>3913.1479256084908</v>
      </c>
      <c r="G249" s="35">
        <f t="shared" si="17"/>
        <v>7592.7146647346517</v>
      </c>
      <c r="H249" s="36">
        <f t="shared" si="18"/>
        <v>75.337925608490877</v>
      </c>
      <c r="I249" s="36">
        <f t="shared" si="19"/>
        <v>5675.8030349905057</v>
      </c>
    </row>
    <row r="250" spans="3:9" x14ac:dyDescent="0.25">
      <c r="C250" s="41">
        <v>1179.1600000000001</v>
      </c>
      <c r="D250" s="41">
        <v>3854.21</v>
      </c>
      <c r="E250" s="34">
        <f t="shared" si="15"/>
        <v>7145.9694989104892</v>
      </c>
      <c r="F250" s="35">
        <f t="shared" si="16"/>
        <v>3930.5823046086821</v>
      </c>
      <c r="G250" s="35">
        <f t="shared" si="17"/>
        <v>7600.6453209813126</v>
      </c>
      <c r="H250" s="36">
        <f t="shared" si="18"/>
        <v>76.372304608682043</v>
      </c>
      <c r="I250" s="36">
        <f t="shared" si="19"/>
        <v>5832.7289112413164</v>
      </c>
    </row>
    <row r="251" spans="3:9" x14ac:dyDescent="0.25">
      <c r="C251" s="41">
        <v>1183.76</v>
      </c>
      <c r="D251" s="41">
        <v>3870.61</v>
      </c>
      <c r="E251" s="34">
        <f t="shared" si="15"/>
        <v>7130.434782608876</v>
      </c>
      <c r="F251" s="35">
        <f t="shared" si="16"/>
        <v>3948.0729369333449</v>
      </c>
      <c r="G251" s="35">
        <f t="shared" si="17"/>
        <v>7608.6015660819903</v>
      </c>
      <c r="H251" s="36">
        <f t="shared" si="18"/>
        <v>77.462936933344736</v>
      </c>
      <c r="I251" s="36">
        <f t="shared" si="19"/>
        <v>6000.5065983393442</v>
      </c>
    </row>
    <row r="252" spans="3:9" x14ac:dyDescent="0.25">
      <c r="C252" s="41">
        <v>1188.3499999999999</v>
      </c>
      <c r="D252" s="41">
        <v>3887.01</v>
      </c>
      <c r="E252" s="34">
        <f t="shared" si="15"/>
        <v>7145.969498910843</v>
      </c>
      <c r="F252" s="35">
        <f t="shared" si="16"/>
        <v>3965.5437954104364</v>
      </c>
      <c r="G252" s="35">
        <f t="shared" si="17"/>
        <v>7616.5488163347436</v>
      </c>
      <c r="H252" s="36">
        <f t="shared" si="18"/>
        <v>78.533795410436142</v>
      </c>
      <c r="I252" s="36">
        <f t="shared" si="19"/>
        <v>6167.557021568241</v>
      </c>
    </row>
    <row r="253" spans="3:9" x14ac:dyDescent="0.25">
      <c r="C253" s="41">
        <v>1192.94</v>
      </c>
      <c r="D253" s="41">
        <v>3903.41</v>
      </c>
      <c r="E253" s="34">
        <f t="shared" si="15"/>
        <v>7145.9694989102909</v>
      </c>
      <c r="F253" s="35">
        <f t="shared" si="16"/>
        <v>3983.0329023505656</v>
      </c>
      <c r="G253" s="35">
        <f t="shared" si="17"/>
        <v>7624.5043675592369</v>
      </c>
      <c r="H253" s="36">
        <f t="shared" si="18"/>
        <v>79.62290235056571</v>
      </c>
      <c r="I253" s="36">
        <f t="shared" si="19"/>
        <v>6339.8065787277228</v>
      </c>
    </row>
    <row r="254" spans="3:9" x14ac:dyDescent="0.25">
      <c r="C254" s="41">
        <v>1197.54</v>
      </c>
      <c r="D254" s="41">
        <v>3919.82</v>
      </c>
      <c r="E254" s="34">
        <f t="shared" si="15"/>
        <v>7134.7826086959276</v>
      </c>
      <c r="F254" s="35">
        <f t="shared" si="16"/>
        <v>4000.5784391989514</v>
      </c>
      <c r="G254" s="35">
        <f t="shared" si="17"/>
        <v>7632.4855879632523</v>
      </c>
      <c r="H254" s="36">
        <f t="shared" si="18"/>
        <v>80.758439198951237</v>
      </c>
      <c r="I254" s="36">
        <f t="shared" si="19"/>
        <v>6521.9255018507038</v>
      </c>
    </row>
    <row r="255" spans="3:9" x14ac:dyDescent="0.25">
      <c r="C255" s="41">
        <v>1202.1300000000001</v>
      </c>
      <c r="D255" s="41">
        <v>3936.22</v>
      </c>
      <c r="E255" s="34">
        <f t="shared" si="15"/>
        <v>7145.9694989102909</v>
      </c>
      <c r="F255" s="35">
        <f t="shared" si="16"/>
        <v>4018.104140128039</v>
      </c>
      <c r="G255" s="35">
        <f t="shared" si="17"/>
        <v>7640.4577852837792</v>
      </c>
      <c r="H255" s="36">
        <f t="shared" si="18"/>
        <v>81.884140128039235</v>
      </c>
      <c r="I255" s="36">
        <f t="shared" si="19"/>
        <v>6705.0124045083649</v>
      </c>
    </row>
    <row r="256" spans="3:9" x14ac:dyDescent="0.25">
      <c r="C256" s="41">
        <v>1206.73</v>
      </c>
      <c r="D256" s="41">
        <v>3952.62</v>
      </c>
      <c r="E256" s="34">
        <f t="shared" si="15"/>
        <v>7130.434782608876</v>
      </c>
      <c r="F256" s="35">
        <f t="shared" si="16"/>
        <v>4035.6863890386194</v>
      </c>
      <c r="G256" s="35">
        <f t="shared" si="17"/>
        <v>7648.4557054936995</v>
      </c>
      <c r="H256" s="36">
        <f t="shared" si="18"/>
        <v>83.066389038619491</v>
      </c>
      <c r="I256" s="36">
        <f t="shared" si="19"/>
        <v>6900.0249879152843</v>
      </c>
    </row>
    <row r="257" spans="3:9" x14ac:dyDescent="0.25">
      <c r="C257" s="41">
        <v>1211.32</v>
      </c>
      <c r="D257" s="41">
        <v>3969.02</v>
      </c>
      <c r="E257" s="34">
        <f t="shared" si="15"/>
        <v>7145.969498910843</v>
      </c>
      <c r="F257" s="35">
        <f t="shared" si="16"/>
        <v>4053.2487605254692</v>
      </c>
      <c r="G257" s="35">
        <f t="shared" si="17"/>
        <v>7656.4445837403418</v>
      </c>
      <c r="H257" s="36">
        <f t="shared" si="18"/>
        <v>84.22876052546917</v>
      </c>
      <c r="I257" s="36">
        <f t="shared" si="19"/>
        <v>7094.4840996568337</v>
      </c>
    </row>
    <row r="258" spans="3:9" x14ac:dyDescent="0.25">
      <c r="C258" s="41">
        <v>1215.92</v>
      </c>
      <c r="D258" s="41">
        <v>3985.42</v>
      </c>
      <c r="E258" s="34">
        <f t="shared" si="15"/>
        <v>7130.4347826085241</v>
      </c>
      <c r="F258" s="35">
        <f t="shared" si="16"/>
        <v>4070.8677983141042</v>
      </c>
      <c r="G258" s="35">
        <f t="shared" si="17"/>
        <v>7664.4592386986315</v>
      </c>
      <c r="H258" s="36">
        <f t="shared" si="18"/>
        <v>85.447798314104148</v>
      </c>
      <c r="I258" s="36">
        <f t="shared" si="19"/>
        <v>7301.3262367278194</v>
      </c>
    </row>
    <row r="259" spans="3:9" x14ac:dyDescent="0.25">
      <c r="C259" s="41">
        <v>1220.47</v>
      </c>
      <c r="D259" s="41">
        <v>4001.83</v>
      </c>
      <c r="E259" s="34">
        <f t="shared" si="15"/>
        <v>7213.1868131868214</v>
      </c>
      <c r="F259" s="35">
        <f t="shared" si="16"/>
        <v>4088.3134684891015</v>
      </c>
      <c r="G259" s="35">
        <f t="shared" si="17"/>
        <v>7672.395031143491</v>
      </c>
      <c r="H259" s="36">
        <f t="shared" si="18"/>
        <v>86.483468489101597</v>
      </c>
      <c r="I259" s="36">
        <f t="shared" si="19"/>
        <v>7479.3903219054291</v>
      </c>
    </row>
    <row r="260" spans="3:9" x14ac:dyDescent="0.25">
      <c r="C260" s="41">
        <v>1224.6500000000001</v>
      </c>
      <c r="D260" s="41">
        <v>4018.23</v>
      </c>
      <c r="E260" s="34">
        <f t="shared" si="15"/>
        <v>7846.8899521530338</v>
      </c>
      <c r="F260" s="35">
        <f t="shared" si="16"/>
        <v>4104.3563989982795</v>
      </c>
      <c r="G260" s="35">
        <f t="shared" si="17"/>
        <v>7679.6927368464558</v>
      </c>
      <c r="H260" s="36">
        <f t="shared" si="18"/>
        <v>86.126398998279456</v>
      </c>
      <c r="I260" s="36">
        <f t="shared" si="19"/>
        <v>7417.7566044108326</v>
      </c>
    </row>
    <row r="261" spans="3:9" x14ac:dyDescent="0.25">
      <c r="C261" s="41">
        <v>1228.83</v>
      </c>
      <c r="D261" s="41">
        <v>4034.63</v>
      </c>
      <c r="E261" s="34">
        <f t="shared" si="15"/>
        <v>7846.8899521534604</v>
      </c>
      <c r="F261" s="35">
        <f t="shared" si="16"/>
        <v>4120.4145889649026</v>
      </c>
      <c r="G261" s="35">
        <f t="shared" si="17"/>
        <v>7686.9973838641363</v>
      </c>
      <c r="H261" s="36">
        <f t="shared" si="18"/>
        <v>85.784588964902468</v>
      </c>
      <c r="I261" s="36">
        <f t="shared" si="19"/>
        <v>7358.9957038772664</v>
      </c>
    </row>
    <row r="262" spans="3:9" x14ac:dyDescent="0.25">
      <c r="C262" s="41">
        <v>1233.02</v>
      </c>
      <c r="D262" s="41">
        <v>4051.03</v>
      </c>
      <c r="E262" s="34">
        <f t="shared" si="15"/>
        <v>7828.1622911693921</v>
      </c>
      <c r="F262" s="35">
        <f t="shared" si="16"/>
        <v>4136.5265244918592</v>
      </c>
      <c r="G262" s="35">
        <f t="shared" si="17"/>
        <v>7694.3264789888472</v>
      </c>
      <c r="H262" s="36">
        <f t="shared" si="18"/>
        <v>85.496524491858963</v>
      </c>
      <c r="I262" s="36">
        <f t="shared" si="19"/>
        <v>7309.6557001870397</v>
      </c>
    </row>
    <row r="263" spans="3:9" x14ac:dyDescent="0.25">
      <c r="C263" s="41">
        <v>1237.2</v>
      </c>
      <c r="D263" s="41">
        <v>4067.44</v>
      </c>
      <c r="E263" s="34">
        <f t="shared" si="15"/>
        <v>7851.6746411481354</v>
      </c>
      <c r="F263" s="35">
        <f t="shared" si="16"/>
        <v>4152.6153135226996</v>
      </c>
      <c r="G263" s="35">
        <f t="shared" si="17"/>
        <v>7701.6450450947714</v>
      </c>
      <c r="H263" s="36">
        <f t="shared" si="18"/>
        <v>85.175313522699525</v>
      </c>
      <c r="I263" s="36">
        <f t="shared" si="19"/>
        <v>7254.834033690161</v>
      </c>
    </row>
    <row r="264" spans="3:9" x14ac:dyDescent="0.25">
      <c r="C264" s="41">
        <v>1241.3900000000001</v>
      </c>
      <c r="D264" s="41">
        <v>4083.84</v>
      </c>
      <c r="E264" s="34">
        <f t="shared" si="15"/>
        <v>7828.1622911693921</v>
      </c>
      <c r="F264" s="35">
        <f t="shared" si="16"/>
        <v>4168.7579505266576</v>
      </c>
      <c r="G264" s="35">
        <f t="shared" si="17"/>
        <v>7708.9881058938745</v>
      </c>
      <c r="H264" s="36">
        <f t="shared" si="18"/>
        <v>84.917950526657478</v>
      </c>
      <c r="I264" s="36">
        <f t="shared" si="19"/>
        <v>7211.0583216478472</v>
      </c>
    </row>
    <row r="265" spans="3:9" x14ac:dyDescent="0.25">
      <c r="C265" s="41">
        <v>1245.57</v>
      </c>
      <c r="D265" s="41">
        <v>4100.24</v>
      </c>
      <c r="E265" s="34">
        <f t="shared" ref="E265:E328" si="20">IF(C265="","",2*(D265-D264)/((C265-C264)/1000))</f>
        <v>7846.889952153243</v>
      </c>
      <c r="F265" s="35">
        <f t="shared" ref="F265:F328" si="21">IF(C265="","",F$7+(F$9/F$10)*(EXP(F$10*(C265-F$8)/2000)-1))</f>
        <v>4184.877396928583</v>
      </c>
      <c r="G265" s="35">
        <f t="shared" ref="G265:G328" si="22">IF(E265="","",F$9+(F265-F$7)*F$10)</f>
        <v>7716.3206176110252</v>
      </c>
      <c r="H265" s="36">
        <f t="shared" ref="H265:H328" si="23">IF(F265="","",F265-D265)</f>
        <v>84.637396928583257</v>
      </c>
      <c r="I265" s="36">
        <f t="shared" ref="I265:I328" si="24">IF(H265="","",H265^2)</f>
        <v>7163.4889588465549</v>
      </c>
    </row>
    <row r="266" spans="3:9" x14ac:dyDescent="0.25">
      <c r="C266" s="41">
        <v>1249.76</v>
      </c>
      <c r="D266" s="41">
        <v>4116.6499999999996</v>
      </c>
      <c r="E266" s="34">
        <f t="shared" si="20"/>
        <v>7832.9355608590167</v>
      </c>
      <c r="F266" s="35">
        <f t="shared" si="21"/>
        <v>4201.0507939115505</v>
      </c>
      <c r="G266" s="35">
        <f t="shared" si="22"/>
        <v>7723.6776706962701</v>
      </c>
      <c r="H266" s="36">
        <f t="shared" si="23"/>
        <v>84.400793911550863</v>
      </c>
      <c r="I266" s="36">
        <f t="shared" si="24"/>
        <v>7123.4940129000815</v>
      </c>
    </row>
    <row r="267" spans="3:9" x14ac:dyDescent="0.25">
      <c r="C267" s="41">
        <v>1253.94</v>
      </c>
      <c r="D267" s="41">
        <v>4133.05</v>
      </c>
      <c r="E267" s="34">
        <f t="shared" si="20"/>
        <v>7846.8899521532512</v>
      </c>
      <c r="F267" s="35">
        <f t="shared" si="21"/>
        <v>4217.2009561025352</v>
      </c>
      <c r="G267" s="35">
        <f t="shared" si="22"/>
        <v>7731.0241545981689</v>
      </c>
      <c r="H267" s="36">
        <f t="shared" si="23"/>
        <v>84.150956102535019</v>
      </c>
      <c r="I267" s="36">
        <f t="shared" si="24"/>
        <v>7081.3834129707757</v>
      </c>
    </row>
    <row r="268" spans="3:9" x14ac:dyDescent="0.25">
      <c r="C268" s="41">
        <v>1258.1199999999999</v>
      </c>
      <c r="D268" s="41">
        <v>4149.45</v>
      </c>
      <c r="E268" s="34">
        <f t="shared" si="20"/>
        <v>7846.889952153243</v>
      </c>
      <c r="F268" s="35">
        <f t="shared" si="21"/>
        <v>4233.3664797458787</v>
      </c>
      <c r="G268" s="35">
        <f t="shared" si="22"/>
        <v>7738.3776262108495</v>
      </c>
      <c r="H268" s="36">
        <f t="shared" si="23"/>
        <v>83.91647974587886</v>
      </c>
      <c r="I268" s="36">
        <f t="shared" si="24"/>
        <v>7041.9755729404969</v>
      </c>
    </row>
    <row r="269" spans="3:9" x14ac:dyDescent="0.25">
      <c r="C269" s="41">
        <v>1262.31</v>
      </c>
      <c r="D269" s="41">
        <v>4165.8500000000004</v>
      </c>
      <c r="E269" s="34">
        <f t="shared" si="20"/>
        <v>7828.1622911696095</v>
      </c>
      <c r="F269" s="35">
        <f t="shared" si="21"/>
        <v>4249.5861081873354</v>
      </c>
      <c r="G269" s="35">
        <f t="shared" si="22"/>
        <v>7745.755709342824</v>
      </c>
      <c r="H269" s="36">
        <f t="shared" si="23"/>
        <v>83.736108187335049</v>
      </c>
      <c r="I269" s="36">
        <f t="shared" si="24"/>
        <v>7011.73581436108</v>
      </c>
    </row>
    <row r="270" spans="3:9" x14ac:dyDescent="0.25">
      <c r="C270" s="41">
        <v>1266.49</v>
      </c>
      <c r="D270" s="41">
        <v>4182.26</v>
      </c>
      <c r="E270" s="34">
        <f t="shared" si="20"/>
        <v>7851.6746411481354</v>
      </c>
      <c r="F270" s="35">
        <f t="shared" si="21"/>
        <v>4265.782435420444</v>
      </c>
      <c r="G270" s="35">
        <f t="shared" si="22"/>
        <v>7753.123193079572</v>
      </c>
      <c r="H270" s="36">
        <f t="shared" si="23"/>
        <v>83.522435420443799</v>
      </c>
      <c r="I270" s="36">
        <f t="shared" si="24"/>
        <v>6975.9972185622046</v>
      </c>
    </row>
    <row r="271" spans="3:9" x14ac:dyDescent="0.25">
      <c r="C271" s="41">
        <v>1270.68</v>
      </c>
      <c r="D271" s="41">
        <v>4198.66</v>
      </c>
      <c r="E271" s="34">
        <f t="shared" si="20"/>
        <v>7828.1622911691748</v>
      </c>
      <c r="F271" s="35">
        <f t="shared" si="21"/>
        <v>4282.0329705489803</v>
      </c>
      <c r="G271" s="35">
        <f t="shared" si="22"/>
        <v>7760.5153352331463</v>
      </c>
      <c r="H271" s="36">
        <f t="shared" si="23"/>
        <v>83.372970548980447</v>
      </c>
      <c r="I271" s="36">
        <f t="shared" si="24"/>
        <v>6951.0522181611614</v>
      </c>
    </row>
    <row r="272" spans="3:9" x14ac:dyDescent="0.25">
      <c r="C272" s="41">
        <v>1274.8599999999999</v>
      </c>
      <c r="D272" s="41">
        <v>4215.0600000000004</v>
      </c>
      <c r="E272" s="34">
        <f t="shared" si="20"/>
        <v>7846.8899521536778</v>
      </c>
      <c r="F272" s="35">
        <f t="shared" si="21"/>
        <v>4298.2601600684447</v>
      </c>
      <c r="G272" s="35">
        <f t="shared" si="22"/>
        <v>7767.8968577942233</v>
      </c>
      <c r="H272" s="36">
        <f t="shared" si="23"/>
        <v>83.200160068444347</v>
      </c>
      <c r="I272" s="36">
        <f t="shared" si="24"/>
        <v>6922.2666354147614</v>
      </c>
    </row>
    <row r="273" spans="3:9" x14ac:dyDescent="0.25">
      <c r="C273" s="41">
        <v>1279.05</v>
      </c>
      <c r="D273" s="41">
        <v>4231.46</v>
      </c>
      <c r="E273" s="34">
        <f t="shared" si="20"/>
        <v>7828.1622911691748</v>
      </c>
      <c r="F273" s="35">
        <f t="shared" si="21"/>
        <v>4314.5416607771003</v>
      </c>
      <c r="G273" s="35">
        <f t="shared" si="22"/>
        <v>7775.303085759022</v>
      </c>
      <c r="H273" s="36">
        <f t="shared" si="23"/>
        <v>83.081660777100296</v>
      </c>
      <c r="I273" s="36">
        <f t="shared" si="24"/>
        <v>6902.5623574811661</v>
      </c>
    </row>
    <row r="274" spans="3:9" x14ac:dyDescent="0.25">
      <c r="C274" s="41">
        <v>1283.23</v>
      </c>
      <c r="D274" s="41">
        <v>4247.87</v>
      </c>
      <c r="E274" s="34">
        <f t="shared" si="20"/>
        <v>7851.6746411481354</v>
      </c>
      <c r="F274" s="35">
        <f t="shared" si="21"/>
        <v>4330.7997713913619</v>
      </c>
      <c r="G274" s="35">
        <f t="shared" si="22"/>
        <v>7782.6986738955693</v>
      </c>
      <c r="H274" s="36">
        <f t="shared" si="23"/>
        <v>82.92977139136201</v>
      </c>
      <c r="I274" s="36">
        <f t="shared" si="24"/>
        <v>6877.3469830235645</v>
      </c>
    </row>
    <row r="275" spans="3:9" x14ac:dyDescent="0.25">
      <c r="C275" s="41">
        <v>1287.4100000000001</v>
      </c>
      <c r="D275" s="41">
        <v>4264.2700000000004</v>
      </c>
      <c r="E275" s="34">
        <f t="shared" si="20"/>
        <v>7846.8899521532512</v>
      </c>
      <c r="F275" s="35">
        <f t="shared" si="21"/>
        <v>4347.0733461346281</v>
      </c>
      <c r="G275" s="35">
        <f t="shared" si="22"/>
        <v>7790.1012964490747</v>
      </c>
      <c r="H275" s="36">
        <f t="shared" si="23"/>
        <v>82.803346134627645</v>
      </c>
      <c r="I275" s="36">
        <f t="shared" si="24"/>
        <v>6856.3941310909549</v>
      </c>
    </row>
    <row r="276" spans="3:9" x14ac:dyDescent="0.25">
      <c r="C276" s="41">
        <v>1291.5999999999999</v>
      </c>
      <c r="D276" s="41">
        <v>4280.67</v>
      </c>
      <c r="E276" s="34">
        <f t="shared" si="20"/>
        <v>7828.1622911695995</v>
      </c>
      <c r="F276" s="35">
        <f t="shared" si="21"/>
        <v>4363.4013873149588</v>
      </c>
      <c r="G276" s="35">
        <f t="shared" si="22"/>
        <v>7797.5286950263981</v>
      </c>
      <c r="H276" s="36">
        <f t="shared" si="23"/>
        <v>82.731387314958738</v>
      </c>
      <c r="I276" s="36">
        <f t="shared" si="24"/>
        <v>6844.4824470577159</v>
      </c>
    </row>
    <row r="277" spans="3:9" x14ac:dyDescent="0.25">
      <c r="C277" s="41">
        <v>1295.78</v>
      </c>
      <c r="D277" s="41">
        <v>4297.07</v>
      </c>
      <c r="E277" s="34">
        <f t="shared" si="20"/>
        <v>7846.8899521528165</v>
      </c>
      <c r="F277" s="35">
        <f t="shared" si="21"/>
        <v>4379.7059715405976</v>
      </c>
      <c r="G277" s="35">
        <f t="shared" si="22"/>
        <v>7804.9454233616507</v>
      </c>
      <c r="H277" s="36">
        <f t="shared" si="23"/>
        <v>82.635971540597893</v>
      </c>
      <c r="I277" s="36">
        <f t="shared" si="24"/>
        <v>6828.7037924585047</v>
      </c>
    </row>
    <row r="278" spans="3:9" x14ac:dyDescent="0.25">
      <c r="C278" s="41">
        <v>1299.97</v>
      </c>
      <c r="D278" s="41">
        <v>4313.47</v>
      </c>
      <c r="E278" s="34">
        <f t="shared" si="20"/>
        <v>7828.1622911696095</v>
      </c>
      <c r="F278" s="35">
        <f t="shared" si="21"/>
        <v>4396.0651259897186</v>
      </c>
      <c r="G278" s="35">
        <f t="shared" si="22"/>
        <v>7812.3869749317173</v>
      </c>
      <c r="H278" s="36">
        <f t="shared" si="23"/>
        <v>82.595125989718326</v>
      </c>
      <c r="I278" s="36">
        <f t="shared" si="24"/>
        <v>6821.9548372574436</v>
      </c>
    </row>
    <row r="279" spans="3:9" x14ac:dyDescent="0.25">
      <c r="C279" s="41">
        <v>1304.1500000000001</v>
      </c>
      <c r="D279" s="41">
        <v>4329.87</v>
      </c>
      <c r="E279" s="34">
        <f t="shared" si="20"/>
        <v>7846.8899521528165</v>
      </c>
      <c r="F279" s="35">
        <f t="shared" si="21"/>
        <v>4412.4007787866485</v>
      </c>
      <c r="G279" s="35">
        <f t="shared" si="22"/>
        <v>7819.8178359274443</v>
      </c>
      <c r="H279" s="36">
        <f t="shared" si="23"/>
        <v>82.530778786648625</v>
      </c>
      <c r="I279" s="36">
        <f t="shared" si="24"/>
        <v>6811.3294471307308</v>
      </c>
    </row>
    <row r="280" spans="3:9" x14ac:dyDescent="0.25">
      <c r="C280" s="41">
        <v>1308.33</v>
      </c>
      <c r="D280" s="41">
        <v>4346.2700000000004</v>
      </c>
      <c r="E280" s="34">
        <f t="shared" si="20"/>
        <v>7846.8899521536778</v>
      </c>
      <c r="F280" s="35">
        <f t="shared" si="21"/>
        <v>4428.7519694679122</v>
      </c>
      <c r="G280" s="35">
        <f t="shared" si="22"/>
        <v>7827.2557648904021</v>
      </c>
      <c r="H280" s="36">
        <f t="shared" si="23"/>
        <v>82.481969467911767</v>
      </c>
      <c r="I280" s="36">
        <f t="shared" si="24"/>
        <v>6803.2752873055288</v>
      </c>
    </row>
    <row r="281" spans="3:9" x14ac:dyDescent="0.25">
      <c r="C281" s="41">
        <v>1312.52</v>
      </c>
      <c r="D281" s="41">
        <v>4362.68</v>
      </c>
      <c r="E281" s="34">
        <f t="shared" si="20"/>
        <v>7832.9355608590167</v>
      </c>
      <c r="F281" s="35">
        <f t="shared" si="21"/>
        <v>4445.1578863609793</v>
      </c>
      <c r="G281" s="35">
        <f t="shared" si="22"/>
        <v>7834.7185880450879</v>
      </c>
      <c r="H281" s="36">
        <f t="shared" si="23"/>
        <v>82.477886360979028</v>
      </c>
      <c r="I281" s="36">
        <f t="shared" si="24"/>
        <v>6802.6017385745699</v>
      </c>
    </row>
    <row r="282" spans="3:9" x14ac:dyDescent="0.25">
      <c r="C282" s="41">
        <v>1316.7</v>
      </c>
      <c r="D282" s="41">
        <v>4379.08</v>
      </c>
      <c r="E282" s="34">
        <f t="shared" si="20"/>
        <v>7846.8899521528165</v>
      </c>
      <c r="F282" s="35">
        <f t="shared" si="21"/>
        <v>4461.5402344226704</v>
      </c>
      <c r="G282" s="35">
        <f t="shared" si="22"/>
        <v>7842.1706900665595</v>
      </c>
      <c r="H282" s="36">
        <f t="shared" si="23"/>
        <v>82.46023442267051</v>
      </c>
      <c r="I282" s="36">
        <f t="shared" si="24"/>
        <v>6799.6902610417746</v>
      </c>
    </row>
    <row r="283" spans="3:9" x14ac:dyDescent="0.25">
      <c r="C283" s="41">
        <v>1320.88</v>
      </c>
      <c r="D283" s="41">
        <v>4395.4799999999996</v>
      </c>
      <c r="E283" s="34">
        <f t="shared" si="20"/>
        <v>7846.8899521528165</v>
      </c>
      <c r="F283" s="35">
        <f t="shared" si="21"/>
        <v>4477.9381647835507</v>
      </c>
      <c r="G283" s="35">
        <f t="shared" si="22"/>
        <v>7849.6298802589599</v>
      </c>
      <c r="H283" s="36">
        <f t="shared" si="23"/>
        <v>82.458164783551183</v>
      </c>
      <c r="I283" s="36">
        <f t="shared" si="24"/>
        <v>6799.3489394712806</v>
      </c>
    </row>
    <row r="284" spans="3:9" x14ac:dyDescent="0.25">
      <c r="C284" s="41">
        <v>1325.06</v>
      </c>
      <c r="D284" s="41">
        <v>4411.88</v>
      </c>
      <c r="E284" s="34">
        <f t="shared" si="20"/>
        <v>7846.8899521536778</v>
      </c>
      <c r="F284" s="35">
        <f t="shared" si="21"/>
        <v>4494.3516922649424</v>
      </c>
      <c r="G284" s="35">
        <f t="shared" si="22"/>
        <v>7857.0961653643026</v>
      </c>
      <c r="H284" s="36">
        <f t="shared" si="23"/>
        <v>82.471692264942249</v>
      </c>
      <c r="I284" s="36">
        <f t="shared" si="24"/>
        <v>6801.5800250433349</v>
      </c>
    </row>
    <row r="285" spans="3:9" x14ac:dyDescent="0.25">
      <c r="C285" s="41">
        <v>1329.23</v>
      </c>
      <c r="D285" s="41">
        <v>4428.28</v>
      </c>
      <c r="E285" s="34">
        <f t="shared" si="20"/>
        <v>7865.7074340524459</v>
      </c>
      <c r="F285" s="35">
        <f t="shared" si="21"/>
        <v>4510.741508899222</v>
      </c>
      <c r="G285" s="35">
        <f t="shared" si="22"/>
        <v>7864.5516647354507</v>
      </c>
      <c r="H285" s="36">
        <f t="shared" si="23"/>
        <v>82.461508899222281</v>
      </c>
      <c r="I285" s="36">
        <f t="shared" si="24"/>
        <v>6799.9004499365155</v>
      </c>
    </row>
    <row r="286" spans="3:9" x14ac:dyDescent="0.25">
      <c r="C286" s="41">
        <v>1333.4</v>
      </c>
      <c r="D286" s="41">
        <v>4444.68</v>
      </c>
      <c r="E286" s="34">
        <f t="shared" si="20"/>
        <v>7865.7074340528816</v>
      </c>
      <c r="F286" s="35">
        <f t="shared" si="21"/>
        <v>4527.1468776236188</v>
      </c>
      <c r="G286" s="35">
        <f t="shared" si="22"/>
        <v>7872.0142385358413</v>
      </c>
      <c r="H286" s="36">
        <f t="shared" si="23"/>
        <v>82.466877623618529</v>
      </c>
      <c r="I286" s="36">
        <f t="shared" si="24"/>
        <v>6800.7859049888748</v>
      </c>
    </row>
    <row r="287" spans="3:9" x14ac:dyDescent="0.25">
      <c r="C287" s="41">
        <v>1337.58</v>
      </c>
      <c r="D287" s="41">
        <v>4461.08</v>
      </c>
      <c r="E287" s="34">
        <f t="shared" si="20"/>
        <v>7846.889952153243</v>
      </c>
      <c r="F287" s="35">
        <f t="shared" si="21"/>
        <v>4543.6072106595793</v>
      </c>
      <c r="G287" s="35">
        <f t="shared" si="22"/>
        <v>7879.5018148362251</v>
      </c>
      <c r="H287" s="36">
        <f t="shared" si="23"/>
        <v>82.527210659579396</v>
      </c>
      <c r="I287" s="36">
        <f t="shared" si="24"/>
        <v>6810.7404992505953</v>
      </c>
    </row>
    <row r="288" spans="3:9" x14ac:dyDescent="0.25">
      <c r="C288" s="41">
        <v>1341.75</v>
      </c>
      <c r="D288" s="41">
        <v>4477.46</v>
      </c>
      <c r="E288" s="34">
        <f t="shared" si="20"/>
        <v>7856.1151079135843</v>
      </c>
      <c r="F288" s="35">
        <f t="shared" si="21"/>
        <v>4560.0437652335122</v>
      </c>
      <c r="G288" s="35">
        <f t="shared" si="22"/>
        <v>7886.9785746453308</v>
      </c>
      <c r="H288" s="36">
        <f t="shared" si="23"/>
        <v>82.583765233512167</v>
      </c>
      <c r="I288" s="36">
        <f t="shared" si="24"/>
        <v>6820.0782801438527</v>
      </c>
    </row>
    <row r="289" spans="3:9" x14ac:dyDescent="0.25">
      <c r="C289" s="41">
        <v>1345.91</v>
      </c>
      <c r="D289" s="41">
        <v>4493.84</v>
      </c>
      <c r="E289" s="34">
        <f t="shared" si="20"/>
        <v>7874.9999999998972</v>
      </c>
      <c r="F289" s="35">
        <f t="shared" si="21"/>
        <v>4576.4564439793457</v>
      </c>
      <c r="G289" s="35">
        <f t="shared" si="22"/>
        <v>7894.4444736726864</v>
      </c>
      <c r="H289" s="36">
        <f t="shared" si="23"/>
        <v>82.616443979345604</v>
      </c>
      <c r="I289" s="36">
        <f t="shared" si="24"/>
        <v>6825.4768157923509</v>
      </c>
    </row>
    <row r="290" spans="3:9" x14ac:dyDescent="0.25">
      <c r="C290" s="41">
        <v>1350.08</v>
      </c>
      <c r="D290" s="41">
        <v>4510.22</v>
      </c>
      <c r="E290" s="34">
        <f t="shared" si="20"/>
        <v>7856.1151079140118</v>
      </c>
      <c r="F290" s="35">
        <f t="shared" si="21"/>
        <v>4592.9241687761159</v>
      </c>
      <c r="G290" s="35">
        <f t="shared" si="22"/>
        <v>7901.9354123821386</v>
      </c>
      <c r="H290" s="36">
        <f t="shared" si="23"/>
        <v>82.704168776115694</v>
      </c>
      <c r="I290" s="36">
        <f t="shared" si="24"/>
        <v>6839.9795329482304</v>
      </c>
    </row>
    <row r="291" spans="3:9" x14ac:dyDescent="0.25">
      <c r="C291" s="41">
        <v>1354.25</v>
      </c>
      <c r="D291" s="41">
        <v>4526.59</v>
      </c>
      <c r="E291" s="34">
        <f t="shared" si="20"/>
        <v>7851.3189448439352</v>
      </c>
      <c r="F291" s="35">
        <f t="shared" si="21"/>
        <v>4609.4075195890755</v>
      </c>
      <c r="G291" s="35">
        <f t="shared" si="22"/>
        <v>7909.433459148775</v>
      </c>
      <c r="H291" s="36">
        <f t="shared" si="23"/>
        <v>82.817519589075346</v>
      </c>
      <c r="I291" s="36">
        <f t="shared" si="24"/>
        <v>6858.7415508868789</v>
      </c>
    </row>
    <row r="292" spans="3:9" x14ac:dyDescent="0.25">
      <c r="C292" s="41">
        <v>1358.41</v>
      </c>
      <c r="D292" s="41">
        <v>4542.97</v>
      </c>
      <c r="E292" s="34">
        <f t="shared" si="20"/>
        <v>7874.9999999998972</v>
      </c>
      <c r="F292" s="35">
        <f t="shared" si="21"/>
        <v>4625.8669265974668</v>
      </c>
      <c r="G292" s="35">
        <f t="shared" si="22"/>
        <v>7916.920614212112</v>
      </c>
      <c r="H292" s="36">
        <f t="shared" si="23"/>
        <v>82.896926597466518</v>
      </c>
      <c r="I292" s="36">
        <f t="shared" si="24"/>
        <v>6871.9004393057521</v>
      </c>
    </row>
    <row r="293" spans="3:9" x14ac:dyDescent="0.25">
      <c r="C293" s="41">
        <v>1362.58</v>
      </c>
      <c r="D293" s="41">
        <v>4559.34</v>
      </c>
      <c r="E293" s="34">
        <f t="shared" si="20"/>
        <v>7851.3189448443627</v>
      </c>
      <c r="F293" s="35">
        <f t="shared" si="21"/>
        <v>4642.3815363774884</v>
      </c>
      <c r="G293" s="35">
        <f t="shared" si="22"/>
        <v>7924.4328802476075</v>
      </c>
      <c r="H293" s="36">
        <f t="shared" si="23"/>
        <v>83.041536377488228</v>
      </c>
      <c r="I293" s="36">
        <f t="shared" si="24"/>
        <v>6895.8967639337006</v>
      </c>
    </row>
    <row r="294" spans="3:9" x14ac:dyDescent="0.25">
      <c r="C294" s="41">
        <v>1366.74</v>
      </c>
      <c r="D294" s="41">
        <v>4575.6899999999996</v>
      </c>
      <c r="E294" s="34">
        <f t="shared" si="20"/>
        <v>7860.5769230765054</v>
      </c>
      <c r="F294" s="35">
        <f t="shared" si="21"/>
        <v>4658.8721569459931</v>
      </c>
      <c r="G294" s="35">
        <f t="shared" si="22"/>
        <v>7931.934233924816</v>
      </c>
      <c r="H294" s="36">
        <f t="shared" si="23"/>
        <v>83.182156945993484</v>
      </c>
      <c r="I294" s="36">
        <f t="shared" si="24"/>
        <v>6919.2712341878923</v>
      </c>
    </row>
    <row r="295" spans="3:9" x14ac:dyDescent="0.25">
      <c r="C295" s="41">
        <v>1370.89</v>
      </c>
      <c r="D295" s="41">
        <v>4592</v>
      </c>
      <c r="E295" s="34">
        <f t="shared" si="20"/>
        <v>7860.2409638554418</v>
      </c>
      <c r="F295" s="35">
        <f t="shared" si="21"/>
        <v>4675.3386905455809</v>
      </c>
      <c r="G295" s="35">
        <f t="shared" si="22"/>
        <v>7939.4246307752564</v>
      </c>
      <c r="H295" s="36">
        <f t="shared" si="23"/>
        <v>83.338690545580903</v>
      </c>
      <c r="I295" s="36">
        <f t="shared" si="24"/>
        <v>6945.337341852096</v>
      </c>
    </row>
    <row r="296" spans="3:9" x14ac:dyDescent="0.25">
      <c r="C296" s="41">
        <v>1375.04</v>
      </c>
      <c r="D296" s="41">
        <v>4608.32</v>
      </c>
      <c r="E296" s="34">
        <f t="shared" si="20"/>
        <v>7865.0602409639732</v>
      </c>
      <c r="F296" s="35">
        <f t="shared" si="21"/>
        <v>4691.8207740561702</v>
      </c>
      <c r="G296" s="35">
        <f t="shared" si="22"/>
        <v>7946.9221010636902</v>
      </c>
      <c r="H296" s="36">
        <f t="shared" si="23"/>
        <v>83.500774056170485</v>
      </c>
      <c r="I296" s="36">
        <f t="shared" si="24"/>
        <v>6972.3792679796343</v>
      </c>
    </row>
    <row r="297" spans="3:9" x14ac:dyDescent="0.25">
      <c r="C297" s="41">
        <v>1379.19</v>
      </c>
      <c r="D297" s="41">
        <v>4624.6400000000003</v>
      </c>
      <c r="E297" s="34">
        <f t="shared" si="20"/>
        <v>7865.0602409639805</v>
      </c>
      <c r="F297" s="35">
        <f t="shared" si="21"/>
        <v>4708.3184221620777</v>
      </c>
      <c r="G297" s="35">
        <f t="shared" si="22"/>
        <v>7954.4266514698093</v>
      </c>
      <c r="H297" s="36">
        <f t="shared" si="23"/>
        <v>83.678422162077368</v>
      </c>
      <c r="I297" s="36">
        <f t="shared" si="24"/>
        <v>7002.0783355348412</v>
      </c>
    </row>
    <row r="298" spans="3:9" x14ac:dyDescent="0.25">
      <c r="C298" s="41">
        <v>1383.35</v>
      </c>
      <c r="D298" s="41">
        <v>4640.95</v>
      </c>
      <c r="E298" s="34">
        <f t="shared" si="20"/>
        <v>7841.3461538461825</v>
      </c>
      <c r="F298" s="35">
        <f t="shared" si="21"/>
        <v>4724.8714592981905</v>
      </c>
      <c r="G298" s="35">
        <f t="shared" si="22"/>
        <v>7961.9563975745186</v>
      </c>
      <c r="H298" s="36">
        <f t="shared" si="23"/>
        <v>83.921459298190712</v>
      </c>
      <c r="I298" s="36">
        <f t="shared" si="24"/>
        <v>7042.8113307378799</v>
      </c>
    </row>
    <row r="299" spans="3:9" x14ac:dyDescent="0.25">
      <c r="C299" s="41">
        <v>1387.5</v>
      </c>
      <c r="D299" s="41">
        <v>4657.2700000000004</v>
      </c>
      <c r="E299" s="34">
        <f t="shared" si="20"/>
        <v>7865.0602409639805</v>
      </c>
      <c r="F299" s="35">
        <f t="shared" si="21"/>
        <v>4741.4003182968418</v>
      </c>
      <c r="G299" s="35">
        <f t="shared" si="22"/>
        <v>7969.4751453811587</v>
      </c>
      <c r="H299" s="36">
        <f t="shared" si="23"/>
        <v>84.130318296841324</v>
      </c>
      <c r="I299" s="36">
        <f t="shared" si="24"/>
        <v>7077.9104567278337</v>
      </c>
    </row>
    <row r="300" spans="3:9" x14ac:dyDescent="0.25">
      <c r="C300" s="41">
        <v>1391.64</v>
      </c>
      <c r="D300" s="41">
        <v>4673.55</v>
      </c>
      <c r="E300" s="34">
        <f t="shared" si="20"/>
        <v>7864.7342995165945</v>
      </c>
      <c r="F300" s="35">
        <f t="shared" si="21"/>
        <v>4757.9049011028937</v>
      </c>
      <c r="G300" s="35">
        <f t="shared" si="22"/>
        <v>7976.9828502858145</v>
      </c>
      <c r="H300" s="36">
        <f t="shared" si="23"/>
        <v>84.354901102893564</v>
      </c>
      <c r="I300" s="36">
        <f t="shared" si="24"/>
        <v>7115.7493400789535</v>
      </c>
    </row>
    <row r="301" spans="3:9" x14ac:dyDescent="0.25">
      <c r="C301" s="41">
        <v>1395.78</v>
      </c>
      <c r="D301" s="41">
        <v>4689.8100000000004</v>
      </c>
      <c r="E301" s="34">
        <f t="shared" si="20"/>
        <v>7855.0724637684625</v>
      </c>
      <c r="F301" s="35">
        <f t="shared" si="21"/>
        <v>4774.4250321771842</v>
      </c>
      <c r="G301" s="35">
        <f t="shared" si="22"/>
        <v>7984.4976278811919</v>
      </c>
      <c r="H301" s="36">
        <f t="shared" si="23"/>
        <v>84.615032177183821</v>
      </c>
      <c r="I301" s="36">
        <f t="shared" si="24"/>
        <v>7159.7036703458534</v>
      </c>
    </row>
    <row r="302" spans="3:9" x14ac:dyDescent="0.25">
      <c r="C302" s="41">
        <v>1399.91</v>
      </c>
      <c r="D302" s="41">
        <v>4706.0600000000004</v>
      </c>
      <c r="E302" s="34">
        <f t="shared" si="20"/>
        <v>7869.2493946729155</v>
      </c>
      <c r="F302" s="35">
        <f t="shared" si="21"/>
        <v>4790.9207661150949</v>
      </c>
      <c r="G302" s="35">
        <f t="shared" si="22"/>
        <v>7992.0013075589432</v>
      </c>
      <c r="H302" s="36">
        <f t="shared" si="23"/>
        <v>84.860766115094521</v>
      </c>
      <c r="I302" s="36">
        <f t="shared" si="24"/>
        <v>7201.3496256407743</v>
      </c>
    </row>
    <row r="303" spans="3:9" x14ac:dyDescent="0.25">
      <c r="C303" s="41">
        <v>1404.05</v>
      </c>
      <c r="D303" s="41">
        <v>4722.32</v>
      </c>
      <c r="E303" s="34">
        <f t="shared" si="20"/>
        <v>7855.0724637680232</v>
      </c>
      <c r="F303" s="35">
        <f t="shared" si="21"/>
        <v>4807.4720000370826</v>
      </c>
      <c r="G303" s="35">
        <f t="shared" si="22"/>
        <v>7999.5302334066555</v>
      </c>
      <c r="H303" s="36">
        <f t="shared" si="23"/>
        <v>85.152000037082871</v>
      </c>
      <c r="I303" s="36">
        <f t="shared" si="24"/>
        <v>7250.8631103153612</v>
      </c>
    </row>
    <row r="304" spans="3:9" x14ac:dyDescent="0.25">
      <c r="C304" s="41">
        <v>1408.19</v>
      </c>
      <c r="D304" s="41">
        <v>4738.57</v>
      </c>
      <c r="E304" s="34">
        <f t="shared" si="20"/>
        <v>7850.2415458935302</v>
      </c>
      <c r="F304" s="35">
        <f t="shared" si="21"/>
        <v>4824.0388261753496</v>
      </c>
      <c r="G304" s="35">
        <f t="shared" si="22"/>
        <v>8007.0662519364432</v>
      </c>
      <c r="H304" s="36">
        <f t="shared" si="23"/>
        <v>85.468826175349932</v>
      </c>
      <c r="I304" s="36">
        <f t="shared" si="24"/>
        <v>7304.9202477921817</v>
      </c>
    </row>
    <row r="305" spans="3:9" x14ac:dyDescent="0.25">
      <c r="C305" s="41">
        <v>1412.32</v>
      </c>
      <c r="D305" s="41">
        <v>4754.83</v>
      </c>
      <c r="E305" s="34">
        <f t="shared" si="20"/>
        <v>7874.0920096855607</v>
      </c>
      <c r="F305" s="35">
        <f t="shared" si="21"/>
        <v>4840.5811862173823</v>
      </c>
      <c r="G305" s="35">
        <f t="shared" si="22"/>
        <v>8014.591141179726</v>
      </c>
      <c r="H305" s="36">
        <f t="shared" si="23"/>
        <v>85.751186217382383</v>
      </c>
      <c r="I305" s="36">
        <f t="shared" si="24"/>
        <v>7353.2659376881902</v>
      </c>
    </row>
    <row r="306" spans="3:9" x14ac:dyDescent="0.25">
      <c r="C306" s="41">
        <v>1416.45</v>
      </c>
      <c r="D306" s="41">
        <v>4771.05</v>
      </c>
      <c r="E306" s="34">
        <f t="shared" si="20"/>
        <v>7854.7215496367189</v>
      </c>
      <c r="F306" s="35">
        <f t="shared" si="21"/>
        <v>4857.1390924561429</v>
      </c>
      <c r="G306" s="35">
        <f t="shared" si="22"/>
        <v>8022.123102171432</v>
      </c>
      <c r="H306" s="36">
        <f t="shared" si="23"/>
        <v>86.08909245614268</v>
      </c>
      <c r="I306" s="36">
        <f t="shared" si="24"/>
        <v>7411.3318399222826</v>
      </c>
    </row>
    <row r="307" spans="3:9" x14ac:dyDescent="0.25">
      <c r="C307" s="41">
        <v>1420.56</v>
      </c>
      <c r="D307" s="41">
        <v>4787.24</v>
      </c>
      <c r="E307" s="34">
        <f t="shared" si="20"/>
        <v>7878.3454987834511</v>
      </c>
      <c r="F307" s="35">
        <f t="shared" si="21"/>
        <v>4873.6322630628574</v>
      </c>
      <c r="G307" s="35">
        <f t="shared" si="22"/>
        <v>8029.6256158255137</v>
      </c>
      <c r="H307" s="36">
        <f t="shared" si="23"/>
        <v>86.392263062857637</v>
      </c>
      <c r="I307" s="36">
        <f t="shared" si="24"/>
        <v>7463.6231171219961</v>
      </c>
    </row>
    <row r="308" spans="3:9" x14ac:dyDescent="0.25">
      <c r="C308" s="41">
        <v>1424.63</v>
      </c>
      <c r="D308" s="41">
        <v>4803.43</v>
      </c>
      <c r="E308" s="34">
        <f t="shared" si="20"/>
        <v>7955.773955773886</v>
      </c>
      <c r="F308" s="35">
        <f t="shared" si="21"/>
        <v>4889.9801165718018</v>
      </c>
      <c r="G308" s="35">
        <f t="shared" si="22"/>
        <v>8037.0620267552513</v>
      </c>
      <c r="H308" s="36">
        <f t="shared" si="23"/>
        <v>86.550116571801482</v>
      </c>
      <c r="I308" s="36">
        <f t="shared" si="24"/>
        <v>7490.9226785924257</v>
      </c>
    </row>
    <row r="309" spans="3:9" x14ac:dyDescent="0.25">
      <c r="C309" s="41">
        <v>1428.7</v>
      </c>
      <c r="D309" s="41">
        <v>4819.63</v>
      </c>
      <c r="E309" s="34">
        <f t="shared" si="20"/>
        <v>7960.6879606879957</v>
      </c>
      <c r="F309" s="35">
        <f t="shared" si="21"/>
        <v>4906.3431101834503</v>
      </c>
      <c r="G309" s="35">
        <f t="shared" si="22"/>
        <v>8044.5053247068936</v>
      </c>
      <c r="H309" s="36">
        <f t="shared" si="23"/>
        <v>86.713110183450226</v>
      </c>
      <c r="I309" s="36">
        <f t="shared" si="24"/>
        <v>7519.1634776871797</v>
      </c>
    </row>
    <row r="310" spans="3:9" x14ac:dyDescent="0.25">
      <c r="C310" s="41">
        <v>1432.77</v>
      </c>
      <c r="D310" s="41">
        <v>4835.82</v>
      </c>
      <c r="E310" s="34">
        <f t="shared" si="20"/>
        <v>7955.7739557738832</v>
      </c>
      <c r="F310" s="35">
        <f t="shared" si="21"/>
        <v>4922.7212579193811</v>
      </c>
      <c r="G310" s="35">
        <f t="shared" si="22"/>
        <v>8051.9555160586624</v>
      </c>
      <c r="H310" s="36">
        <f t="shared" si="23"/>
        <v>86.901257919381351</v>
      </c>
      <c r="I310" s="36">
        <f t="shared" si="24"/>
        <v>7551.82862797084</v>
      </c>
    </row>
    <row r="311" spans="3:9" x14ac:dyDescent="0.25">
      <c r="C311" s="41">
        <v>1436.84</v>
      </c>
      <c r="D311" s="41">
        <v>4852.01</v>
      </c>
      <c r="E311" s="34">
        <f t="shared" si="20"/>
        <v>7955.7739557743298</v>
      </c>
      <c r="F311" s="35">
        <f t="shared" si="21"/>
        <v>4939.1145738141622</v>
      </c>
      <c r="G311" s="35">
        <f t="shared" si="22"/>
        <v>8059.4126071946876</v>
      </c>
      <c r="H311" s="36">
        <f t="shared" si="23"/>
        <v>87.104573814161995</v>
      </c>
      <c r="I311" s="36">
        <f t="shared" si="24"/>
        <v>7587.2067793467959</v>
      </c>
    </row>
    <row r="312" spans="3:9" x14ac:dyDescent="0.25">
      <c r="C312" s="41">
        <v>1440.89</v>
      </c>
      <c r="D312" s="41">
        <v>4868.16</v>
      </c>
      <c r="E312" s="34">
        <f t="shared" si="20"/>
        <v>7975.3086419747706</v>
      </c>
      <c r="F312" s="35">
        <f t="shared" si="21"/>
        <v>4955.4424033327814</v>
      </c>
      <c r="G312" s="35">
        <f t="shared" si="22"/>
        <v>8066.8399094900451</v>
      </c>
      <c r="H312" s="36">
        <f t="shared" si="23"/>
        <v>87.282403332781541</v>
      </c>
      <c r="I312" s="36">
        <f t="shared" si="24"/>
        <v>7618.2179315463545</v>
      </c>
    </row>
    <row r="313" spans="3:9" x14ac:dyDescent="0.25">
      <c r="C313" s="41">
        <v>1444.93</v>
      </c>
      <c r="D313" s="41">
        <v>4884.2299999999996</v>
      </c>
      <c r="E313" s="34">
        <f t="shared" si="20"/>
        <v>7955.4455445543826</v>
      </c>
      <c r="F313" s="35">
        <f t="shared" si="21"/>
        <v>4971.7449087434443</v>
      </c>
      <c r="G313" s="35">
        <f t="shared" si="22"/>
        <v>8074.2556922013118</v>
      </c>
      <c r="H313" s="36">
        <f t="shared" si="23"/>
        <v>87.514908743444721</v>
      </c>
      <c r="I313" s="36">
        <f t="shared" si="24"/>
        <v>7658.8592523734569</v>
      </c>
    </row>
    <row r="314" spans="3:9" x14ac:dyDescent="0.25">
      <c r="C314" s="41">
        <v>1448.97</v>
      </c>
      <c r="D314" s="41">
        <v>4900.3100000000004</v>
      </c>
      <c r="E314" s="34">
        <f t="shared" si="20"/>
        <v>7960.3960396044458</v>
      </c>
      <c r="F314" s="35">
        <f t="shared" si="21"/>
        <v>4988.0624009195717</v>
      </c>
      <c r="G314" s="35">
        <f t="shared" si="22"/>
        <v>8081.6782921835093</v>
      </c>
      <c r="H314" s="36">
        <f t="shared" si="23"/>
        <v>87.752400919571301</v>
      </c>
      <c r="I314" s="36">
        <f t="shared" si="24"/>
        <v>7700.483867149178</v>
      </c>
    </row>
    <row r="315" spans="3:9" x14ac:dyDescent="0.25">
      <c r="C315" s="41">
        <v>1453.01</v>
      </c>
      <c r="D315" s="41">
        <v>4916.38</v>
      </c>
      <c r="E315" s="34">
        <f t="shared" si="20"/>
        <v>7955.4455445543826</v>
      </c>
      <c r="F315" s="35">
        <f t="shared" si="21"/>
        <v>5004.3948936383813</v>
      </c>
      <c r="G315" s="35">
        <f t="shared" si="22"/>
        <v>8089.1077157037007</v>
      </c>
      <c r="H315" s="36">
        <f t="shared" si="23"/>
        <v>88.014893638381182</v>
      </c>
      <c r="I315" s="36">
        <f t="shared" si="24"/>
        <v>7746.6215021755525</v>
      </c>
    </row>
    <row r="316" spans="3:9" x14ac:dyDescent="0.25">
      <c r="C316" s="41">
        <v>1457.05</v>
      </c>
      <c r="D316" s="41">
        <v>4932.46</v>
      </c>
      <c r="E316" s="34">
        <f t="shared" si="20"/>
        <v>7960.3960396039956</v>
      </c>
      <c r="F316" s="35">
        <f t="shared" si="21"/>
        <v>5020.7424006897527</v>
      </c>
      <c r="G316" s="35">
        <f t="shared" si="22"/>
        <v>8096.5439690347121</v>
      </c>
      <c r="H316" s="36">
        <f t="shared" si="23"/>
        <v>88.282400689752649</v>
      </c>
      <c r="I316" s="36">
        <f t="shared" si="24"/>
        <v>7793.7822715460388</v>
      </c>
    </row>
    <row r="317" spans="3:9" x14ac:dyDescent="0.25">
      <c r="C317" s="41">
        <v>1461.09</v>
      </c>
      <c r="D317" s="41">
        <v>4948.53</v>
      </c>
      <c r="E317" s="34">
        <f t="shared" si="20"/>
        <v>7955.4455445543826</v>
      </c>
      <c r="F317" s="35">
        <f t="shared" si="21"/>
        <v>5037.1049358762475</v>
      </c>
      <c r="G317" s="35">
        <f t="shared" si="22"/>
        <v>8103.9870584551354</v>
      </c>
      <c r="H317" s="36">
        <f t="shared" si="23"/>
        <v>88.574935876247764</v>
      </c>
      <c r="I317" s="36">
        <f t="shared" si="24"/>
        <v>7845.5192654814036</v>
      </c>
    </row>
    <row r="318" spans="3:9" x14ac:dyDescent="0.25">
      <c r="C318" s="41">
        <v>1465.12</v>
      </c>
      <c r="D318" s="41">
        <v>4964.57</v>
      </c>
      <c r="E318" s="34">
        <f t="shared" si="20"/>
        <v>7960.2977667494151</v>
      </c>
      <c r="F318" s="35">
        <f t="shared" si="21"/>
        <v>5053.4419558742802</v>
      </c>
      <c r="G318" s="35">
        <f t="shared" si="22"/>
        <v>8111.4185413716077</v>
      </c>
      <c r="H318" s="36">
        <f t="shared" si="23"/>
        <v>88.871955874280502</v>
      </c>
      <c r="I318" s="36">
        <f t="shared" si="24"/>
        <v>7898.2245409200605</v>
      </c>
    </row>
    <row r="319" spans="3:9" x14ac:dyDescent="0.25">
      <c r="C319" s="41">
        <v>1469.12</v>
      </c>
      <c r="D319" s="41">
        <v>4980.51</v>
      </c>
      <c r="E319" s="34">
        <f t="shared" si="20"/>
        <v>7970.0000000002547</v>
      </c>
      <c r="F319" s="35">
        <f t="shared" si="21"/>
        <v>5069.6721747381307</v>
      </c>
      <c r="G319" s="35">
        <f t="shared" si="22"/>
        <v>8118.8014419392648</v>
      </c>
      <c r="H319" s="36">
        <f t="shared" si="23"/>
        <v>89.162174738130489</v>
      </c>
      <c r="I319" s="36">
        <f t="shared" si="24"/>
        <v>7949.893404032915</v>
      </c>
    </row>
    <row r="320" spans="3:9" x14ac:dyDescent="0.25">
      <c r="C320" s="41">
        <v>1473.13</v>
      </c>
      <c r="D320" s="41">
        <v>4996.4399999999996</v>
      </c>
      <c r="E320" s="34">
        <f t="shared" si="20"/>
        <v>7945.137157106491</v>
      </c>
      <c r="F320" s="35">
        <f t="shared" si="21"/>
        <v>5085.9577971234321</v>
      </c>
      <c r="G320" s="35">
        <f t="shared" si="22"/>
        <v>8126.2095447973779</v>
      </c>
      <c r="H320" s="36">
        <f t="shared" si="23"/>
        <v>89.517797123432501</v>
      </c>
      <c r="I320" s="36">
        <f t="shared" si="24"/>
        <v>8013.4360018320203</v>
      </c>
    </row>
    <row r="321" spans="3:9" x14ac:dyDescent="0.25">
      <c r="C321" s="41">
        <v>1477.13</v>
      </c>
      <c r="D321" s="41">
        <v>5012.38</v>
      </c>
      <c r="E321" s="34">
        <f t="shared" si="20"/>
        <v>7970.0000000002547</v>
      </c>
      <c r="F321" s="35">
        <f t="shared" si="21"/>
        <v>5102.2176114546601</v>
      </c>
      <c r="G321" s="35">
        <f t="shared" si="22"/>
        <v>8133.6059079310508</v>
      </c>
      <c r="H321" s="36">
        <f t="shared" si="23"/>
        <v>89.837611454659964</v>
      </c>
      <c r="I321" s="36">
        <f t="shared" si="24"/>
        <v>8070.7964318784516</v>
      </c>
    </row>
    <row r="322" spans="3:9" x14ac:dyDescent="0.25">
      <c r="C322" s="41">
        <v>1481.13</v>
      </c>
      <c r="D322" s="41">
        <v>5028.3100000000004</v>
      </c>
      <c r="E322" s="34">
        <f t="shared" si="20"/>
        <v>7965.0000000001455</v>
      </c>
      <c r="F322" s="35">
        <f t="shared" si="21"/>
        <v>5118.4922252431998</v>
      </c>
      <c r="G322" s="35">
        <f t="shared" si="22"/>
        <v>8141.0090031317832</v>
      </c>
      <c r="H322" s="36">
        <f t="shared" si="23"/>
        <v>90.182225243199355</v>
      </c>
      <c r="I322" s="36">
        <f t="shared" si="24"/>
        <v>8132.8337498151432</v>
      </c>
    </row>
    <row r="323" spans="3:9" x14ac:dyDescent="0.25">
      <c r="C323" s="41">
        <v>1485.14</v>
      </c>
      <c r="D323" s="41">
        <v>5044.24</v>
      </c>
      <c r="E323" s="34">
        <f t="shared" si="20"/>
        <v>7945.1371571069412</v>
      </c>
      <c r="F323" s="35">
        <f t="shared" si="21"/>
        <v>5134.8223940998314</v>
      </c>
      <c r="G323" s="35">
        <f t="shared" si="22"/>
        <v>8148.4373695594295</v>
      </c>
      <c r="H323" s="36">
        <f t="shared" si="23"/>
        <v>90.582394099831617</v>
      </c>
      <c r="I323" s="36">
        <f t="shared" si="24"/>
        <v>8205.1701208572103</v>
      </c>
    </row>
    <row r="324" spans="3:9" x14ac:dyDescent="0.25">
      <c r="C324" s="41">
        <v>1489.14</v>
      </c>
      <c r="D324" s="41">
        <v>5060.16</v>
      </c>
      <c r="E324" s="34">
        <f t="shared" si="20"/>
        <v>7960.0000000000364</v>
      </c>
      <c r="F324" s="35">
        <f t="shared" si="21"/>
        <v>5151.1266843089716</v>
      </c>
      <c r="G324" s="35">
        <f t="shared" si="22"/>
        <v>8155.8539641506713</v>
      </c>
      <c r="H324" s="36">
        <f t="shared" si="23"/>
        <v>90.966684308971708</v>
      </c>
      <c r="I324" s="36">
        <f t="shared" si="24"/>
        <v>8274.9376541681195</v>
      </c>
    </row>
    <row r="325" spans="3:9" x14ac:dyDescent="0.25">
      <c r="C325" s="41">
        <v>1493.11</v>
      </c>
      <c r="D325" s="41">
        <v>5075.96</v>
      </c>
      <c r="E325" s="34">
        <f t="shared" si="20"/>
        <v>7959.6977329979736</v>
      </c>
      <c r="F325" s="35">
        <f t="shared" si="21"/>
        <v>5167.3233657148685</v>
      </c>
      <c r="G325" s="35">
        <f t="shared" si="22"/>
        <v>8163.2216089956892</v>
      </c>
      <c r="H325" s="36">
        <f t="shared" si="23"/>
        <v>91.363365714868451</v>
      </c>
      <c r="I325" s="36">
        <f t="shared" si="24"/>
        <v>8347.2645947487999</v>
      </c>
    </row>
    <row r="326" spans="3:9" x14ac:dyDescent="0.25">
      <c r="C326" s="41">
        <v>1497.07</v>
      </c>
      <c r="D326" s="41">
        <v>5091.76</v>
      </c>
      <c r="E326" s="34">
        <f t="shared" si="20"/>
        <v>7979.7979797979979</v>
      </c>
      <c r="F326" s="35">
        <f t="shared" si="21"/>
        <v>5183.4938255673906</v>
      </c>
      <c r="G326" s="35">
        <f t="shared" si="22"/>
        <v>8170.5773260211918</v>
      </c>
      <c r="H326" s="36">
        <f t="shared" si="23"/>
        <v>91.73382556739034</v>
      </c>
      <c r="I326" s="36">
        <f t="shared" si="24"/>
        <v>8415.0947532283972</v>
      </c>
    </row>
    <row r="327" spans="3:9" x14ac:dyDescent="0.25">
      <c r="C327" s="41">
        <v>1501.04</v>
      </c>
      <c r="D327" s="41">
        <v>5107.55</v>
      </c>
      <c r="E327" s="34">
        <f t="shared" si="20"/>
        <v>7954.6599496220933</v>
      </c>
      <c r="F327" s="35">
        <f t="shared" si="21"/>
        <v>5199.7197460453071</v>
      </c>
      <c r="G327" s="35">
        <f t="shared" si="22"/>
        <v>8177.9582713129403</v>
      </c>
      <c r="H327" s="36">
        <f t="shared" si="23"/>
        <v>92.169746045306965</v>
      </c>
      <c r="I327" s="36">
        <f t="shared" si="24"/>
        <v>8495.2620860563784</v>
      </c>
    </row>
    <row r="328" spans="3:9" x14ac:dyDescent="0.25">
      <c r="C328" s="41">
        <v>1505.01</v>
      </c>
      <c r="D328" s="41">
        <v>5123.3500000000004</v>
      </c>
      <c r="E328" s="34">
        <f t="shared" si="20"/>
        <v>7959.697732997518</v>
      </c>
      <c r="F328" s="35">
        <f t="shared" si="21"/>
        <v>5215.9603243162492</v>
      </c>
      <c r="G328" s="35">
        <f t="shared" si="22"/>
        <v>8185.3458842306363</v>
      </c>
      <c r="H328" s="36">
        <f t="shared" si="23"/>
        <v>92.610324316248807</v>
      </c>
      <c r="I328" s="36">
        <f t="shared" si="24"/>
        <v>8576.6721699607842</v>
      </c>
    </row>
    <row r="329" spans="3:9" x14ac:dyDescent="0.25">
      <c r="C329" s="41">
        <v>1508.98</v>
      </c>
      <c r="D329" s="41">
        <v>5139.1499999999996</v>
      </c>
      <c r="E329" s="34">
        <f t="shared" ref="E329:E392" si="25">IF(C329="","",2*(D329-D328)/((C329-C328)/1000))</f>
        <v>7959.6977329970596</v>
      </c>
      <c r="F329" s="35">
        <f t="shared" ref="F329:F392" si="26">IF(C329="","",F$7+(F$9/F$10)*(EXP(F$10*(C329-F$8)/2000)-1))</f>
        <v>5232.2155736214327</v>
      </c>
      <c r="G329" s="35">
        <f t="shared" ref="G329:G392" si="27">IF(E329="","",F$9+(F329-F$7)*F$10)</f>
        <v>8192.7401707975259</v>
      </c>
      <c r="H329" s="36">
        <f t="shared" ref="H329:H392" si="28">IF(F329="","",F329-D329)</f>
        <v>93.065573621433032</v>
      </c>
      <c r="I329" s="36">
        <f t="shared" ref="I329:I392" si="29">IF(H329="","",H329^2)</f>
        <v>8661.2009934863709</v>
      </c>
    </row>
    <row r="330" spans="3:9" x14ac:dyDescent="0.25">
      <c r="C330" s="41">
        <v>1512.95</v>
      </c>
      <c r="D330" s="41">
        <v>5154.95</v>
      </c>
      <c r="E330" s="34">
        <f t="shared" si="25"/>
        <v>7959.697732997518</v>
      </c>
      <c r="F330" s="35">
        <f t="shared" si="26"/>
        <v>5248.4855072140354</v>
      </c>
      <c r="G330" s="35">
        <f t="shared" si="27"/>
        <v>8200.1411370422938</v>
      </c>
      <c r="H330" s="36">
        <f t="shared" si="28"/>
        <v>93.535507214035533</v>
      </c>
      <c r="I330" s="36">
        <f t="shared" si="29"/>
        <v>8748.8911097868931</v>
      </c>
    </row>
    <row r="331" spans="3:9" x14ac:dyDescent="0.25">
      <c r="C331" s="41">
        <v>1516.89</v>
      </c>
      <c r="D331" s="41">
        <v>5170.6400000000003</v>
      </c>
      <c r="E331" s="34">
        <f t="shared" si="25"/>
        <v>7964.4670050762907</v>
      </c>
      <c r="F331" s="35">
        <f t="shared" si="26"/>
        <v>5264.6470255473869</v>
      </c>
      <c r="G331" s="35">
        <f t="shared" si="27"/>
        <v>8207.4927866952312</v>
      </c>
      <c r="H331" s="36">
        <f t="shared" si="28"/>
        <v>94.007025547386547</v>
      </c>
      <c r="I331" s="36">
        <f t="shared" si="29"/>
        <v>8837.3208522669865</v>
      </c>
    </row>
    <row r="332" spans="3:9" x14ac:dyDescent="0.25">
      <c r="C332" s="41">
        <v>1520.8</v>
      </c>
      <c r="D332" s="41">
        <v>5186.34</v>
      </c>
      <c r="E332" s="34">
        <f t="shared" si="25"/>
        <v>8030.6905370846043</v>
      </c>
      <c r="F332" s="35">
        <f t="shared" si="26"/>
        <v>5280.6998107766576</v>
      </c>
      <c r="G332" s="35">
        <f t="shared" si="27"/>
        <v>8214.7949751731467</v>
      </c>
      <c r="H332" s="36">
        <f t="shared" si="28"/>
        <v>94.359810776657469</v>
      </c>
      <c r="I332" s="36">
        <f t="shared" si="29"/>
        <v>8903.7738898066036</v>
      </c>
    </row>
    <row r="333" spans="3:9" x14ac:dyDescent="0.25">
      <c r="C333" s="41">
        <v>1524.57</v>
      </c>
      <c r="D333" s="41">
        <v>5202.04</v>
      </c>
      <c r="E333" s="34">
        <f t="shared" si="25"/>
        <v>8328.9124668434451</v>
      </c>
      <c r="F333" s="35">
        <f t="shared" si="26"/>
        <v>5296.1913400409958</v>
      </c>
      <c r="G333" s="35">
        <f t="shared" si="27"/>
        <v>8221.8418561276794</v>
      </c>
      <c r="H333" s="36">
        <f t="shared" si="28"/>
        <v>94.151340040995819</v>
      </c>
      <c r="I333" s="36">
        <f t="shared" si="29"/>
        <v>8864.4748315152228</v>
      </c>
    </row>
    <row r="334" spans="3:9" x14ac:dyDescent="0.25">
      <c r="C334" s="41">
        <v>1528.33</v>
      </c>
      <c r="D334" s="41">
        <v>5217.74</v>
      </c>
      <c r="E334" s="34">
        <f t="shared" si="25"/>
        <v>8351.0638297871574</v>
      </c>
      <c r="F334" s="35">
        <f t="shared" si="26"/>
        <v>5311.6550139454203</v>
      </c>
      <c r="G334" s="35">
        <f t="shared" si="27"/>
        <v>8228.8760660668522</v>
      </c>
      <c r="H334" s="36">
        <f t="shared" si="28"/>
        <v>93.915013945420469</v>
      </c>
      <c r="I334" s="36">
        <f t="shared" si="29"/>
        <v>8820.0298443685206</v>
      </c>
    </row>
    <row r="335" spans="3:9" x14ac:dyDescent="0.25">
      <c r="C335" s="41">
        <v>1532.09</v>
      </c>
      <c r="D335" s="41">
        <v>5233.43</v>
      </c>
      <c r="E335" s="34">
        <f t="shared" si="25"/>
        <v>8345.744680851356</v>
      </c>
      <c r="F335" s="35">
        <f t="shared" si="26"/>
        <v>5327.1319178207668</v>
      </c>
      <c r="G335" s="35">
        <f t="shared" si="27"/>
        <v>8235.9162941355789</v>
      </c>
      <c r="H335" s="36">
        <f t="shared" si="28"/>
        <v>93.701917820766539</v>
      </c>
      <c r="I335" s="36">
        <f t="shared" si="29"/>
        <v>8780.0494032896859</v>
      </c>
    </row>
    <row r="336" spans="3:9" x14ac:dyDescent="0.25">
      <c r="C336" s="41">
        <v>1535.86</v>
      </c>
      <c r="D336" s="41">
        <v>5249.13</v>
      </c>
      <c r="E336" s="34">
        <f t="shared" si="25"/>
        <v>8328.9124668434451</v>
      </c>
      <c r="F336" s="35">
        <f t="shared" si="26"/>
        <v>5342.663277845556</v>
      </c>
      <c r="G336" s="35">
        <f t="shared" si="27"/>
        <v>8242.9812935484279</v>
      </c>
      <c r="H336" s="36">
        <f t="shared" si="28"/>
        <v>93.533277845555858</v>
      </c>
      <c r="I336" s="36">
        <f t="shared" si="29"/>
        <v>8748.4740645339498</v>
      </c>
    </row>
    <row r="337" spans="3:9" x14ac:dyDescent="0.25">
      <c r="C337" s="41">
        <v>1539.62</v>
      </c>
      <c r="D337" s="41">
        <v>5264.8</v>
      </c>
      <c r="E337" s="34">
        <f t="shared" si="25"/>
        <v>8335.1063829787818</v>
      </c>
      <c r="F337" s="35">
        <f t="shared" si="26"/>
        <v>5358.1667108906358</v>
      </c>
      <c r="G337" s="35">
        <f t="shared" si="27"/>
        <v>8250.033589367069</v>
      </c>
      <c r="H337" s="36">
        <f t="shared" si="28"/>
        <v>93.366710890635659</v>
      </c>
      <c r="I337" s="36">
        <f t="shared" si="29"/>
        <v>8717.3427025355431</v>
      </c>
    </row>
    <row r="338" spans="3:9" x14ac:dyDescent="0.25">
      <c r="C338" s="41">
        <v>1543.37</v>
      </c>
      <c r="D338" s="41">
        <v>5280.47</v>
      </c>
      <c r="E338" s="34">
        <f t="shared" si="25"/>
        <v>8357.3333333333721</v>
      </c>
      <c r="F338" s="35">
        <f t="shared" si="26"/>
        <v>5373.6421225099912</v>
      </c>
      <c r="G338" s="35">
        <f t="shared" si="27"/>
        <v>8257.0731386293246</v>
      </c>
      <c r="H338" s="36">
        <f t="shared" si="28"/>
        <v>93.172122509990913</v>
      </c>
      <c r="I338" s="36">
        <f t="shared" si="29"/>
        <v>8681.0444130167562</v>
      </c>
    </row>
    <row r="339" spans="3:9" x14ac:dyDescent="0.25">
      <c r="C339" s="41">
        <v>1547.13</v>
      </c>
      <c r="D339" s="41">
        <v>5296.13</v>
      </c>
      <c r="E339" s="34">
        <f t="shared" si="25"/>
        <v>8329.7872340419926</v>
      </c>
      <c r="F339" s="35">
        <f t="shared" si="26"/>
        <v>5389.1720595551305</v>
      </c>
      <c r="G339" s="35">
        <f t="shared" si="27"/>
        <v>8264.1374907485442</v>
      </c>
      <c r="H339" s="36">
        <f t="shared" si="28"/>
        <v>93.042059555130436</v>
      </c>
      <c r="I339" s="36">
        <f t="shared" si="29"/>
        <v>8656.8248462604388</v>
      </c>
    </row>
    <row r="340" spans="3:9" x14ac:dyDescent="0.25">
      <c r="C340" s="41">
        <v>1550.89</v>
      </c>
      <c r="D340" s="41">
        <v>5311.8</v>
      </c>
      <c r="E340" s="34">
        <f t="shared" si="25"/>
        <v>8335.1063829787818</v>
      </c>
      <c r="F340" s="35">
        <f t="shared" si="26"/>
        <v>5404.7152832627262</v>
      </c>
      <c r="G340" s="35">
        <f t="shared" si="27"/>
        <v>8271.2078867855089</v>
      </c>
      <c r="H340" s="36">
        <f t="shared" si="28"/>
        <v>92.915283262726007</v>
      </c>
      <c r="I340" s="36">
        <f t="shared" si="29"/>
        <v>8633.249863792611</v>
      </c>
    </row>
    <row r="341" spans="3:9" x14ac:dyDescent="0.25">
      <c r="C341" s="41">
        <v>1554.64</v>
      </c>
      <c r="D341" s="41">
        <v>5327.47</v>
      </c>
      <c r="E341" s="34">
        <f t="shared" si="25"/>
        <v>8357.3333333333721</v>
      </c>
      <c r="F341" s="35">
        <f t="shared" si="26"/>
        <v>5420.2304136256171</v>
      </c>
      <c r="G341" s="35">
        <f t="shared" si="27"/>
        <v>8278.2655035511452</v>
      </c>
      <c r="H341" s="36">
        <f t="shared" si="28"/>
        <v>92.76041362561682</v>
      </c>
      <c r="I341" s="36">
        <f t="shared" si="29"/>
        <v>8604.4943359955178</v>
      </c>
    </row>
    <row r="342" spans="3:9" x14ac:dyDescent="0.25">
      <c r="C342" s="41">
        <v>1558.4</v>
      </c>
      <c r="D342" s="41">
        <v>5343.13</v>
      </c>
      <c r="E342" s="34">
        <f t="shared" si="25"/>
        <v>8329.7872340424965</v>
      </c>
      <c r="F342" s="35">
        <f t="shared" si="26"/>
        <v>5435.8002093576733</v>
      </c>
      <c r="G342" s="35">
        <f t="shared" si="27"/>
        <v>8285.347986832041</v>
      </c>
      <c r="H342" s="36">
        <f t="shared" si="28"/>
        <v>92.67020935767323</v>
      </c>
      <c r="I342" s="36">
        <f t="shared" si="29"/>
        <v>8587.7677023949873</v>
      </c>
    </row>
    <row r="343" spans="3:9" x14ac:dyDescent="0.25">
      <c r="C343" s="41">
        <v>1562.14</v>
      </c>
      <c r="D343" s="41">
        <v>5358.73</v>
      </c>
      <c r="E343" s="34">
        <f t="shared" si="25"/>
        <v>8342.2459893045016</v>
      </c>
      <c r="F343" s="35">
        <f t="shared" si="26"/>
        <v>5451.3004016766581</v>
      </c>
      <c r="G343" s="35">
        <f t="shared" si="27"/>
        <v>8292.3988084895063</v>
      </c>
      <c r="H343" s="36">
        <f t="shared" si="28"/>
        <v>92.570401676658548</v>
      </c>
      <c r="I343" s="36">
        <f t="shared" si="29"/>
        <v>8569.279266577907</v>
      </c>
    </row>
    <row r="344" spans="3:9" x14ac:dyDescent="0.25">
      <c r="C344" s="41">
        <v>1565.88</v>
      </c>
      <c r="D344" s="41">
        <v>5374.31</v>
      </c>
      <c r="E344" s="34">
        <f t="shared" si="25"/>
        <v>8331.5508021394653</v>
      </c>
      <c r="F344" s="35">
        <f t="shared" si="26"/>
        <v>5466.8137846415739</v>
      </c>
      <c r="G344" s="35">
        <f t="shared" si="27"/>
        <v>8299.4556303881345</v>
      </c>
      <c r="H344" s="36">
        <f t="shared" si="28"/>
        <v>92.503784641573475</v>
      </c>
      <c r="I344" s="36">
        <f t="shared" si="29"/>
        <v>8556.9501730146039</v>
      </c>
    </row>
    <row r="345" spans="3:9" x14ac:dyDescent="0.25">
      <c r="C345" s="41">
        <v>1569.61</v>
      </c>
      <c r="D345" s="41">
        <v>5389.89</v>
      </c>
      <c r="E345" s="34">
        <f t="shared" si="25"/>
        <v>8353.8873994642363</v>
      </c>
      <c r="F345" s="35">
        <f t="shared" si="26"/>
        <v>5482.298836932584</v>
      </c>
      <c r="G345" s="35">
        <f t="shared" si="27"/>
        <v>8306.4995650576875</v>
      </c>
      <c r="H345" s="36">
        <f t="shared" si="28"/>
        <v>92.408836932583654</v>
      </c>
      <c r="I345" s="36">
        <f t="shared" si="29"/>
        <v>8539.3931432328372</v>
      </c>
    </row>
    <row r="346" spans="3:9" x14ac:dyDescent="0.25">
      <c r="C346" s="41">
        <v>1573.35</v>
      </c>
      <c r="D346" s="41">
        <v>5405.46</v>
      </c>
      <c r="E346" s="34">
        <f t="shared" si="25"/>
        <v>8326.2032085559749</v>
      </c>
      <c r="F346" s="35">
        <f t="shared" si="26"/>
        <v>5497.8385995304379</v>
      </c>
      <c r="G346" s="35">
        <f t="shared" si="27"/>
        <v>8313.5683866840227</v>
      </c>
      <c r="H346" s="36">
        <f t="shared" si="28"/>
        <v>92.378599530437896</v>
      </c>
      <c r="I346" s="36">
        <f t="shared" si="29"/>
        <v>8533.8056512050207</v>
      </c>
    </row>
    <row r="347" spans="3:9" x14ac:dyDescent="0.25">
      <c r="C347" s="41">
        <v>1577.08</v>
      </c>
      <c r="D347" s="41">
        <v>5421.04</v>
      </c>
      <c r="E347" s="34">
        <f t="shared" si="25"/>
        <v>8353.887399463727</v>
      </c>
      <c r="F347" s="35">
        <f t="shared" si="26"/>
        <v>5513.3499832796733</v>
      </c>
      <c r="G347" s="35">
        <f t="shared" si="27"/>
        <v>8320.6242991672771</v>
      </c>
      <c r="H347" s="36">
        <f t="shared" si="28"/>
        <v>92.309983279673361</v>
      </c>
      <c r="I347" s="36">
        <f t="shared" si="29"/>
        <v>8521.1330130935748</v>
      </c>
    </row>
    <row r="348" spans="3:9" x14ac:dyDescent="0.25">
      <c r="C348" s="41">
        <v>1580.82</v>
      </c>
      <c r="D348" s="41">
        <v>5436.62</v>
      </c>
      <c r="E348" s="34">
        <f t="shared" si="25"/>
        <v>8331.5508021389778</v>
      </c>
      <c r="F348" s="35">
        <f t="shared" si="26"/>
        <v>5528.9161703675409</v>
      </c>
      <c r="G348" s="35">
        <f t="shared" si="27"/>
        <v>8327.7051409261803</v>
      </c>
      <c r="H348" s="36">
        <f t="shared" si="28"/>
        <v>92.296170367540981</v>
      </c>
      <c r="I348" s="36">
        <f t="shared" si="29"/>
        <v>8518.5830645141505</v>
      </c>
    </row>
    <row r="349" spans="3:9" x14ac:dyDescent="0.25">
      <c r="C349" s="41">
        <v>1584.52</v>
      </c>
      <c r="D349" s="41">
        <v>5452.06</v>
      </c>
      <c r="E349" s="34">
        <f t="shared" si="25"/>
        <v>8345.9459459461195</v>
      </c>
      <c r="F349" s="35">
        <f t="shared" si="26"/>
        <v>5544.3289091809165</v>
      </c>
      <c r="G349" s="35">
        <f t="shared" si="27"/>
        <v>8334.7161812016675</v>
      </c>
      <c r="H349" s="36">
        <f t="shared" si="28"/>
        <v>92.268909180916125</v>
      </c>
      <c r="I349" s="36">
        <f t="shared" si="29"/>
        <v>8513.5516014361474</v>
      </c>
    </row>
    <row r="350" spans="3:9" x14ac:dyDescent="0.25">
      <c r="C350" s="41">
        <v>1588.21</v>
      </c>
      <c r="D350" s="41">
        <v>5467.45</v>
      </c>
      <c r="E350" s="34">
        <f t="shared" si="25"/>
        <v>8341.4634146337066</v>
      </c>
      <c r="F350" s="35">
        <f t="shared" si="26"/>
        <v>5559.7129152597063</v>
      </c>
      <c r="G350" s="35">
        <f t="shared" si="27"/>
        <v>8341.714151356271</v>
      </c>
      <c r="H350" s="36">
        <f t="shared" si="28"/>
        <v>92.26291525970646</v>
      </c>
      <c r="I350" s="36">
        <f t="shared" si="29"/>
        <v>8512.4455322197755</v>
      </c>
    </row>
    <row r="351" spans="3:9" x14ac:dyDescent="0.25">
      <c r="C351" s="41">
        <v>1591.9</v>
      </c>
      <c r="D351" s="41">
        <v>5482.84</v>
      </c>
      <c r="E351" s="34">
        <f t="shared" si="25"/>
        <v>8341.4634146341996</v>
      </c>
      <c r="F351" s="35">
        <f t="shared" si="26"/>
        <v>5575.109838012927</v>
      </c>
      <c r="G351" s="35">
        <f t="shared" si="27"/>
        <v>8348.7179971262212</v>
      </c>
      <c r="H351" s="36">
        <f t="shared" si="28"/>
        <v>92.269838012926812</v>
      </c>
      <c r="I351" s="36">
        <f t="shared" si="29"/>
        <v>8513.7230069317538</v>
      </c>
    </row>
    <row r="352" spans="3:9" x14ac:dyDescent="0.25">
      <c r="C352" s="41">
        <v>1595.59</v>
      </c>
      <c r="D352" s="41">
        <v>5498.23</v>
      </c>
      <c r="E352" s="34">
        <f t="shared" si="25"/>
        <v>8341.4634146342214</v>
      </c>
      <c r="F352" s="35">
        <f t="shared" si="26"/>
        <v>5590.519688285638</v>
      </c>
      <c r="G352" s="35">
        <f t="shared" si="27"/>
        <v>8355.7277234447811</v>
      </c>
      <c r="H352" s="36">
        <f t="shared" si="28"/>
        <v>92.289688285638476</v>
      </c>
      <c r="I352" s="36">
        <f t="shared" si="29"/>
        <v>8517.3865638603165</v>
      </c>
    </row>
    <row r="353" spans="3:9" x14ac:dyDescent="0.25">
      <c r="C353" s="41">
        <v>1599.29</v>
      </c>
      <c r="D353" s="41">
        <v>5513.62</v>
      </c>
      <c r="E353" s="34">
        <f t="shared" si="25"/>
        <v>8318.9189189189947</v>
      </c>
      <c r="F353" s="35">
        <f t="shared" si="26"/>
        <v>5605.9842906962367</v>
      </c>
      <c r="G353" s="35">
        <f t="shared" si="27"/>
        <v>8362.762355748484</v>
      </c>
      <c r="H353" s="36">
        <f t="shared" si="28"/>
        <v>92.364290696236822</v>
      </c>
      <c r="I353" s="36">
        <f t="shared" si="29"/>
        <v>8531.1621958189407</v>
      </c>
    </row>
    <row r="354" spans="3:9" x14ac:dyDescent="0.25">
      <c r="C354" s="41">
        <v>1602.98</v>
      </c>
      <c r="D354" s="41">
        <v>5529.01</v>
      </c>
      <c r="E354" s="34">
        <f t="shared" si="25"/>
        <v>8341.4634146341996</v>
      </c>
      <c r="F354" s="35">
        <f t="shared" si="26"/>
        <v>5621.4200636870992</v>
      </c>
      <c r="G354" s="35">
        <f t="shared" si="27"/>
        <v>8369.7838739505751</v>
      </c>
      <c r="H354" s="36">
        <f t="shared" si="28"/>
        <v>92.410063687098955</v>
      </c>
      <c r="I354" s="36">
        <f t="shared" si="29"/>
        <v>8539.6198706536852</v>
      </c>
    </row>
    <row r="355" spans="3:9" x14ac:dyDescent="0.25">
      <c r="C355" s="41">
        <v>1606.64</v>
      </c>
      <c r="D355" s="41">
        <v>5544.28</v>
      </c>
      <c r="E355" s="34">
        <f t="shared" si="25"/>
        <v>8344.2622950815221</v>
      </c>
      <c r="F355" s="35">
        <f t="shared" si="26"/>
        <v>5636.7431450761451</v>
      </c>
      <c r="G355" s="35">
        <f t="shared" si="27"/>
        <v>8376.754130312147</v>
      </c>
      <c r="H355" s="36">
        <f t="shared" si="28"/>
        <v>92.463145076145338</v>
      </c>
      <c r="I355" s="36">
        <f t="shared" si="29"/>
        <v>8549.4331973723001</v>
      </c>
    </row>
    <row r="356" spans="3:9" x14ac:dyDescent="0.25">
      <c r="C356" s="41">
        <v>1610.28</v>
      </c>
      <c r="D356" s="41">
        <v>5559.48</v>
      </c>
      <c r="E356" s="34">
        <f t="shared" si="25"/>
        <v>8351.6483516485441</v>
      </c>
      <c r="F356" s="35">
        <f t="shared" si="26"/>
        <v>5651.9951502337053</v>
      </c>
      <c r="G356" s="35">
        <f t="shared" si="27"/>
        <v>8383.6920550856976</v>
      </c>
      <c r="H356" s="36">
        <f t="shared" si="28"/>
        <v>92.515150233705754</v>
      </c>
      <c r="I356" s="36">
        <f t="shared" si="29"/>
        <v>8559.0530227651452</v>
      </c>
    </row>
    <row r="357" spans="3:9" x14ac:dyDescent="0.25">
      <c r="C357" s="41">
        <v>1613.93</v>
      </c>
      <c r="D357" s="41">
        <v>5574.67</v>
      </c>
      <c r="E357" s="34">
        <f t="shared" si="25"/>
        <v>8323.2876712329489</v>
      </c>
      <c r="F357" s="35">
        <f t="shared" si="26"/>
        <v>5667.3017408690457</v>
      </c>
      <c r="G357" s="35">
        <f t="shared" si="27"/>
        <v>8390.6548100330292</v>
      </c>
      <c r="H357" s="36">
        <f t="shared" si="28"/>
        <v>92.631740869045643</v>
      </c>
      <c r="I357" s="36">
        <f t="shared" si="29"/>
        <v>8580.63941643002</v>
      </c>
    </row>
    <row r="358" spans="3:9" x14ac:dyDescent="0.25">
      <c r="C358" s="41">
        <v>1617.57</v>
      </c>
      <c r="D358" s="41">
        <v>5589.87</v>
      </c>
      <c r="E358" s="34">
        <f t="shared" si="25"/>
        <v>8351.6483516485441</v>
      </c>
      <c r="F358" s="35">
        <f t="shared" si="26"/>
        <v>5682.5790557391147</v>
      </c>
      <c r="G358" s="35">
        <f t="shared" si="27"/>
        <v>8397.6042478423824</v>
      </c>
      <c r="H358" s="36">
        <f t="shared" si="28"/>
        <v>92.709055739114774</v>
      </c>
      <c r="I358" s="36">
        <f t="shared" si="29"/>
        <v>8594.9690160382906</v>
      </c>
    </row>
    <row r="359" spans="3:9" x14ac:dyDescent="0.25">
      <c r="C359" s="41">
        <v>1621.14</v>
      </c>
      <c r="D359" s="41">
        <v>5605.06</v>
      </c>
      <c r="E359" s="34">
        <f t="shared" si="25"/>
        <v>8509.8039215685221</v>
      </c>
      <c r="F359" s="35">
        <f t="shared" si="26"/>
        <v>5697.5748665842248</v>
      </c>
      <c r="G359" s="35">
        <f t="shared" si="27"/>
        <v>8404.4256333905105</v>
      </c>
      <c r="H359" s="36">
        <f t="shared" si="28"/>
        <v>92.514866584224364</v>
      </c>
      <c r="I359" s="36">
        <f t="shared" si="29"/>
        <v>8559.0005390968345</v>
      </c>
    </row>
    <row r="360" spans="3:9" x14ac:dyDescent="0.25">
      <c r="C360" s="41">
        <v>1624.56</v>
      </c>
      <c r="D360" s="41">
        <v>5620.26</v>
      </c>
      <c r="E360" s="34">
        <f t="shared" si="25"/>
        <v>8888.8888888891834</v>
      </c>
      <c r="F360" s="35">
        <f t="shared" si="26"/>
        <v>5711.9520253661876</v>
      </c>
      <c r="G360" s="35">
        <f t="shared" si="27"/>
        <v>8410.9656027293768</v>
      </c>
      <c r="H360" s="36">
        <f t="shared" si="28"/>
        <v>91.692025366187409</v>
      </c>
      <c r="I360" s="36">
        <f t="shared" si="29"/>
        <v>8407.4275157535558</v>
      </c>
    </row>
    <row r="361" spans="3:9" x14ac:dyDescent="0.25">
      <c r="C361" s="41">
        <v>1627.97</v>
      </c>
      <c r="D361" s="41">
        <v>5635.41</v>
      </c>
      <c r="E361" s="34">
        <f t="shared" si="25"/>
        <v>8885.6304985332972</v>
      </c>
      <c r="F361" s="35">
        <f t="shared" si="26"/>
        <v>5726.2982843409191</v>
      </c>
      <c r="G361" s="35">
        <f t="shared" si="27"/>
        <v>8417.4915161761892</v>
      </c>
      <c r="H361" s="36">
        <f t="shared" si="28"/>
        <v>90.888284340919199</v>
      </c>
      <c r="I361" s="36">
        <f t="shared" si="29"/>
        <v>8260.6802304357789</v>
      </c>
    </row>
    <row r="362" spans="3:9" x14ac:dyDescent="0.25">
      <c r="C362" s="41">
        <v>1631.38</v>
      </c>
      <c r="D362" s="41">
        <v>5650.53</v>
      </c>
      <c r="E362" s="34">
        <f t="shared" si="25"/>
        <v>8868.0351906155593</v>
      </c>
      <c r="F362" s="35">
        <f t="shared" si="26"/>
        <v>5740.6556743140136</v>
      </c>
      <c r="G362" s="35">
        <f t="shared" si="27"/>
        <v>8424.0224929591641</v>
      </c>
      <c r="H362" s="36">
        <f t="shared" si="28"/>
        <v>90.12567431401385</v>
      </c>
      <c r="I362" s="36">
        <f t="shared" si="29"/>
        <v>8122.6371705556958</v>
      </c>
    </row>
    <row r="363" spans="3:9" x14ac:dyDescent="0.25">
      <c r="C363" s="41">
        <v>1634.78</v>
      </c>
      <c r="D363" s="41">
        <v>5665.64</v>
      </c>
      <c r="E363" s="34">
        <f t="shared" si="25"/>
        <v>8888.2352941183453</v>
      </c>
      <c r="F363" s="35">
        <f t="shared" si="26"/>
        <v>5754.9820511770558</v>
      </c>
      <c r="G363" s="35">
        <f t="shared" si="27"/>
        <v>8430.5393623102136</v>
      </c>
      <c r="H363" s="36">
        <f t="shared" si="28"/>
        <v>89.342051177055509</v>
      </c>
      <c r="I363" s="36">
        <f t="shared" si="29"/>
        <v>7982.0021085236058</v>
      </c>
    </row>
    <row r="364" spans="3:9" x14ac:dyDescent="0.25">
      <c r="C364" s="41">
        <v>1638.19</v>
      </c>
      <c r="D364" s="41">
        <v>5680.75</v>
      </c>
      <c r="E364" s="34">
        <f t="shared" si="25"/>
        <v>8862.1700879761356</v>
      </c>
      <c r="F364" s="35">
        <f t="shared" si="26"/>
        <v>5769.3616963570466</v>
      </c>
      <c r="G364" s="35">
        <f t="shared" si="27"/>
        <v>8437.0804626769204</v>
      </c>
      <c r="H364" s="36">
        <f t="shared" si="28"/>
        <v>88.61169635704664</v>
      </c>
      <c r="I364" s="36">
        <f t="shared" si="29"/>
        <v>7852.0327312734325</v>
      </c>
    </row>
    <row r="365" spans="3:9" x14ac:dyDescent="0.25">
      <c r="C365" s="41">
        <v>1641.59</v>
      </c>
      <c r="D365" s="41">
        <v>5695.87</v>
      </c>
      <c r="E365" s="34">
        <f t="shared" si="25"/>
        <v>8894.1176470591163</v>
      </c>
      <c r="F365" s="35">
        <f t="shared" si="26"/>
        <v>5783.7102803539628</v>
      </c>
      <c r="G365" s="35">
        <f t="shared" si="27"/>
        <v>8443.6074337439495</v>
      </c>
      <c r="H365" s="36">
        <f t="shared" si="28"/>
        <v>87.840280353962953</v>
      </c>
      <c r="I365" s="36">
        <f t="shared" si="29"/>
        <v>7715.9148526628096</v>
      </c>
    </row>
    <row r="366" spans="3:9" x14ac:dyDescent="0.25">
      <c r="C366" s="41">
        <v>1645</v>
      </c>
      <c r="D366" s="41">
        <v>5710.98</v>
      </c>
      <c r="E366" s="34">
        <f t="shared" si="25"/>
        <v>8862.1700879761356</v>
      </c>
      <c r="F366" s="35">
        <f t="shared" si="26"/>
        <v>5798.1122152383641</v>
      </c>
      <c r="G366" s="35">
        <f t="shared" si="27"/>
        <v>8450.1586733868244</v>
      </c>
      <c r="H366" s="36">
        <f t="shared" si="28"/>
        <v>87.132215238364552</v>
      </c>
      <c r="I366" s="36">
        <f t="shared" si="29"/>
        <v>7592.0229323446874</v>
      </c>
    </row>
    <row r="367" spans="3:9" x14ac:dyDescent="0.25">
      <c r="C367" s="41">
        <v>1648.41</v>
      </c>
      <c r="D367" s="41">
        <v>5726.14</v>
      </c>
      <c r="E367" s="34">
        <f t="shared" si="25"/>
        <v>8891.4956011732556</v>
      </c>
      <c r="F367" s="35">
        <f t="shared" si="26"/>
        <v>5812.5253243190427</v>
      </c>
      <c r="G367" s="35">
        <f t="shared" si="27"/>
        <v>8456.714996015995</v>
      </c>
      <c r="H367" s="36">
        <f t="shared" si="28"/>
        <v>86.385324319042411</v>
      </c>
      <c r="I367" s="36">
        <f t="shared" si="29"/>
        <v>7462.4242577061405</v>
      </c>
    </row>
    <row r="368" spans="3:9" x14ac:dyDescent="0.25">
      <c r="C368" s="41">
        <v>1651.83</v>
      </c>
      <c r="D368" s="41">
        <v>5741.35</v>
      </c>
      <c r="E368" s="34">
        <f t="shared" si="25"/>
        <v>8894.7368421056872</v>
      </c>
      <c r="F368" s="35">
        <f t="shared" si="26"/>
        <v>5826.9919326960016</v>
      </c>
      <c r="G368" s="35">
        <f t="shared" si="27"/>
        <v>8463.2956547301055</v>
      </c>
      <c r="H368" s="36">
        <f t="shared" si="28"/>
        <v>85.641932696001277</v>
      </c>
      <c r="I368" s="36">
        <f t="shared" si="29"/>
        <v>7334.5406359064127</v>
      </c>
    </row>
    <row r="369" spans="3:9" x14ac:dyDescent="0.25">
      <c r="C369" s="41">
        <v>1655.26</v>
      </c>
      <c r="D369" s="41">
        <v>5756.56</v>
      </c>
      <c r="E369" s="34">
        <f t="shared" si="25"/>
        <v>8868.8046647228894</v>
      </c>
      <c r="F369" s="35">
        <f t="shared" si="26"/>
        <v>5841.5121478324027</v>
      </c>
      <c r="G369" s="35">
        <f t="shared" si="27"/>
        <v>8469.9006984126536</v>
      </c>
      <c r="H369" s="36">
        <f t="shared" si="28"/>
        <v>84.952147832402261</v>
      </c>
      <c r="I369" s="36">
        <f t="shared" si="29"/>
        <v>7216.8674213383283</v>
      </c>
    </row>
    <row r="370" spans="3:9" x14ac:dyDescent="0.25">
      <c r="C370" s="41">
        <v>1658.69</v>
      </c>
      <c r="D370" s="41">
        <v>5771.77</v>
      </c>
      <c r="E370" s="34">
        <f t="shared" si="25"/>
        <v>8868.8046647228894</v>
      </c>
      <c r="F370" s="35">
        <f t="shared" si="26"/>
        <v>5856.0436950383846</v>
      </c>
      <c r="G370" s="35">
        <f t="shared" si="27"/>
        <v>8476.510896895863</v>
      </c>
      <c r="H370" s="36">
        <f t="shared" si="28"/>
        <v>84.273695038384176</v>
      </c>
      <c r="I370" s="36">
        <f t="shared" si="29"/>
        <v>7102.0556754225772</v>
      </c>
    </row>
    <row r="371" spans="3:9" x14ac:dyDescent="0.25">
      <c r="C371" s="41">
        <v>1662.11</v>
      </c>
      <c r="D371" s="41">
        <v>5786.98</v>
      </c>
      <c r="E371" s="34">
        <f t="shared" si="25"/>
        <v>8894.7368421051542</v>
      </c>
      <c r="F371" s="35">
        <f t="shared" si="26"/>
        <v>5870.5441675748489</v>
      </c>
      <c r="G371" s="35">
        <f t="shared" si="27"/>
        <v>8483.1069599446</v>
      </c>
      <c r="H371" s="36">
        <f t="shared" si="28"/>
        <v>83.564167574849307</v>
      </c>
      <c r="I371" s="36">
        <f t="shared" si="29"/>
        <v>6982.9701024774968</v>
      </c>
    </row>
    <row r="372" spans="3:9" x14ac:dyDescent="0.25">
      <c r="C372" s="41">
        <v>1665.54</v>
      </c>
      <c r="D372" s="41">
        <v>5802.19</v>
      </c>
      <c r="E372" s="34">
        <f t="shared" si="25"/>
        <v>8868.8046647228894</v>
      </c>
      <c r="F372" s="35">
        <f t="shared" si="26"/>
        <v>5885.0983723561321</v>
      </c>
      <c r="G372" s="35">
        <f t="shared" si="27"/>
        <v>8489.7274650433246</v>
      </c>
      <c r="H372" s="36">
        <f t="shared" si="28"/>
        <v>82.908372356132531</v>
      </c>
      <c r="I372" s="36">
        <f t="shared" si="29"/>
        <v>6873.7982067431212</v>
      </c>
    </row>
    <row r="373" spans="3:9" x14ac:dyDescent="0.25">
      <c r="C373" s="41">
        <v>1668.97</v>
      </c>
      <c r="D373" s="41">
        <v>5817.42</v>
      </c>
      <c r="E373" s="34">
        <f t="shared" si="25"/>
        <v>8880.4664723033184</v>
      </c>
      <c r="F373" s="35">
        <f t="shared" si="26"/>
        <v>5899.6639357336726</v>
      </c>
      <c r="G373" s="35">
        <f t="shared" si="27"/>
        <v>8496.353137009326</v>
      </c>
      <c r="H373" s="36">
        <f t="shared" si="28"/>
        <v>82.243935733672515</v>
      </c>
      <c r="I373" s="36">
        <f t="shared" si="29"/>
        <v>6764.0649649644547</v>
      </c>
    </row>
    <row r="374" spans="3:9" x14ac:dyDescent="0.25">
      <c r="C374" s="41">
        <v>1672.41</v>
      </c>
      <c r="D374" s="41">
        <v>5832.71</v>
      </c>
      <c r="E374" s="34">
        <f t="shared" si="25"/>
        <v>8889.5348837207675</v>
      </c>
      <c r="F374" s="35">
        <f t="shared" si="26"/>
        <v>5914.2833815403528</v>
      </c>
      <c r="G374" s="35">
        <f t="shared" si="27"/>
        <v>8503.0033193420732</v>
      </c>
      <c r="H374" s="36">
        <f t="shared" si="28"/>
        <v>81.573381540352784</v>
      </c>
      <c r="I374" s="36">
        <f t="shared" si="29"/>
        <v>6654.2165759279687</v>
      </c>
    </row>
    <row r="375" spans="3:9" x14ac:dyDescent="0.25">
      <c r="C375" s="41">
        <v>1675.86</v>
      </c>
      <c r="D375" s="41">
        <v>5848</v>
      </c>
      <c r="E375" s="34">
        <f t="shared" si="25"/>
        <v>8863.7681159424756</v>
      </c>
      <c r="F375" s="35">
        <f t="shared" si="26"/>
        <v>5928.9568184784239</v>
      </c>
      <c r="G375" s="35">
        <f t="shared" si="27"/>
        <v>8509.678061488703</v>
      </c>
      <c r="H375" s="36">
        <f t="shared" si="28"/>
        <v>80.956818478423884</v>
      </c>
      <c r="I375" s="36">
        <f t="shared" si="29"/>
        <v>6554.0064581484748</v>
      </c>
    </row>
    <row r="376" spans="3:9" x14ac:dyDescent="0.25">
      <c r="C376" s="41">
        <v>1679.3</v>
      </c>
      <c r="D376" s="41">
        <v>5863.29</v>
      </c>
      <c r="E376" s="34">
        <f t="shared" si="25"/>
        <v>8889.5348837207675</v>
      </c>
      <c r="F376" s="35">
        <f t="shared" si="26"/>
        <v>5943.5991921234572</v>
      </c>
      <c r="G376" s="35">
        <f t="shared" si="27"/>
        <v>8516.3386733758616</v>
      </c>
      <c r="H376" s="36">
        <f t="shared" si="28"/>
        <v>80.309192123457251</v>
      </c>
      <c r="I376" s="36">
        <f t="shared" si="29"/>
        <v>6449.5663395223683</v>
      </c>
    </row>
    <row r="377" spans="3:9" x14ac:dyDescent="0.25">
      <c r="C377" s="41">
        <v>1682.74</v>
      </c>
      <c r="D377" s="41">
        <v>5878.58</v>
      </c>
      <c r="E377" s="34">
        <f t="shared" si="25"/>
        <v>8889.5348837207675</v>
      </c>
      <c r="F377" s="35">
        <f t="shared" si="26"/>
        <v>5958.2530265038113</v>
      </c>
      <c r="G377" s="35">
        <f t="shared" si="27"/>
        <v>8523.0044985919376</v>
      </c>
      <c r="H377" s="36">
        <f t="shared" si="28"/>
        <v>79.673026503811343</v>
      </c>
      <c r="I377" s="36">
        <f t="shared" si="29"/>
        <v>6347.7911522770246</v>
      </c>
    </row>
    <row r="378" spans="3:9" x14ac:dyDescent="0.25">
      <c r="C378" s="41">
        <v>1686.19</v>
      </c>
      <c r="D378" s="41">
        <v>5893.87</v>
      </c>
      <c r="E378" s="34">
        <f t="shared" si="25"/>
        <v>8863.7681159418917</v>
      </c>
      <c r="F378" s="35">
        <f t="shared" si="26"/>
        <v>5972.9609790161358</v>
      </c>
      <c r="G378" s="35">
        <f t="shared" si="27"/>
        <v>8529.6949413926923</v>
      </c>
      <c r="H378" s="36">
        <f t="shared" si="28"/>
        <v>79.090979016135861</v>
      </c>
      <c r="I378" s="36">
        <f t="shared" si="29"/>
        <v>6255.3829617308429</v>
      </c>
    </row>
    <row r="379" spans="3:9" x14ac:dyDescent="0.25">
      <c r="C379" s="41">
        <v>1689.63</v>
      </c>
      <c r="D379" s="41">
        <v>5909.16</v>
      </c>
      <c r="E379" s="34">
        <f t="shared" si="25"/>
        <v>8889.5348837207675</v>
      </c>
      <c r="F379" s="35">
        <f t="shared" si="26"/>
        <v>5987.6377951668219</v>
      </c>
      <c r="G379" s="35">
        <f t="shared" si="27"/>
        <v>8536.3712206960863</v>
      </c>
      <c r="H379" s="36">
        <f t="shared" si="28"/>
        <v>78.477795166822034</v>
      </c>
      <c r="I379" s="36">
        <f t="shared" si="29"/>
        <v>6158.7643342456759</v>
      </c>
    </row>
    <row r="380" spans="3:9" x14ac:dyDescent="0.25">
      <c r="C380" s="41">
        <v>1693.07</v>
      </c>
      <c r="D380" s="41">
        <v>5924.44</v>
      </c>
      <c r="E380" s="34">
        <f t="shared" si="25"/>
        <v>8883.7209302328556</v>
      </c>
      <c r="F380" s="35">
        <f t="shared" si="26"/>
        <v>6002.3260990113331</v>
      </c>
      <c r="G380" s="35">
        <f t="shared" si="27"/>
        <v>8543.0527255914458</v>
      </c>
      <c r="H380" s="36">
        <f t="shared" si="28"/>
        <v>77.886099011333499</v>
      </c>
      <c r="I380" s="36">
        <f t="shared" si="29"/>
        <v>6066.2444192032453</v>
      </c>
    </row>
    <row r="381" spans="3:9" x14ac:dyDescent="0.25">
      <c r="C381" s="41">
        <v>1696.52</v>
      </c>
      <c r="D381" s="41">
        <v>5939.73</v>
      </c>
      <c r="E381" s="34">
        <f t="shared" si="25"/>
        <v>8863.7681159418917</v>
      </c>
      <c r="F381" s="35">
        <f t="shared" si="26"/>
        <v>6017.0686482871224</v>
      </c>
      <c r="G381" s="35">
        <f t="shared" si="27"/>
        <v>8549.7589059781676</v>
      </c>
      <c r="H381" s="36">
        <f t="shared" si="28"/>
        <v>77.338648287122851</v>
      </c>
      <c r="I381" s="36">
        <f t="shared" si="29"/>
        <v>5981.2665188792898</v>
      </c>
    </row>
    <row r="382" spans="3:9" x14ac:dyDescent="0.25">
      <c r="C382" s="41">
        <v>1699.96</v>
      </c>
      <c r="D382" s="41">
        <v>5955.02</v>
      </c>
      <c r="E382" s="34">
        <f t="shared" si="25"/>
        <v>8889.5348837212969</v>
      </c>
      <c r="F382" s="35">
        <f t="shared" si="26"/>
        <v>6031.7799879608101</v>
      </c>
      <c r="G382" s="35">
        <f t="shared" si="27"/>
        <v>8556.4508895514609</v>
      </c>
      <c r="H382" s="36">
        <f t="shared" si="28"/>
        <v>76.759987960809667</v>
      </c>
      <c r="I382" s="36">
        <f t="shared" si="29"/>
        <v>5892.0957517436455</v>
      </c>
    </row>
    <row r="383" spans="3:9" x14ac:dyDescent="0.25">
      <c r="C383" s="41">
        <v>1703.4</v>
      </c>
      <c r="D383" s="41">
        <v>5970.31</v>
      </c>
      <c r="E383" s="34">
        <f t="shared" si="25"/>
        <v>8889.5348837207675</v>
      </c>
      <c r="F383" s="35">
        <f t="shared" si="26"/>
        <v>6046.5028423502335</v>
      </c>
      <c r="G383" s="35">
        <f t="shared" si="27"/>
        <v>8563.1481110086097</v>
      </c>
      <c r="H383" s="36">
        <f t="shared" si="28"/>
        <v>76.19284235023315</v>
      </c>
      <c r="I383" s="36">
        <f t="shared" si="29"/>
        <v>5805.3492254074827</v>
      </c>
    </row>
    <row r="384" spans="3:9" x14ac:dyDescent="0.25">
      <c r="C384" s="41">
        <v>1706.85</v>
      </c>
      <c r="D384" s="41">
        <v>5985.6</v>
      </c>
      <c r="E384" s="34">
        <f t="shared" si="25"/>
        <v>8863.7681159424756</v>
      </c>
      <c r="F384" s="35">
        <f t="shared" si="26"/>
        <v>6061.2800697696839</v>
      </c>
      <c r="G384" s="35">
        <f t="shared" si="27"/>
        <v>8569.8700660000159</v>
      </c>
      <c r="H384" s="36">
        <f t="shared" si="28"/>
        <v>75.680069769683541</v>
      </c>
      <c r="I384" s="36">
        <f t="shared" si="29"/>
        <v>5727.4729603441683</v>
      </c>
    </row>
    <row r="385" spans="3:9" x14ac:dyDescent="0.25">
      <c r="C385" s="41">
        <v>1710.29</v>
      </c>
      <c r="D385" s="41">
        <v>6000.88</v>
      </c>
      <c r="E385" s="34">
        <f t="shared" si="25"/>
        <v>8883.7209302322699</v>
      </c>
      <c r="F385" s="35">
        <f t="shared" si="26"/>
        <v>6076.026014174281</v>
      </c>
      <c r="G385" s="35">
        <f t="shared" si="27"/>
        <v>8576.5777907835563</v>
      </c>
      <c r="H385" s="36">
        <f t="shared" si="28"/>
        <v>75.146014174280936</v>
      </c>
      <c r="I385" s="36">
        <f t="shared" si="29"/>
        <v>5646.923446281231</v>
      </c>
    </row>
    <row r="386" spans="3:9" x14ac:dyDescent="0.25">
      <c r="C386" s="41">
        <v>1713.72</v>
      </c>
      <c r="D386" s="41">
        <v>6016.12</v>
      </c>
      <c r="E386" s="34">
        <f t="shared" si="25"/>
        <v>8886.2973760930017</v>
      </c>
      <c r="F386" s="35">
        <f t="shared" si="26"/>
        <v>6090.7405839750718</v>
      </c>
      <c r="G386" s="35">
        <f t="shared" si="27"/>
        <v>8583.271243696694</v>
      </c>
      <c r="H386" s="36">
        <f t="shared" si="28"/>
        <v>74.620583975071895</v>
      </c>
      <c r="I386" s="36">
        <f t="shared" si="29"/>
        <v>5568.2315527807568</v>
      </c>
    </row>
    <row r="387" spans="3:9" x14ac:dyDescent="0.25">
      <c r="C387" s="41">
        <v>1717.15</v>
      </c>
      <c r="D387" s="41">
        <v>6031.35</v>
      </c>
      <c r="E387" s="34">
        <f t="shared" si="25"/>
        <v>8880.4664723033184</v>
      </c>
      <c r="F387" s="35">
        <f t="shared" si="26"/>
        <v>6105.4666375264342</v>
      </c>
      <c r="G387" s="35">
        <f t="shared" si="27"/>
        <v>8589.9699204080644</v>
      </c>
      <c r="H387" s="36">
        <f t="shared" si="28"/>
        <v>74.116637526433806</v>
      </c>
      <c r="I387" s="36">
        <f t="shared" si="29"/>
        <v>5493.2759582247754</v>
      </c>
    </row>
    <row r="388" spans="3:9" x14ac:dyDescent="0.25">
      <c r="C388" s="41">
        <v>1720.48</v>
      </c>
      <c r="D388" s="41">
        <v>6046.59</v>
      </c>
      <c r="E388" s="34">
        <f t="shared" si="25"/>
        <v>9153.1531531532219</v>
      </c>
      <c r="F388" s="35">
        <f t="shared" si="26"/>
        <v>6119.7743549875213</v>
      </c>
      <c r="G388" s="35">
        <f t="shared" si="27"/>
        <v>8596.4783018569797</v>
      </c>
      <c r="H388" s="36">
        <f t="shared" si="28"/>
        <v>73.184354987521147</v>
      </c>
      <c r="I388" s="36">
        <f t="shared" si="29"/>
        <v>5355.9498149395113</v>
      </c>
    </row>
    <row r="389" spans="3:9" x14ac:dyDescent="0.25">
      <c r="C389" s="41">
        <v>1723.31</v>
      </c>
      <c r="D389" s="41">
        <v>6061.83</v>
      </c>
      <c r="E389" s="34">
        <f t="shared" si="25"/>
        <v>10770.318021201536</v>
      </c>
      <c r="F389" s="35">
        <f t="shared" si="26"/>
        <v>6131.9422873933345</v>
      </c>
      <c r="G389" s="35">
        <f t="shared" si="27"/>
        <v>8602.013324879139</v>
      </c>
      <c r="H389" s="36">
        <f t="shared" si="28"/>
        <v>70.112287393334555</v>
      </c>
      <c r="I389" s="36">
        <f t="shared" si="29"/>
        <v>4915.7328435255395</v>
      </c>
    </row>
    <row r="390" spans="3:9" x14ac:dyDescent="0.25">
      <c r="C390" s="41">
        <v>1726.14</v>
      </c>
      <c r="D390" s="41">
        <v>6077.06</v>
      </c>
      <c r="E390" s="34">
        <f t="shared" si="25"/>
        <v>10763.250883391973</v>
      </c>
      <c r="F390" s="35">
        <f t="shared" si="26"/>
        <v>6144.1180543778755</v>
      </c>
      <c r="G390" s="35">
        <f t="shared" si="27"/>
        <v>8607.5519117420699</v>
      </c>
      <c r="H390" s="36">
        <f t="shared" si="28"/>
        <v>67.058054377875123</v>
      </c>
      <c r="I390" s="36">
        <f t="shared" si="29"/>
        <v>4496.7826569460567</v>
      </c>
    </row>
    <row r="391" spans="3:9" x14ac:dyDescent="0.25">
      <c r="C391" s="41">
        <v>1728.98</v>
      </c>
      <c r="D391" s="41">
        <v>6092.3</v>
      </c>
      <c r="E391" s="34">
        <f t="shared" si="25"/>
        <v>10732.394366197339</v>
      </c>
      <c r="F391" s="35">
        <f t="shared" si="26"/>
        <v>6156.3447265048908</v>
      </c>
      <c r="G391" s="35">
        <f t="shared" si="27"/>
        <v>8613.1136546454982</v>
      </c>
      <c r="H391" s="36">
        <f t="shared" si="28"/>
        <v>64.044726504890605</v>
      </c>
      <c r="I391" s="36">
        <f t="shared" si="29"/>
        <v>4101.7269930862367</v>
      </c>
    </row>
    <row r="392" spans="3:9" x14ac:dyDescent="0.25">
      <c r="C392" s="41">
        <v>1731.79</v>
      </c>
      <c r="D392" s="41">
        <v>6107.45</v>
      </c>
      <c r="E392" s="34">
        <f t="shared" si="25"/>
        <v>10782.918149466142</v>
      </c>
      <c r="F392" s="35">
        <f t="shared" si="26"/>
        <v>6168.4500191142752</v>
      </c>
      <c r="G392" s="35">
        <f t="shared" si="27"/>
        <v>8618.6201836964738</v>
      </c>
      <c r="H392" s="36">
        <f t="shared" si="28"/>
        <v>61.000019114275347</v>
      </c>
      <c r="I392" s="36">
        <f t="shared" si="29"/>
        <v>3721.0023319419574</v>
      </c>
    </row>
    <row r="393" spans="3:9" x14ac:dyDescent="0.25">
      <c r="C393" s="41">
        <v>1734.61</v>
      </c>
      <c r="D393" s="41">
        <v>6122.61</v>
      </c>
      <c r="E393" s="34">
        <f t="shared" ref="E393:E456" si="30">IF(C393="","",2*(D393-D392)/((C393-C392)/1000))</f>
        <v>10751.77304964553</v>
      </c>
      <c r="F393" s="35">
        <f t="shared" ref="F393:F456" si="31">IF(C393="","",F$7+(F$9/F$10)*(EXP(F$10*(C393-F$8)/2000)-1))</f>
        <v>6180.6061715700162</v>
      </c>
      <c r="G393" s="35">
        <f t="shared" ref="G393:G456" si="32">IF(E393="","",F$9+(F393-F$7)*F$10)</f>
        <v>8624.1498481833733</v>
      </c>
      <c r="H393" s="36">
        <f t="shared" ref="H393:H456" si="33">IF(F393="","",F393-D393)</f>
        <v>57.996171570016486</v>
      </c>
      <c r="I393" s="36">
        <f t="shared" ref="I393:I456" si="34">IF(H393="","",H393^2)</f>
        <v>3363.5559167787883</v>
      </c>
    </row>
    <row r="394" spans="3:9" x14ac:dyDescent="0.25">
      <c r="C394" s="41">
        <v>1737.43</v>
      </c>
      <c r="D394" s="41">
        <v>6137.76</v>
      </c>
      <c r="E394" s="34">
        <f t="shared" si="30"/>
        <v>10744.680851063593</v>
      </c>
      <c r="F394" s="35">
        <f t="shared" si="31"/>
        <v>6192.7701233536218</v>
      </c>
      <c r="G394" s="35">
        <f t="shared" si="32"/>
        <v>8629.6830604759161</v>
      </c>
      <c r="H394" s="36">
        <f t="shared" si="33"/>
        <v>55.010123353621566</v>
      </c>
      <c r="I394" s="36">
        <f t="shared" si="34"/>
        <v>3026.1136713806609</v>
      </c>
    </row>
    <row r="395" spans="3:9" x14ac:dyDescent="0.25">
      <c r="C395" s="41">
        <v>1740.24</v>
      </c>
      <c r="D395" s="41">
        <v>6152.92</v>
      </c>
      <c r="E395" s="34">
        <f t="shared" si="30"/>
        <v>10790.035587188719</v>
      </c>
      <c r="F395" s="35">
        <f t="shared" si="31"/>
        <v>6204.8987034190841</v>
      </c>
      <c r="G395" s="35">
        <f t="shared" si="32"/>
        <v>8635.2001826664018</v>
      </c>
      <c r="H395" s="36">
        <f t="shared" si="33"/>
        <v>51.978703419084013</v>
      </c>
      <c r="I395" s="36">
        <f t="shared" si="34"/>
        <v>2701.785609129096</v>
      </c>
    </row>
    <row r="396" spans="3:9" x14ac:dyDescent="0.25">
      <c r="C396" s="41">
        <v>1743.06</v>
      </c>
      <c r="D396" s="41">
        <v>6168.07</v>
      </c>
      <c r="E396" s="34">
        <f t="shared" si="30"/>
        <v>10744.680851063815</v>
      </c>
      <c r="F396" s="35">
        <f t="shared" si="31"/>
        <v>6217.0782411721111</v>
      </c>
      <c r="G396" s="35">
        <f t="shared" si="32"/>
        <v>8640.7404847994112</v>
      </c>
      <c r="H396" s="36">
        <f t="shared" si="33"/>
        <v>49.008241172111411</v>
      </c>
      <c r="I396" s="36">
        <f t="shared" si="34"/>
        <v>2401.8077027838362</v>
      </c>
    </row>
    <row r="397" spans="3:9" x14ac:dyDescent="0.25">
      <c r="C397" s="41">
        <v>1745.88</v>
      </c>
      <c r="D397" s="41">
        <v>6183.23</v>
      </c>
      <c r="E397" s="34">
        <f t="shared" si="30"/>
        <v>10751.773049644664</v>
      </c>
      <c r="F397" s="35">
        <f t="shared" si="31"/>
        <v>6229.2655932568941</v>
      </c>
      <c r="G397" s="35">
        <f t="shared" si="32"/>
        <v>8646.2843415631305</v>
      </c>
      <c r="H397" s="36">
        <f t="shared" si="33"/>
        <v>46.035593256894572</v>
      </c>
      <c r="I397" s="36">
        <f t="shared" si="34"/>
        <v>2119.2758465142369</v>
      </c>
    </row>
    <row r="398" spans="3:9" x14ac:dyDescent="0.25">
      <c r="C398" s="41">
        <v>1748.69</v>
      </c>
      <c r="D398" s="41">
        <v>6198.33</v>
      </c>
      <c r="E398" s="34">
        <f t="shared" si="30"/>
        <v>10747.330960854561</v>
      </c>
      <c r="F398" s="35">
        <f t="shared" si="31"/>
        <v>6241.4175055774876</v>
      </c>
      <c r="G398" s="35">
        <f t="shared" si="32"/>
        <v>8651.8120772715902</v>
      </c>
      <c r="H398" s="36">
        <f t="shared" si="33"/>
        <v>43.087505577487718</v>
      </c>
      <c r="I398" s="36">
        <f t="shared" si="34"/>
        <v>1856.5331368900352</v>
      </c>
    </row>
    <row r="399" spans="3:9" x14ac:dyDescent="0.25">
      <c r="C399" s="41">
        <v>1751.49</v>
      </c>
      <c r="D399" s="41">
        <v>6213.43</v>
      </c>
      <c r="E399" s="34">
        <f t="shared" si="30"/>
        <v>10785.714285714721</v>
      </c>
      <c r="F399" s="35">
        <f t="shared" si="31"/>
        <v>6253.5339001816037</v>
      </c>
      <c r="G399" s="35">
        <f t="shared" si="32"/>
        <v>8657.3236564653816</v>
      </c>
      <c r="H399" s="36">
        <f t="shared" si="33"/>
        <v>40.103900181603422</v>
      </c>
      <c r="I399" s="36">
        <f t="shared" si="34"/>
        <v>1608.3228097760109</v>
      </c>
    </row>
    <row r="400" spans="3:9" x14ac:dyDescent="0.25">
      <c r="C400" s="41">
        <v>1754.3</v>
      </c>
      <c r="D400" s="41">
        <v>6228.53</v>
      </c>
      <c r="E400" s="34">
        <f t="shared" si="30"/>
        <v>10747.330960853913</v>
      </c>
      <c r="F400" s="35">
        <f t="shared" si="31"/>
        <v>6265.701327697102</v>
      </c>
      <c r="G400" s="35">
        <f t="shared" si="32"/>
        <v>8662.8584498199671</v>
      </c>
      <c r="H400" s="36">
        <f t="shared" si="33"/>
        <v>37.171327697102242</v>
      </c>
      <c r="I400" s="36">
        <f t="shared" si="34"/>
        <v>1381.7076027653602</v>
      </c>
    </row>
    <row r="401" spans="3:9" x14ac:dyDescent="0.25">
      <c r="C401" s="41">
        <v>1757.11</v>
      </c>
      <c r="D401" s="41">
        <v>6243.63</v>
      </c>
      <c r="E401" s="34">
        <f t="shared" si="30"/>
        <v>10747.330960854561</v>
      </c>
      <c r="F401" s="35">
        <f t="shared" si="31"/>
        <v>6277.8765340827949</v>
      </c>
      <c r="G401" s="35">
        <f t="shared" si="32"/>
        <v>8668.3967816742897</v>
      </c>
      <c r="H401" s="36">
        <f t="shared" si="33"/>
        <v>34.246534082794824</v>
      </c>
      <c r="I401" s="36">
        <f t="shared" si="34"/>
        <v>1172.8250966840276</v>
      </c>
    </row>
    <row r="402" spans="3:9" x14ac:dyDescent="0.25">
      <c r="C402" s="41">
        <v>1759.91</v>
      </c>
      <c r="D402" s="41">
        <v>6258.73</v>
      </c>
      <c r="E402" s="34">
        <f t="shared" si="30"/>
        <v>10785.714285713197</v>
      </c>
      <c r="F402" s="35">
        <f t="shared" si="31"/>
        <v>6290.0161546679128</v>
      </c>
      <c r="G402" s="35">
        <f t="shared" si="32"/>
        <v>8673.9189260434359</v>
      </c>
      <c r="H402" s="36">
        <f t="shared" si="33"/>
        <v>31.286154667913252</v>
      </c>
      <c r="I402" s="36">
        <f t="shared" si="34"/>
        <v>978.82347390459017</v>
      </c>
    </row>
    <row r="403" spans="3:9" x14ac:dyDescent="0.25">
      <c r="C403" s="41">
        <v>1762.72</v>
      </c>
      <c r="D403" s="41">
        <v>6273.83</v>
      </c>
      <c r="E403" s="34">
        <f t="shared" si="30"/>
        <v>10747.330960854561</v>
      </c>
      <c r="F403" s="35">
        <f t="shared" si="31"/>
        <v>6302.2069059896694</v>
      </c>
      <c r="G403" s="35">
        <f t="shared" si="32"/>
        <v>8679.4643290727199</v>
      </c>
      <c r="H403" s="36">
        <f t="shared" si="33"/>
        <v>28.376905989669467</v>
      </c>
      <c r="I403" s="36">
        <f t="shared" si="34"/>
        <v>805.24879354653888</v>
      </c>
    </row>
    <row r="404" spans="3:9" x14ac:dyDescent="0.25">
      <c r="C404" s="41">
        <v>1765.53</v>
      </c>
      <c r="D404" s="41">
        <v>6288.93</v>
      </c>
      <c r="E404" s="34">
        <f t="shared" si="30"/>
        <v>10747.330960854561</v>
      </c>
      <c r="F404" s="35">
        <f t="shared" si="31"/>
        <v>6314.4054510929818</v>
      </c>
      <c r="G404" s="35">
        <f t="shared" si="32"/>
        <v>8685.0132773847145</v>
      </c>
      <c r="H404" s="36">
        <f t="shared" si="33"/>
        <v>25.47545109298153</v>
      </c>
      <c r="I404" s="36">
        <f t="shared" si="34"/>
        <v>648.99860839089376</v>
      </c>
    </row>
    <row r="405" spans="3:9" x14ac:dyDescent="0.25">
      <c r="C405" s="41">
        <v>1768.33</v>
      </c>
      <c r="D405" s="41">
        <v>6304.04</v>
      </c>
      <c r="E405" s="34">
        <f t="shared" si="30"/>
        <v>10792.857142857085</v>
      </c>
      <c r="F405" s="35">
        <f t="shared" si="31"/>
        <v>6326.5683421811063</v>
      </c>
      <c r="G405" s="35">
        <f t="shared" si="32"/>
        <v>8690.5460071816524</v>
      </c>
      <c r="H405" s="36">
        <f t="shared" si="33"/>
        <v>22.528342181106382</v>
      </c>
      <c r="I405" s="36">
        <f t="shared" si="34"/>
        <v>507.52620142901702</v>
      </c>
    </row>
    <row r="406" spans="3:9" x14ac:dyDescent="0.25">
      <c r="C406" s="41">
        <v>1771.14</v>
      </c>
      <c r="D406" s="41">
        <v>6319.14</v>
      </c>
      <c r="E406" s="34">
        <f t="shared" si="30"/>
        <v>10747.330960853691</v>
      </c>
      <c r="F406" s="35">
        <f t="shared" si="31"/>
        <v>6338.782462018652</v>
      </c>
      <c r="G406" s="35">
        <f t="shared" si="32"/>
        <v>8696.1020402233808</v>
      </c>
      <c r="H406" s="36">
        <f t="shared" si="33"/>
        <v>19.642462018651713</v>
      </c>
      <c r="I406" s="36">
        <f t="shared" si="34"/>
        <v>385.82631415417512</v>
      </c>
    </row>
    <row r="407" spans="3:9" x14ac:dyDescent="0.25">
      <c r="C407" s="41">
        <v>1773.95</v>
      </c>
      <c r="D407" s="41">
        <v>6334.24</v>
      </c>
      <c r="E407" s="34">
        <f t="shared" si="30"/>
        <v>10747.330960853913</v>
      </c>
      <c r="F407" s="35">
        <f t="shared" si="31"/>
        <v>6351.0043905776902</v>
      </c>
      <c r="G407" s="35">
        <f t="shared" si="32"/>
        <v>8701.6616253437878</v>
      </c>
      <c r="H407" s="36">
        <f t="shared" si="33"/>
        <v>16.764390577690392</v>
      </c>
      <c r="I407" s="36">
        <f t="shared" si="34"/>
        <v>281.04479144135439</v>
      </c>
    </row>
    <row r="408" spans="3:9" x14ac:dyDescent="0.25">
      <c r="C408" s="41">
        <v>1776.75</v>
      </c>
      <c r="D408" s="41">
        <v>6349.34</v>
      </c>
      <c r="E408" s="34">
        <f t="shared" si="30"/>
        <v>10785.714285714721</v>
      </c>
      <c r="F408" s="35">
        <f t="shared" si="31"/>
        <v>6363.1905967761732</v>
      </c>
      <c r="G408" s="35">
        <f t="shared" si="32"/>
        <v>8707.2049608597827</v>
      </c>
      <c r="H408" s="36">
        <f t="shared" si="33"/>
        <v>13.850596776173006</v>
      </c>
      <c r="I408" s="36">
        <f t="shared" si="34"/>
        <v>191.83903105613408</v>
      </c>
    </row>
    <row r="409" spans="3:9" x14ac:dyDescent="0.25">
      <c r="C409" s="41">
        <v>1779.56</v>
      </c>
      <c r="D409" s="41">
        <v>6364.44</v>
      </c>
      <c r="E409" s="34">
        <f t="shared" si="30"/>
        <v>10747.330960853913</v>
      </c>
      <c r="F409" s="35">
        <f t="shared" si="31"/>
        <v>6375.4281299247386</v>
      </c>
      <c r="G409" s="35">
        <f t="shared" si="32"/>
        <v>8712.7716442906822</v>
      </c>
      <c r="H409" s="36">
        <f t="shared" si="33"/>
        <v>10.988129924739042</v>
      </c>
      <c r="I409" s="36">
        <f t="shared" si="34"/>
        <v>120.73899924294561</v>
      </c>
    </row>
    <row r="410" spans="3:9" x14ac:dyDescent="0.25">
      <c r="C410" s="41">
        <v>1782.37</v>
      </c>
      <c r="D410" s="41">
        <v>6379.55</v>
      </c>
      <c r="E410" s="34">
        <f t="shared" si="30"/>
        <v>10754.448398577137</v>
      </c>
      <c r="F410" s="35">
        <f t="shared" si="31"/>
        <v>6387.673486763375</v>
      </c>
      <c r="G410" s="35">
        <f t="shared" si="32"/>
        <v>8718.3418866092561</v>
      </c>
      <c r="H410" s="36">
        <f t="shared" si="33"/>
        <v>8.1234867633747854</v>
      </c>
      <c r="I410" s="36">
        <f t="shared" si="34"/>
        <v>65.991037194725351</v>
      </c>
    </row>
    <row r="411" spans="3:9" x14ac:dyDescent="0.25">
      <c r="C411" s="41">
        <v>1785.18</v>
      </c>
      <c r="D411" s="41">
        <v>6394.67</v>
      </c>
      <c r="E411" s="34">
        <f t="shared" si="30"/>
        <v>10761.565836298194</v>
      </c>
      <c r="F411" s="35">
        <f t="shared" si="31"/>
        <v>6399.9266722939228</v>
      </c>
      <c r="G411" s="35">
        <f t="shared" si="32"/>
        <v>8723.9156900907728</v>
      </c>
      <c r="H411" s="36">
        <f t="shared" si="33"/>
        <v>5.2566722939227475</v>
      </c>
      <c r="I411" s="36">
        <f t="shared" si="34"/>
        <v>27.632603605695039</v>
      </c>
    </row>
    <row r="412" spans="3:9" x14ac:dyDescent="0.25">
      <c r="C412" s="41">
        <v>1787.99</v>
      </c>
      <c r="D412" s="41">
        <v>6409.78</v>
      </c>
      <c r="E412" s="34">
        <f t="shared" si="30"/>
        <v>10754.448398576489</v>
      </c>
      <c r="F412" s="35">
        <f t="shared" si="31"/>
        <v>6412.1876915214079</v>
      </c>
      <c r="G412" s="35">
        <f t="shared" si="32"/>
        <v>8729.4930570119468</v>
      </c>
      <c r="H412" s="36">
        <f t="shared" si="33"/>
        <v>2.4076915214081964</v>
      </c>
      <c r="I412" s="36">
        <f t="shared" si="34"/>
        <v>5.796978462260916</v>
      </c>
    </row>
    <row r="413" spans="3:9" x14ac:dyDescent="0.25">
      <c r="C413" s="41">
        <v>1790.8</v>
      </c>
      <c r="D413" s="41">
        <v>6424.9</v>
      </c>
      <c r="E413" s="34">
        <f t="shared" si="30"/>
        <v>10761.565836299063</v>
      </c>
      <c r="F413" s="35">
        <f t="shared" si="31"/>
        <v>6424.4565494540693</v>
      </c>
      <c r="G413" s="35">
        <f t="shared" si="32"/>
        <v>8735.0739896509567</v>
      </c>
      <c r="H413" s="36">
        <f t="shared" si="33"/>
        <v>-0.44345054593031819</v>
      </c>
      <c r="I413" s="36">
        <f t="shared" si="34"/>
        <v>0.19664838668589724</v>
      </c>
    </row>
    <row r="414" spans="3:9" x14ac:dyDescent="0.25">
      <c r="C414" s="41">
        <v>1793.61</v>
      </c>
      <c r="D414" s="41">
        <v>6440.01</v>
      </c>
      <c r="E414" s="34">
        <f t="shared" si="30"/>
        <v>10754.448398577137</v>
      </c>
      <c r="F414" s="35">
        <f t="shared" si="31"/>
        <v>6436.7332511033383</v>
      </c>
      <c r="G414" s="35">
        <f t="shared" si="32"/>
        <v>8740.6584902874347</v>
      </c>
      <c r="H414" s="36">
        <f t="shared" si="33"/>
        <v>-3.2767488966619567</v>
      </c>
      <c r="I414" s="36">
        <f t="shared" si="34"/>
        <v>10.73708333177535</v>
      </c>
    </row>
    <row r="415" spans="3:9" x14ac:dyDescent="0.25">
      <c r="C415" s="41">
        <v>1796.42</v>
      </c>
      <c r="D415" s="41">
        <v>6455.13</v>
      </c>
      <c r="E415" s="34">
        <f t="shared" si="30"/>
        <v>10761.565836298194</v>
      </c>
      <c r="F415" s="35">
        <f t="shared" si="31"/>
        <v>6449.0178014838575</v>
      </c>
      <c r="G415" s="35">
        <f t="shared" si="32"/>
        <v>8746.2465612024716</v>
      </c>
      <c r="H415" s="36">
        <f t="shared" si="33"/>
        <v>-6.1121985161425982</v>
      </c>
      <c r="I415" s="36">
        <f t="shared" si="34"/>
        <v>37.358970700735782</v>
      </c>
    </row>
    <row r="416" spans="3:9" x14ac:dyDescent="0.25">
      <c r="C416" s="41">
        <v>1799.23</v>
      </c>
      <c r="D416" s="41">
        <v>6470.25</v>
      </c>
      <c r="E416" s="34">
        <f t="shared" si="30"/>
        <v>10761.565836299063</v>
      </c>
      <c r="F416" s="35">
        <f t="shared" si="31"/>
        <v>6461.3102056134694</v>
      </c>
      <c r="G416" s="35">
        <f t="shared" si="32"/>
        <v>8751.8382046786119</v>
      </c>
      <c r="H416" s="36">
        <f t="shared" si="33"/>
        <v>-8.9397943865305933</v>
      </c>
      <c r="I416" s="36">
        <f t="shared" si="34"/>
        <v>79.919923673443904</v>
      </c>
    </row>
    <row r="417" spans="3:9" x14ac:dyDescent="0.25">
      <c r="C417" s="41">
        <v>1802.04</v>
      </c>
      <c r="D417" s="41">
        <v>6485.38</v>
      </c>
      <c r="E417" s="34">
        <f t="shared" si="30"/>
        <v>10768.68327402164</v>
      </c>
      <c r="F417" s="35">
        <f t="shared" si="31"/>
        <v>6473.6104685132241</v>
      </c>
      <c r="G417" s="35">
        <f t="shared" si="32"/>
        <v>8757.4334229998622</v>
      </c>
      <c r="H417" s="36">
        <f t="shared" si="33"/>
        <v>-11.769531486776032</v>
      </c>
      <c r="I417" s="36">
        <f t="shared" si="34"/>
        <v>138.52187141821241</v>
      </c>
    </row>
    <row r="418" spans="3:9" x14ac:dyDescent="0.25">
      <c r="C418" s="41">
        <v>1804.85</v>
      </c>
      <c r="D418" s="41">
        <v>6500.5</v>
      </c>
      <c r="E418" s="34">
        <f t="shared" si="30"/>
        <v>10761.565836299063</v>
      </c>
      <c r="F418" s="35">
        <f t="shared" si="31"/>
        <v>6485.9185952073876</v>
      </c>
      <c r="G418" s="35">
        <f t="shared" si="32"/>
        <v>8763.0322184516936</v>
      </c>
      <c r="H418" s="36">
        <f t="shared" si="33"/>
        <v>-14.581404792612375</v>
      </c>
      <c r="I418" s="36">
        <f t="shared" si="34"/>
        <v>212.61736572601913</v>
      </c>
    </row>
    <row r="419" spans="3:9" x14ac:dyDescent="0.25">
      <c r="C419" s="41">
        <v>1807.66</v>
      </c>
      <c r="D419" s="41">
        <v>6515.63</v>
      </c>
      <c r="E419" s="34">
        <f t="shared" si="30"/>
        <v>10768.683274020768</v>
      </c>
      <c r="F419" s="35">
        <f t="shared" si="31"/>
        <v>6498.2345907234348</v>
      </c>
      <c r="G419" s="35">
        <f t="shared" si="32"/>
        <v>8768.6345933210305</v>
      </c>
      <c r="H419" s="36">
        <f t="shared" si="33"/>
        <v>-17.39540927656526</v>
      </c>
      <c r="I419" s="36">
        <f t="shared" si="34"/>
        <v>302.60026389921273</v>
      </c>
    </row>
    <row r="420" spans="3:9" x14ac:dyDescent="0.25">
      <c r="C420" s="41">
        <v>1810.48</v>
      </c>
      <c r="D420" s="41">
        <v>6530.76</v>
      </c>
      <c r="E420" s="34">
        <f t="shared" si="30"/>
        <v>10730.496453901029</v>
      </c>
      <c r="F420" s="35">
        <f t="shared" si="31"/>
        <v>6510.6023313446922</v>
      </c>
      <c r="G420" s="35">
        <f t="shared" si="32"/>
        <v>8774.2605063182164</v>
      </c>
      <c r="H420" s="36">
        <f t="shared" si="33"/>
        <v>-20.157668655308044</v>
      </c>
      <c r="I420" s="36">
        <f t="shared" si="34"/>
        <v>406.33160561718842</v>
      </c>
    </row>
    <row r="421" spans="3:9" x14ac:dyDescent="0.25">
      <c r="C421" s="41">
        <v>1813.29</v>
      </c>
      <c r="D421" s="41">
        <v>6545.89</v>
      </c>
      <c r="E421" s="34">
        <f t="shared" si="30"/>
        <v>10768.68327402164</v>
      </c>
      <c r="F421" s="35">
        <f t="shared" si="31"/>
        <v>6522.9341076475221</v>
      </c>
      <c r="G421" s="35">
        <f t="shared" si="32"/>
        <v>8779.8700596477265</v>
      </c>
      <c r="H421" s="36">
        <f t="shared" si="33"/>
        <v>-22.955892352478259</v>
      </c>
      <c r="I421" s="36">
        <f t="shared" si="34"/>
        <v>526.97299369856978</v>
      </c>
    </row>
    <row r="422" spans="3:9" x14ac:dyDescent="0.25">
      <c r="C422" s="41">
        <v>1816.1</v>
      </c>
      <c r="D422" s="41">
        <v>6561.03</v>
      </c>
      <c r="E422" s="34">
        <f t="shared" si="30"/>
        <v>10775.800711743568</v>
      </c>
      <c r="F422" s="35">
        <f t="shared" si="31"/>
        <v>6535.2737678918829</v>
      </c>
      <c r="G422" s="35">
        <f t="shared" si="32"/>
        <v>8785.4831992724612</v>
      </c>
      <c r="H422" s="36">
        <f t="shared" si="33"/>
        <v>-25.756232108116819</v>
      </c>
      <c r="I422" s="36">
        <f t="shared" si="34"/>
        <v>663.38349240718776</v>
      </c>
    </row>
    <row r="423" spans="3:9" x14ac:dyDescent="0.25">
      <c r="C423" s="41">
        <v>1818.92</v>
      </c>
      <c r="D423" s="41">
        <v>6576.19</v>
      </c>
      <c r="E423" s="34">
        <f t="shared" si="30"/>
        <v>10751.773049644664</v>
      </c>
      <c r="F423" s="35">
        <f t="shared" si="31"/>
        <v>6547.6652726677576</v>
      </c>
      <c r="G423" s="35">
        <f t="shared" si="32"/>
        <v>8791.1199222526848</v>
      </c>
      <c r="H423" s="36">
        <f t="shared" si="33"/>
        <v>-28.524727332242037</v>
      </c>
      <c r="I423" s="36">
        <f t="shared" si="34"/>
        <v>813.66006937875591</v>
      </c>
    </row>
    <row r="424" spans="3:9" x14ac:dyDescent="0.25">
      <c r="C424" s="41">
        <v>1821.94</v>
      </c>
      <c r="D424" s="41">
        <v>6591.34</v>
      </c>
      <c r="E424" s="34">
        <f t="shared" si="30"/>
        <v>10033.112582781878</v>
      </c>
      <c r="F424" s="35">
        <f t="shared" si="31"/>
        <v>6560.9444238064843</v>
      </c>
      <c r="G424" s="35">
        <f t="shared" si="32"/>
        <v>8797.1604232035679</v>
      </c>
      <c r="H424" s="36">
        <f t="shared" si="33"/>
        <v>-30.395576193515808</v>
      </c>
      <c r="I424" s="36">
        <f t="shared" si="34"/>
        <v>923.89105213582491</v>
      </c>
    </row>
    <row r="425" spans="3:9" x14ac:dyDescent="0.25">
      <c r="C425" s="41">
        <v>1825.08</v>
      </c>
      <c r="D425" s="41">
        <v>6606.5</v>
      </c>
      <c r="E425" s="34">
        <f t="shared" si="30"/>
        <v>9656.0509554143118</v>
      </c>
      <c r="F425" s="35">
        <f t="shared" si="31"/>
        <v>6574.7608987474887</v>
      </c>
      <c r="G425" s="35">
        <f t="shared" si="32"/>
        <v>8803.4453452702783</v>
      </c>
      <c r="H425" s="36">
        <f t="shared" si="33"/>
        <v>-31.739101252511318</v>
      </c>
      <c r="I425" s="36">
        <f t="shared" si="34"/>
        <v>1007.3705483171656</v>
      </c>
    </row>
    <row r="426" spans="3:9" x14ac:dyDescent="0.25">
      <c r="C426" s="41">
        <v>1828.23</v>
      </c>
      <c r="D426" s="41">
        <v>6621.65</v>
      </c>
      <c r="E426" s="34">
        <f t="shared" si="30"/>
        <v>9619.047619047109</v>
      </c>
      <c r="F426" s="35">
        <f t="shared" si="31"/>
        <v>6588.6312932643368</v>
      </c>
      <c r="G426" s="35">
        <f t="shared" si="32"/>
        <v>8809.7547946012528</v>
      </c>
      <c r="H426" s="36">
        <f t="shared" si="33"/>
        <v>-33.018706735662818</v>
      </c>
      <c r="I426" s="36">
        <f t="shared" si="34"/>
        <v>1090.2349944957052</v>
      </c>
    </row>
    <row r="427" spans="3:9" x14ac:dyDescent="0.25">
      <c r="C427" s="41">
        <v>1831.37</v>
      </c>
      <c r="D427" s="41">
        <v>6636.81</v>
      </c>
      <c r="E427" s="34">
        <f t="shared" si="30"/>
        <v>9656.0509554148921</v>
      </c>
      <c r="F427" s="35">
        <f t="shared" si="31"/>
        <v>6602.4675484308291</v>
      </c>
      <c r="G427" s="35">
        <f t="shared" si="32"/>
        <v>8816.0487144171129</v>
      </c>
      <c r="H427" s="36">
        <f t="shared" si="33"/>
        <v>-34.342451569171317</v>
      </c>
      <c r="I427" s="36">
        <f t="shared" si="34"/>
        <v>1179.4039797808775</v>
      </c>
    </row>
    <row r="428" spans="3:9" x14ac:dyDescent="0.25">
      <c r="C428" s="41">
        <v>1834.51</v>
      </c>
      <c r="D428" s="41">
        <v>6651.96</v>
      </c>
      <c r="E428" s="34">
        <f t="shared" si="30"/>
        <v>9649.6815286618803</v>
      </c>
      <c r="F428" s="35">
        <f t="shared" si="31"/>
        <v>6616.3136885807971</v>
      </c>
      <c r="G428" s="35">
        <f t="shared" si="32"/>
        <v>8822.3471307743166</v>
      </c>
      <c r="H428" s="36">
        <f t="shared" si="33"/>
        <v>-35.646311419202902</v>
      </c>
      <c r="I428" s="36">
        <f t="shared" si="34"/>
        <v>1270.6595177947952</v>
      </c>
    </row>
    <row r="429" spans="3:9" x14ac:dyDescent="0.25">
      <c r="C429" s="41">
        <v>1837.66</v>
      </c>
      <c r="D429" s="41">
        <v>6667.1</v>
      </c>
      <c r="E429" s="34">
        <f t="shared" si="30"/>
        <v>9612.6984126983425</v>
      </c>
      <c r="F429" s="35">
        <f t="shared" si="31"/>
        <v>6630.213864076768</v>
      </c>
      <c r="G429" s="35">
        <f t="shared" si="32"/>
        <v>8828.6701270580143</v>
      </c>
      <c r="H429" s="36">
        <f t="shared" si="33"/>
        <v>-36.886135923232359</v>
      </c>
      <c r="I429" s="36">
        <f t="shared" si="34"/>
        <v>1360.5870233471728</v>
      </c>
    </row>
    <row r="430" spans="3:9" x14ac:dyDescent="0.25">
      <c r="C430" s="41">
        <v>1840.8</v>
      </c>
      <c r="D430" s="41">
        <v>6682.24</v>
      </c>
      <c r="E430" s="34">
        <f t="shared" si="30"/>
        <v>9643.3121019108494</v>
      </c>
      <c r="F430" s="35">
        <f t="shared" si="31"/>
        <v>6644.0798269221368</v>
      </c>
      <c r="G430" s="35">
        <f t="shared" si="32"/>
        <v>8834.9775604833394</v>
      </c>
      <c r="H430" s="36">
        <f t="shared" si="33"/>
        <v>-38.160173077862964</v>
      </c>
      <c r="I430" s="36">
        <f t="shared" si="34"/>
        <v>1456.1988093324574</v>
      </c>
    </row>
    <row r="431" spans="3:9" x14ac:dyDescent="0.25">
      <c r="C431" s="41">
        <v>1843.94</v>
      </c>
      <c r="D431" s="41">
        <v>6697.38</v>
      </c>
      <c r="E431" s="34">
        <f t="shared" si="30"/>
        <v>9643.3121019107293</v>
      </c>
      <c r="F431" s="35">
        <f t="shared" si="31"/>
        <v>6657.9556959749279</v>
      </c>
      <c r="G431" s="35">
        <f t="shared" si="32"/>
        <v>8841.2895001044835</v>
      </c>
      <c r="H431" s="36">
        <f t="shared" si="33"/>
        <v>-39.424304025072161</v>
      </c>
      <c r="I431" s="36">
        <f t="shared" si="34"/>
        <v>1554.275747861321</v>
      </c>
    </row>
    <row r="432" spans="3:9" x14ac:dyDescent="0.25">
      <c r="C432" s="41">
        <v>1847.08</v>
      </c>
      <c r="D432" s="41">
        <v>6712.53</v>
      </c>
      <c r="E432" s="34">
        <f t="shared" si="30"/>
        <v>9649.6815286625806</v>
      </c>
      <c r="F432" s="35">
        <f t="shared" si="31"/>
        <v>6671.8414783123926</v>
      </c>
      <c r="G432" s="35">
        <f t="shared" si="32"/>
        <v>8847.6059491407905</v>
      </c>
      <c r="H432" s="36">
        <f t="shared" si="33"/>
        <v>-40.688521687607135</v>
      </c>
      <c r="I432" s="36">
        <f t="shared" si="34"/>
        <v>1655.5557971228761</v>
      </c>
    </row>
    <row r="433" spans="3:9" x14ac:dyDescent="0.25">
      <c r="C433" s="41">
        <v>1850.22</v>
      </c>
      <c r="D433" s="41">
        <v>6727.67</v>
      </c>
      <c r="E433" s="34">
        <f t="shared" si="30"/>
        <v>9643.3121019107293</v>
      </c>
      <c r="F433" s="35">
        <f t="shared" si="31"/>
        <v>6685.7371810168434</v>
      </c>
      <c r="G433" s="35">
        <f t="shared" si="32"/>
        <v>8853.9269108139088</v>
      </c>
      <c r="H433" s="36">
        <f t="shared" si="33"/>
        <v>-41.932818983156722</v>
      </c>
      <c r="I433" s="36">
        <f t="shared" si="34"/>
        <v>1758.3613078741887</v>
      </c>
    </row>
    <row r="434" spans="3:9" x14ac:dyDescent="0.25">
      <c r="C434" s="41">
        <v>1853.36</v>
      </c>
      <c r="D434" s="41">
        <v>6742.79</v>
      </c>
      <c r="E434" s="34">
        <f t="shared" si="30"/>
        <v>9630.5732484079654</v>
      </c>
      <c r="F434" s="35">
        <f t="shared" si="31"/>
        <v>6699.6428111756477</v>
      </c>
      <c r="G434" s="35">
        <f t="shared" si="32"/>
        <v>8860.252388347777</v>
      </c>
      <c r="H434" s="36">
        <f t="shared" si="33"/>
        <v>-43.14718882435227</v>
      </c>
      <c r="I434" s="36">
        <f t="shared" si="34"/>
        <v>1861.6799034443095</v>
      </c>
    </row>
    <row r="435" spans="3:9" x14ac:dyDescent="0.25">
      <c r="C435" s="41">
        <v>1856.49</v>
      </c>
      <c r="D435" s="41">
        <v>6757.89</v>
      </c>
      <c r="E435" s="34">
        <f t="shared" si="30"/>
        <v>9648.562300319385</v>
      </c>
      <c r="F435" s="35">
        <f t="shared" si="31"/>
        <v>6713.5140430197353</v>
      </c>
      <c r="G435" s="35">
        <f t="shared" si="32"/>
        <v>8866.5622185672528</v>
      </c>
      <c r="H435" s="36">
        <f t="shared" si="33"/>
        <v>-44.375956980265073</v>
      </c>
      <c r="I435" s="36">
        <f t="shared" si="34"/>
        <v>1969.2255579143364</v>
      </c>
    </row>
    <row r="436" spans="3:9" x14ac:dyDescent="0.25">
      <c r="C436" s="41">
        <v>1859.63</v>
      </c>
      <c r="D436" s="41">
        <v>6772.99</v>
      </c>
      <c r="E436" s="34">
        <f t="shared" si="30"/>
        <v>9617.8343949038044</v>
      </c>
      <c r="F436" s="35">
        <f t="shared" si="31"/>
        <v>6727.4395176970611</v>
      </c>
      <c r="G436" s="35">
        <f t="shared" si="32"/>
        <v>8872.8967230962771</v>
      </c>
      <c r="H436" s="36">
        <f t="shared" si="33"/>
        <v>-45.55048230293869</v>
      </c>
      <c r="I436" s="36">
        <f t="shared" si="34"/>
        <v>2074.8464380303308</v>
      </c>
    </row>
    <row r="437" spans="3:9" x14ac:dyDescent="0.25">
      <c r="C437" s="41">
        <v>1862.76</v>
      </c>
      <c r="D437" s="41">
        <v>6788.09</v>
      </c>
      <c r="E437" s="34">
        <f t="shared" si="30"/>
        <v>9648.5623003200872</v>
      </c>
      <c r="F437" s="35">
        <f t="shared" si="31"/>
        <v>6741.3305449703448</v>
      </c>
      <c r="G437" s="35">
        <f t="shared" si="32"/>
        <v>8879.2155579808568</v>
      </c>
      <c r="H437" s="36">
        <f t="shared" si="33"/>
        <v>-46.759455029655328</v>
      </c>
      <c r="I437" s="36">
        <f t="shared" si="34"/>
        <v>2186.4466346703589</v>
      </c>
    </row>
    <row r="438" spans="3:9" x14ac:dyDescent="0.25">
      <c r="C438" s="41">
        <v>1865.89</v>
      </c>
      <c r="D438" s="41">
        <v>6803.19</v>
      </c>
      <c r="E438" s="34">
        <f t="shared" si="30"/>
        <v>9648.562300318803</v>
      </c>
      <c r="F438" s="35">
        <f t="shared" si="31"/>
        <v>6755.2314647410194</v>
      </c>
      <c r="G438" s="35">
        <f t="shared" si="32"/>
        <v>8885.5388928247557</v>
      </c>
      <c r="H438" s="36">
        <f t="shared" si="33"/>
        <v>-47.958535258980191</v>
      </c>
      <c r="I438" s="36">
        <f t="shared" si="34"/>
        <v>2300.0211041868461</v>
      </c>
    </row>
    <row r="439" spans="3:9" x14ac:dyDescent="0.25">
      <c r="C439" s="41">
        <v>1869.02</v>
      </c>
      <c r="D439" s="41">
        <v>6818.29</v>
      </c>
      <c r="E439" s="34">
        <f t="shared" si="30"/>
        <v>9648.5623003200872</v>
      </c>
      <c r="F439" s="35">
        <f t="shared" si="31"/>
        <v>6769.1422840540354</v>
      </c>
      <c r="G439" s="35">
        <f t="shared" si="32"/>
        <v>8891.8667308326203</v>
      </c>
      <c r="H439" s="36">
        <f t="shared" si="33"/>
        <v>-49.147715945964592</v>
      </c>
      <c r="I439" s="36">
        <f t="shared" si="34"/>
        <v>2415.4979827052221</v>
      </c>
    </row>
    <row r="440" spans="3:9" x14ac:dyDescent="0.25">
      <c r="C440" s="41">
        <v>1872.16</v>
      </c>
      <c r="D440" s="41">
        <v>6833.41</v>
      </c>
      <c r="E440" s="34">
        <f t="shared" si="30"/>
        <v>9630.5732484072669</v>
      </c>
      <c r="F440" s="35">
        <f t="shared" si="31"/>
        <v>6783.107501005321</v>
      </c>
      <c r="G440" s="35">
        <f t="shared" si="32"/>
        <v>8898.2193135686884</v>
      </c>
      <c r="H440" s="36">
        <f t="shared" si="33"/>
        <v>-50.302498994678899</v>
      </c>
      <c r="I440" s="36">
        <f t="shared" si="34"/>
        <v>2530.3414051096715</v>
      </c>
    </row>
    <row r="441" spans="3:9" x14ac:dyDescent="0.25">
      <c r="C441" s="41">
        <v>1875.3</v>
      </c>
      <c r="D441" s="41">
        <v>6848.57</v>
      </c>
      <c r="E441" s="34">
        <f t="shared" si="30"/>
        <v>9656.0509554143118</v>
      </c>
      <c r="F441" s="35">
        <f t="shared" si="31"/>
        <v>6797.0826950737646</v>
      </c>
      <c r="G441" s="35">
        <f t="shared" si="32"/>
        <v>8904.5764347564273</v>
      </c>
      <c r="H441" s="36">
        <f t="shared" si="33"/>
        <v>-51.487304926235083</v>
      </c>
      <c r="I441" s="36">
        <f t="shared" si="34"/>
        <v>2650.9425685671113</v>
      </c>
    </row>
    <row r="442" spans="3:9" x14ac:dyDescent="0.25">
      <c r="C442" s="41">
        <v>1878.45</v>
      </c>
      <c r="D442" s="41">
        <v>6863.72</v>
      </c>
      <c r="E442" s="34">
        <f t="shared" si="30"/>
        <v>9619.0476190476875</v>
      </c>
      <c r="F442" s="35">
        <f t="shared" si="31"/>
        <v>6811.1124281284328</v>
      </c>
      <c r="G442" s="35">
        <f t="shared" si="32"/>
        <v>8910.9583649695869</v>
      </c>
      <c r="H442" s="36">
        <f t="shared" si="33"/>
        <v>-52.607571871567416</v>
      </c>
      <c r="I442" s="36">
        <f t="shared" si="34"/>
        <v>2767.556618222131</v>
      </c>
    </row>
    <row r="443" spans="3:9" x14ac:dyDescent="0.25">
      <c r="C443" s="41">
        <v>1881.59</v>
      </c>
      <c r="D443" s="41">
        <v>6878.88</v>
      </c>
      <c r="E443" s="34">
        <f t="shared" si="30"/>
        <v>9656.0509554143118</v>
      </c>
      <c r="F443" s="35">
        <f t="shared" si="31"/>
        <v>6825.1076296510964</v>
      </c>
      <c r="G443" s="35">
        <f t="shared" si="32"/>
        <v>8917.3245872696625</v>
      </c>
      <c r="H443" s="36">
        <f t="shared" si="33"/>
        <v>-53.772370348903678</v>
      </c>
      <c r="I443" s="36">
        <f t="shared" si="34"/>
        <v>2891.4678129396552</v>
      </c>
    </row>
    <row r="444" spans="3:9" x14ac:dyDescent="0.25">
      <c r="C444" s="41">
        <v>1884.74</v>
      </c>
      <c r="D444" s="41">
        <v>6894.03</v>
      </c>
      <c r="E444" s="34">
        <f t="shared" si="30"/>
        <v>9619.047619047109</v>
      </c>
      <c r="F444" s="35">
        <f t="shared" si="31"/>
        <v>6839.1574482402111</v>
      </c>
      <c r="G444" s="35">
        <f t="shared" si="32"/>
        <v>8923.7156541127642</v>
      </c>
      <c r="H444" s="36">
        <f t="shared" si="33"/>
        <v>-54.872551759788621</v>
      </c>
      <c r="I444" s="36">
        <f t="shared" si="34"/>
        <v>3010.9969366306814</v>
      </c>
    </row>
    <row r="445" spans="3:9" x14ac:dyDescent="0.25">
      <c r="C445" s="41">
        <v>1887.88</v>
      </c>
      <c r="D445" s="41">
        <v>6909.19</v>
      </c>
      <c r="E445" s="34">
        <f t="shared" si="30"/>
        <v>9656.0509554136115</v>
      </c>
      <c r="F445" s="35">
        <f t="shared" si="31"/>
        <v>6853.1726858605834</v>
      </c>
      <c r="G445" s="35">
        <f t="shared" si="32"/>
        <v>8930.0909905547014</v>
      </c>
      <c r="H445" s="36">
        <f t="shared" si="33"/>
        <v>-56.017314139416158</v>
      </c>
      <c r="I445" s="36">
        <f t="shared" si="34"/>
        <v>3137.9394833940332</v>
      </c>
    </row>
    <row r="446" spans="3:9" x14ac:dyDescent="0.25">
      <c r="C446" s="41">
        <v>1891.03</v>
      </c>
      <c r="D446" s="41">
        <v>6924.36</v>
      </c>
      <c r="E446" s="34">
        <f t="shared" si="30"/>
        <v>9631.7460317464956</v>
      </c>
      <c r="F446" s="35">
        <f t="shared" si="31"/>
        <v>6867.2426187394076</v>
      </c>
      <c r="G446" s="35">
        <f t="shared" si="32"/>
        <v>8936.4912071081162</v>
      </c>
      <c r="H446" s="36">
        <f t="shared" si="33"/>
        <v>-57.117381260592083</v>
      </c>
      <c r="I446" s="36">
        <f t="shared" si="34"/>
        <v>3262.3952420678356</v>
      </c>
    </row>
    <row r="447" spans="3:9" x14ac:dyDescent="0.25">
      <c r="C447" s="41">
        <v>1894.2</v>
      </c>
      <c r="D447" s="41">
        <v>6939.62</v>
      </c>
      <c r="E447" s="34">
        <f t="shared" si="30"/>
        <v>9627.7602523658461</v>
      </c>
      <c r="F447" s="35">
        <f t="shared" si="31"/>
        <v>6881.4120647346826</v>
      </c>
      <c r="G447" s="35">
        <f t="shared" si="32"/>
        <v>8942.9366907925596</v>
      </c>
      <c r="H447" s="36">
        <f t="shared" si="33"/>
        <v>-58.207935265317246</v>
      </c>
      <c r="I447" s="36">
        <f t="shared" si="34"/>
        <v>3388.1637278513631</v>
      </c>
    </row>
    <row r="448" spans="3:9" x14ac:dyDescent="0.25">
      <c r="C448" s="41">
        <v>1897.36</v>
      </c>
      <c r="D448" s="41">
        <v>6954.89</v>
      </c>
      <c r="E448" s="34">
        <f t="shared" si="30"/>
        <v>9664.5569620260376</v>
      </c>
      <c r="F448" s="35">
        <f t="shared" si="31"/>
        <v>6895.5469836221237</v>
      </c>
      <c r="G448" s="35">
        <f t="shared" si="32"/>
        <v>8949.3664685764143</v>
      </c>
      <c r="H448" s="36">
        <f t="shared" si="33"/>
        <v>-59.343016377876666</v>
      </c>
      <c r="I448" s="36">
        <f t="shared" si="34"/>
        <v>3521.5935928249382</v>
      </c>
    </row>
    <row r="449" spans="3:9" x14ac:dyDescent="0.25">
      <c r="C449" s="41">
        <v>1900.53</v>
      </c>
      <c r="D449" s="41">
        <v>6970.15</v>
      </c>
      <c r="E449" s="34">
        <f t="shared" si="30"/>
        <v>9627.7602523652731</v>
      </c>
      <c r="F449" s="35">
        <f t="shared" si="31"/>
        <v>6909.7368442653615</v>
      </c>
      <c r="G449" s="35">
        <f t="shared" si="32"/>
        <v>8955.8212385999577</v>
      </c>
      <c r="H449" s="36">
        <f t="shared" si="33"/>
        <v>-60.413155734638167</v>
      </c>
      <c r="I449" s="36">
        <f t="shared" si="34"/>
        <v>3649.7493858176445</v>
      </c>
    </row>
    <row r="450" spans="3:9" x14ac:dyDescent="0.25">
      <c r="C450" s="41">
        <v>1903.7</v>
      </c>
      <c r="D450" s="41">
        <v>6985.41</v>
      </c>
      <c r="E450" s="34">
        <f t="shared" si="30"/>
        <v>9627.7602523658461</v>
      </c>
      <c r="F450" s="35">
        <f t="shared" si="31"/>
        <v>6923.9369394081577</v>
      </c>
      <c r="G450" s="35">
        <f t="shared" si="32"/>
        <v>8962.2806641548432</v>
      </c>
      <c r="H450" s="36">
        <f t="shared" si="33"/>
        <v>-61.473060591842113</v>
      </c>
      <c r="I450" s="36">
        <f t="shared" si="34"/>
        <v>3778.937178528292</v>
      </c>
    </row>
    <row r="451" spans="3:9" x14ac:dyDescent="0.25">
      <c r="C451" s="41">
        <v>1906.86</v>
      </c>
      <c r="D451" s="41">
        <v>7000.68</v>
      </c>
      <c r="E451" s="34">
        <f t="shared" si="30"/>
        <v>9664.5569620260376</v>
      </c>
      <c r="F451" s="35">
        <f t="shared" si="31"/>
        <v>6938.1024327594359</v>
      </c>
      <c r="G451" s="35">
        <f t="shared" si="32"/>
        <v>8968.7243498365715</v>
      </c>
      <c r="H451" s="36">
        <f t="shared" si="33"/>
        <v>-62.577567240564349</v>
      </c>
      <c r="I451" s="36">
        <f t="shared" si="34"/>
        <v>3915.9519217473526</v>
      </c>
    </row>
    <row r="452" spans="3:9" x14ac:dyDescent="0.25">
      <c r="C452" s="41">
        <v>1910.03</v>
      </c>
      <c r="D452" s="41">
        <v>7015.94</v>
      </c>
      <c r="E452" s="34">
        <f t="shared" si="30"/>
        <v>9627.7602523652731</v>
      </c>
      <c r="F452" s="35">
        <f t="shared" si="31"/>
        <v>6952.3229867079954</v>
      </c>
      <c r="G452" s="35">
        <f t="shared" si="32"/>
        <v>8975.1930818173241</v>
      </c>
      <c r="H452" s="36">
        <f t="shared" si="33"/>
        <v>-63.617013292004231</v>
      </c>
      <c r="I452" s="36">
        <f t="shared" si="34"/>
        <v>4047.1243801950432</v>
      </c>
    </row>
    <row r="453" spans="3:9" x14ac:dyDescent="0.25">
      <c r="C453" s="41">
        <v>1913.2</v>
      </c>
      <c r="D453" s="41">
        <v>7031.23</v>
      </c>
      <c r="E453" s="34">
        <f t="shared" si="30"/>
        <v>9646.687697160638</v>
      </c>
      <c r="F453" s="35">
        <f t="shared" si="31"/>
        <v>6966.5537972937873</v>
      </c>
      <c r="G453" s="35">
        <f t="shared" si="32"/>
        <v>8981.6664793995405</v>
      </c>
      <c r="H453" s="36">
        <f t="shared" si="33"/>
        <v>-64.67620270621228</v>
      </c>
      <c r="I453" s="36">
        <f t="shared" si="34"/>
        <v>4183.0111964950602</v>
      </c>
    </row>
    <row r="454" spans="3:9" x14ac:dyDescent="0.25">
      <c r="C454" s="41">
        <v>1916.37</v>
      </c>
      <c r="D454" s="41">
        <v>7046.52</v>
      </c>
      <c r="E454" s="34">
        <f t="shared" si="30"/>
        <v>9646.6876971619058</v>
      </c>
      <c r="F454" s="35">
        <f t="shared" si="31"/>
        <v>6980.7948719144633</v>
      </c>
      <c r="G454" s="35">
        <f t="shared" si="32"/>
        <v>8988.1445459483039</v>
      </c>
      <c r="H454" s="36">
        <f t="shared" si="33"/>
        <v>-65.725128085537108</v>
      </c>
      <c r="I454" s="36">
        <f t="shared" si="34"/>
        <v>4319.7924618602583</v>
      </c>
    </row>
    <row r="455" spans="3:9" x14ac:dyDescent="0.25">
      <c r="C455" s="41">
        <v>1919.54</v>
      </c>
      <c r="D455" s="41">
        <v>7061.81</v>
      </c>
      <c r="E455" s="34">
        <f t="shared" si="30"/>
        <v>9646.687697160638</v>
      </c>
      <c r="F455" s="35">
        <f t="shared" si="31"/>
        <v>6995.0462179729939</v>
      </c>
      <c r="G455" s="35">
        <f t="shared" si="32"/>
        <v>8994.6272848311273</v>
      </c>
      <c r="H455" s="36">
        <f t="shared" si="33"/>
        <v>-66.763782027006528</v>
      </c>
      <c r="I455" s="36">
        <f t="shared" si="34"/>
        <v>4457.4025905496401</v>
      </c>
    </row>
    <row r="456" spans="3:9" x14ac:dyDescent="0.25">
      <c r="C456" s="41">
        <v>1922.88</v>
      </c>
      <c r="D456" s="41">
        <v>7077.1</v>
      </c>
      <c r="E456" s="34">
        <f t="shared" si="30"/>
        <v>9155.6886227540708</v>
      </c>
      <c r="F456" s="35">
        <f t="shared" si="31"/>
        <v>7010.0729524186636</v>
      </c>
      <c r="G456" s="35">
        <f t="shared" si="32"/>
        <v>9001.4627370945636</v>
      </c>
      <c r="H456" s="36">
        <f t="shared" si="33"/>
        <v>-67.027047581336774</v>
      </c>
      <c r="I456" s="36">
        <f t="shared" si="34"/>
        <v>4492.6251074707843</v>
      </c>
    </row>
    <row r="457" spans="3:9" x14ac:dyDescent="0.25">
      <c r="C457" s="41">
        <v>1926.25</v>
      </c>
      <c r="D457" s="41">
        <v>7092.39</v>
      </c>
      <c r="E457" s="34">
        <f t="shared" ref="E457:E520" si="35">IF(C457="","",2*(D457-D456)/((C457-C456)/1000))</f>
        <v>9074.1839762613999</v>
      </c>
      <c r="F457" s="35">
        <f t="shared" ref="F457:F520" si="36">IF(C457="","",F$7+(F$9/F$10)*(EXP(F$10*(C457-F$8)/2000)-1))</f>
        <v>7025.2462314183022</v>
      </c>
      <c r="G457" s="35">
        <f t="shared" ref="G457:G520" si="37">IF(E457="","",F$9+(F457-F$7)*F$10)</f>
        <v>9008.3648504350767</v>
      </c>
      <c r="H457" s="36">
        <f t="shared" ref="H457:H520" si="38">IF(F457="","",F457-D457)</f>
        <v>-67.143768581698168</v>
      </c>
      <c r="I457" s="36">
        <f t="shared" ref="I457:I520" si="39">IF(H457="","",H457^2)</f>
        <v>4508.2856593526385</v>
      </c>
    </row>
    <row r="458" spans="3:9" x14ac:dyDescent="0.25">
      <c r="C458" s="41">
        <v>1929.62</v>
      </c>
      <c r="D458" s="41">
        <v>7107.67</v>
      </c>
      <c r="E458" s="34">
        <f t="shared" si="35"/>
        <v>9068.2492581603801</v>
      </c>
      <c r="F458" s="35">
        <f t="shared" si="36"/>
        <v>7040.4311449371844</v>
      </c>
      <c r="G458" s="35">
        <f t="shared" si="37"/>
        <v>9015.2722561563933</v>
      </c>
      <c r="H458" s="36">
        <f t="shared" si="38"/>
        <v>-67.238855062815674</v>
      </c>
      <c r="I458" s="36">
        <f t="shared" si="39"/>
        <v>4521.0636301583327</v>
      </c>
    </row>
    <row r="459" spans="3:9" x14ac:dyDescent="0.25">
      <c r="C459" s="41">
        <v>1932.99</v>
      </c>
      <c r="D459" s="41">
        <v>7122.99</v>
      </c>
      <c r="E459" s="34">
        <f t="shared" si="35"/>
        <v>9091.9881305633062</v>
      </c>
      <c r="F459" s="35">
        <f t="shared" si="36"/>
        <v>7055.6277018963847</v>
      </c>
      <c r="G459" s="35">
        <f t="shared" si="37"/>
        <v>9022.1849583165858</v>
      </c>
      <c r="H459" s="36">
        <f t="shared" si="38"/>
        <v>-67.362298103615103</v>
      </c>
      <c r="I459" s="36">
        <f t="shared" si="39"/>
        <v>4537.6792058003066</v>
      </c>
    </row>
    <row r="460" spans="3:9" x14ac:dyDescent="0.25">
      <c r="C460" s="41">
        <v>1936.37</v>
      </c>
      <c r="D460" s="41">
        <v>7138.3</v>
      </c>
      <c r="E460" s="34">
        <f t="shared" si="35"/>
        <v>9059.1715976336891</v>
      </c>
      <c r="F460" s="35">
        <f t="shared" si="36"/>
        <v>7070.8810567899673</v>
      </c>
      <c r="G460" s="35">
        <f t="shared" si="37"/>
        <v>9029.123497066259</v>
      </c>
      <c r="H460" s="36">
        <f t="shared" si="38"/>
        <v>-67.418943210032921</v>
      </c>
      <c r="I460" s="36">
        <f t="shared" si="39"/>
        <v>4545.3139035576442</v>
      </c>
    </row>
    <row r="461" spans="3:9" x14ac:dyDescent="0.25">
      <c r="C461" s="41">
        <v>1939.74</v>
      </c>
      <c r="D461" s="41">
        <v>7153.62</v>
      </c>
      <c r="E461" s="34">
        <f t="shared" si="35"/>
        <v>9091.9881305633062</v>
      </c>
      <c r="F461" s="35">
        <f t="shared" si="36"/>
        <v>7086.1009620369932</v>
      </c>
      <c r="G461" s="35">
        <f t="shared" si="37"/>
        <v>9036.0468200374744</v>
      </c>
      <c r="H461" s="36">
        <f t="shared" si="38"/>
        <v>-67.519037963006667</v>
      </c>
      <c r="I461" s="36">
        <f t="shared" si="39"/>
        <v>4558.8204874499352</v>
      </c>
    </row>
    <row r="462" spans="3:9" x14ac:dyDescent="0.25">
      <c r="C462" s="41">
        <v>1943.11</v>
      </c>
      <c r="D462" s="41">
        <v>7168.93</v>
      </c>
      <c r="E462" s="34">
        <f t="shared" si="35"/>
        <v>9086.0534124634396</v>
      </c>
      <c r="F462" s="35">
        <f t="shared" si="36"/>
        <v>7101.3325375551822</v>
      </c>
      <c r="G462" s="35">
        <f t="shared" si="37"/>
        <v>9042.9754516525427</v>
      </c>
      <c r="H462" s="36">
        <f t="shared" si="38"/>
        <v>-67.59746244481812</v>
      </c>
      <c r="I462" s="36">
        <f t="shared" si="39"/>
        <v>4569.4169289785959</v>
      </c>
    </row>
    <row r="463" spans="3:9" x14ac:dyDescent="0.25">
      <c r="C463" s="41">
        <v>1946.49</v>
      </c>
      <c r="D463" s="41">
        <v>7184.25</v>
      </c>
      <c r="E463" s="34">
        <f t="shared" si="35"/>
        <v>9065.0887573959844</v>
      </c>
      <c r="F463" s="35">
        <f t="shared" si="36"/>
        <v>7116.6210418914743</v>
      </c>
      <c r="G463" s="35">
        <f t="shared" si="37"/>
        <v>9049.9299793942755</v>
      </c>
      <c r="H463" s="36">
        <f t="shared" si="38"/>
        <v>-67.628958108525694</v>
      </c>
      <c r="I463" s="36">
        <f t="shared" si="39"/>
        <v>4573.675974844723</v>
      </c>
    </row>
    <row r="464" spans="3:9" x14ac:dyDescent="0.25">
      <c r="C464" s="41">
        <v>1949.86</v>
      </c>
      <c r="D464" s="41">
        <v>7199.56</v>
      </c>
      <c r="E464" s="34">
        <f t="shared" si="35"/>
        <v>9086.0534124634396</v>
      </c>
      <c r="F464" s="35">
        <f t="shared" si="36"/>
        <v>7131.8760195006889</v>
      </c>
      <c r="G464" s="35">
        <f t="shared" si="37"/>
        <v>9056.8692562946962</v>
      </c>
      <c r="H464" s="36">
        <f t="shared" si="38"/>
        <v>-67.683980499311474</v>
      </c>
      <c r="I464" s="36">
        <f t="shared" si="39"/>
        <v>4581.1212162311758</v>
      </c>
    </row>
    <row r="465" spans="3:9" x14ac:dyDescent="0.25">
      <c r="C465" s="41">
        <v>1953.24</v>
      </c>
      <c r="D465" s="41">
        <v>7214.89</v>
      </c>
      <c r="E465" s="34">
        <f t="shared" si="35"/>
        <v>9071.0059171594276</v>
      </c>
      <c r="F465" s="35">
        <f t="shared" si="36"/>
        <v>7147.1880133945551</v>
      </c>
      <c r="G465" s="35">
        <f t="shared" si="37"/>
        <v>9063.8344691090933</v>
      </c>
      <c r="H465" s="36">
        <f t="shared" si="38"/>
        <v>-67.7019866054452</v>
      </c>
      <c r="I465" s="36">
        <f t="shared" si="39"/>
        <v>4583.5589903238815</v>
      </c>
    </row>
    <row r="466" spans="3:9" x14ac:dyDescent="0.25">
      <c r="C466" s="41">
        <v>1956.61</v>
      </c>
      <c r="D466" s="41">
        <v>7230.22</v>
      </c>
      <c r="E466" s="34">
        <f t="shared" si="35"/>
        <v>9097.922848664939</v>
      </c>
      <c r="F466" s="35">
        <f t="shared" si="36"/>
        <v>7162.4664290502224</v>
      </c>
      <c r="G466" s="35">
        <f t="shared" si="37"/>
        <v>9070.784407650488</v>
      </c>
      <c r="H466" s="36">
        <f t="shared" si="38"/>
        <v>-67.753570949777895</v>
      </c>
      <c r="I466" s="36">
        <f t="shared" si="39"/>
        <v>4590.5463764465867</v>
      </c>
    </row>
    <row r="467" spans="3:9" x14ac:dyDescent="0.25">
      <c r="C467" s="41">
        <v>1959.99</v>
      </c>
      <c r="D467" s="41">
        <v>7245.54</v>
      </c>
      <c r="E467" s="34">
        <f t="shared" si="35"/>
        <v>9065.0887573959844</v>
      </c>
      <c r="F467" s="35">
        <f t="shared" si="36"/>
        <v>7177.8019485914811</v>
      </c>
      <c r="G467" s="35">
        <f t="shared" si="37"/>
        <v>9077.7603219543089</v>
      </c>
      <c r="H467" s="36">
        <f t="shared" si="38"/>
        <v>-67.738051408518913</v>
      </c>
      <c r="I467" s="36">
        <f t="shared" si="39"/>
        <v>4588.4436086231508</v>
      </c>
    </row>
    <row r="468" spans="3:9" x14ac:dyDescent="0.25">
      <c r="C468" s="41">
        <v>1963.36</v>
      </c>
      <c r="D468" s="41">
        <v>7260.87</v>
      </c>
      <c r="E468" s="34">
        <f t="shared" si="35"/>
        <v>9097.922848664939</v>
      </c>
      <c r="F468" s="35">
        <f t="shared" si="36"/>
        <v>7193.1038383042796</v>
      </c>
      <c r="G468" s="35">
        <f t="shared" si="37"/>
        <v>9084.7209385174319</v>
      </c>
      <c r="H468" s="36">
        <f t="shared" si="38"/>
        <v>-67.766161695720257</v>
      </c>
      <c r="I468" s="36">
        <f t="shared" si="39"/>
        <v>4592.2526709705035</v>
      </c>
    </row>
    <row r="469" spans="3:9" x14ac:dyDescent="0.25">
      <c r="C469" s="41">
        <v>1966.74</v>
      </c>
      <c r="D469" s="41">
        <v>7276.2</v>
      </c>
      <c r="E469" s="34">
        <f t="shared" si="35"/>
        <v>9071.0059171594276</v>
      </c>
      <c r="F469" s="35">
        <f t="shared" si="36"/>
        <v>7208.4629196381911</v>
      </c>
      <c r="G469" s="35">
        <f t="shared" si="37"/>
        <v>9091.707570752651</v>
      </c>
      <c r="H469" s="36">
        <f t="shared" si="38"/>
        <v>-67.737080361808694</v>
      </c>
      <c r="I469" s="36">
        <f t="shared" si="39"/>
        <v>4588.3120559421286</v>
      </c>
    </row>
    <row r="470" spans="3:9" x14ac:dyDescent="0.25">
      <c r="C470" s="41">
        <v>1970.12</v>
      </c>
      <c r="D470" s="41">
        <v>7291.53</v>
      </c>
      <c r="E470" s="34">
        <f t="shared" si="35"/>
        <v>9071.0059171600369</v>
      </c>
      <c r="F470" s="35">
        <f t="shared" si="36"/>
        <v>7223.8338129202621</v>
      </c>
      <c r="G470" s="35">
        <f t="shared" si="37"/>
        <v>9098.6995760786158</v>
      </c>
      <c r="H470" s="36">
        <f t="shared" si="38"/>
        <v>-67.696187079737683</v>
      </c>
      <c r="I470" s="36">
        <f t="shared" si="39"/>
        <v>4582.773745134843</v>
      </c>
    </row>
    <row r="471" spans="3:9" x14ac:dyDescent="0.25">
      <c r="C471" s="41">
        <v>1973.48</v>
      </c>
      <c r="D471" s="41">
        <v>7306.81</v>
      </c>
      <c r="E471" s="34">
        <f t="shared" si="35"/>
        <v>9095.2380952381409</v>
      </c>
      <c r="F471" s="35">
        <f t="shared" si="36"/>
        <v>7239.1254704720213</v>
      </c>
      <c r="G471" s="35">
        <f t="shared" si="37"/>
        <v>9105.6555381741582</v>
      </c>
      <c r="H471" s="36">
        <f t="shared" si="38"/>
        <v>-67.684529527979066</v>
      </c>
      <c r="I471" s="36">
        <f t="shared" si="39"/>
        <v>4581.1955374238705</v>
      </c>
    </row>
    <row r="472" spans="3:9" x14ac:dyDescent="0.25">
      <c r="C472" s="41">
        <v>1976.85</v>
      </c>
      <c r="D472" s="41">
        <v>7322.09</v>
      </c>
      <c r="E472" s="34">
        <f t="shared" si="35"/>
        <v>9068.2492581603801</v>
      </c>
      <c r="F472" s="35">
        <f t="shared" si="36"/>
        <v>7254.4743816424225</v>
      </c>
      <c r="G472" s="35">
        <f t="shared" si="37"/>
        <v>9112.6375441436066</v>
      </c>
      <c r="H472" s="36">
        <f t="shared" si="38"/>
        <v>-67.615618357577659</v>
      </c>
      <c r="I472" s="36">
        <f t="shared" si="39"/>
        <v>4571.8718458775929</v>
      </c>
    </row>
    <row r="473" spans="3:9" x14ac:dyDescent="0.25">
      <c r="C473" s="41">
        <v>1980.21</v>
      </c>
      <c r="D473" s="41">
        <v>7337.36</v>
      </c>
      <c r="E473" s="34">
        <f t="shared" si="35"/>
        <v>9089.285714285088</v>
      </c>
      <c r="F473" s="35">
        <f t="shared" si="36"/>
        <v>7269.789463930083</v>
      </c>
      <c r="G473" s="35">
        <f t="shared" si="37"/>
        <v>9119.6041618253403</v>
      </c>
      <c r="H473" s="36">
        <f t="shared" si="38"/>
        <v>-67.57053606991667</v>
      </c>
      <c r="I473" s="36">
        <f t="shared" si="39"/>
        <v>4565.77734477591</v>
      </c>
    </row>
    <row r="474" spans="3:9" x14ac:dyDescent="0.25">
      <c r="C474" s="41">
        <v>1983.58</v>
      </c>
      <c r="D474" s="41">
        <v>7352.64</v>
      </c>
      <c r="E474" s="34">
        <f t="shared" si="35"/>
        <v>9068.2492581609204</v>
      </c>
      <c r="F474" s="35">
        <f t="shared" si="36"/>
        <v>7285.1618875411295</v>
      </c>
      <c r="G474" s="35">
        <f t="shared" si="37"/>
        <v>9126.5968632766453</v>
      </c>
      <c r="H474" s="36">
        <f t="shared" si="38"/>
        <v>-67.478112458870783</v>
      </c>
      <c r="I474" s="36">
        <f t="shared" si="39"/>
        <v>4553.2956610120127</v>
      </c>
    </row>
    <row r="475" spans="3:9" x14ac:dyDescent="0.25">
      <c r="C475" s="41">
        <v>1986.94</v>
      </c>
      <c r="D475" s="41">
        <v>7367.92</v>
      </c>
      <c r="E475" s="34">
        <f t="shared" si="35"/>
        <v>9095.2380952375988</v>
      </c>
      <c r="F475" s="35">
        <f t="shared" si="36"/>
        <v>7300.5004304481963</v>
      </c>
      <c r="G475" s="35">
        <f t="shared" si="37"/>
        <v>9133.5741528674735</v>
      </c>
      <c r="H475" s="36">
        <f t="shared" si="38"/>
        <v>-67.419569551803761</v>
      </c>
      <c r="I475" s="36">
        <f t="shared" si="39"/>
        <v>4545.3983585505048</v>
      </c>
    </row>
    <row r="476" spans="3:9" x14ac:dyDescent="0.25">
      <c r="C476" s="41">
        <v>1990.31</v>
      </c>
      <c r="D476" s="41">
        <v>7383.19</v>
      </c>
      <c r="E476" s="34">
        <f t="shared" si="35"/>
        <v>9062.3145400593603</v>
      </c>
      <c r="F476" s="35">
        <f t="shared" si="36"/>
        <v>7315.8964025177384</v>
      </c>
      <c r="G476" s="35">
        <f t="shared" si="37"/>
        <v>9140.5775661846565</v>
      </c>
      <c r="H476" s="36">
        <f t="shared" si="38"/>
        <v>-67.293597482261248</v>
      </c>
      <c r="I476" s="36">
        <f t="shared" si="39"/>
        <v>4528.4282621045977</v>
      </c>
    </row>
    <row r="477" spans="3:9" x14ac:dyDescent="0.25">
      <c r="C477" s="41">
        <v>1993.67</v>
      </c>
      <c r="D477" s="41">
        <v>7398.44</v>
      </c>
      <c r="E477" s="34">
        <f t="shared" si="35"/>
        <v>9077.3809523806085</v>
      </c>
      <c r="F477" s="35">
        <f t="shared" si="36"/>
        <v>7331.2584419826853</v>
      </c>
      <c r="G477" s="35">
        <f t="shared" si="37"/>
        <v>9147.5655440324917</v>
      </c>
      <c r="H477" s="36">
        <f t="shared" si="38"/>
        <v>-67.181558017314273</v>
      </c>
      <c r="I477" s="36">
        <f t="shared" si="39"/>
        <v>4513.3617376337634</v>
      </c>
    </row>
    <row r="478" spans="3:9" x14ac:dyDescent="0.25">
      <c r="C478" s="41">
        <v>1997.02</v>
      </c>
      <c r="D478" s="41">
        <v>7413.68</v>
      </c>
      <c r="E478" s="34">
        <f t="shared" si="35"/>
        <v>9098.5074626872265</v>
      </c>
      <c r="F478" s="35">
        <f t="shared" si="36"/>
        <v>7346.5864529951168</v>
      </c>
      <c r="G478" s="35">
        <f t="shared" si="37"/>
        <v>9154.5380428111002</v>
      </c>
      <c r="H478" s="36">
        <f t="shared" si="38"/>
        <v>-67.093547004883476</v>
      </c>
      <c r="I478" s="36">
        <f t="shared" si="39"/>
        <v>4501.5440496965084</v>
      </c>
    </row>
    <row r="479" spans="3:9" x14ac:dyDescent="0.25">
      <c r="C479" s="41">
        <v>2000.38</v>
      </c>
      <c r="D479" s="41">
        <v>7428.91</v>
      </c>
      <c r="E479" s="34">
        <f t="shared" si="35"/>
        <v>9065.4761904755869</v>
      </c>
      <c r="F479" s="35">
        <f t="shared" si="36"/>
        <v>7361.9719550248019</v>
      </c>
      <c r="G479" s="35">
        <f t="shared" si="37"/>
        <v>9161.5366934529375</v>
      </c>
      <c r="H479" s="36">
        <f t="shared" si="38"/>
        <v>-66.938044975197954</v>
      </c>
      <c r="I479" s="36">
        <f t="shared" si="39"/>
        <v>4480.7018651016242</v>
      </c>
    </row>
    <row r="480" spans="3:9" x14ac:dyDescent="0.25">
      <c r="C480" s="41">
        <v>2003.73</v>
      </c>
      <c r="D480" s="41">
        <v>7444.15</v>
      </c>
      <c r="E480" s="34">
        <f t="shared" si="35"/>
        <v>9098.5074626866844</v>
      </c>
      <c r="F480" s="35">
        <f t="shared" si="36"/>
        <v>7377.3233766300445</v>
      </c>
      <c r="G480" s="35">
        <f t="shared" si="37"/>
        <v>9168.5198413842409</v>
      </c>
      <c r="H480" s="36">
        <f t="shared" si="38"/>
        <v>-66.826623369955087</v>
      </c>
      <c r="I480" s="36">
        <f t="shared" si="39"/>
        <v>4465.7975910298273</v>
      </c>
    </row>
    <row r="481" spans="3:9" x14ac:dyDescent="0.25">
      <c r="C481" s="41">
        <v>2007.09</v>
      </c>
      <c r="D481" s="41">
        <v>7459.39</v>
      </c>
      <c r="E481" s="34">
        <f t="shared" si="35"/>
        <v>9071.4285714292528</v>
      </c>
      <c r="F481" s="35">
        <f t="shared" si="36"/>
        <v>7392.7323770590247</v>
      </c>
      <c r="G481" s="35">
        <f t="shared" si="37"/>
        <v>9175.5291811207208</v>
      </c>
      <c r="H481" s="36">
        <f t="shared" si="38"/>
        <v>-66.657622940975671</v>
      </c>
      <c r="I481" s="36">
        <f t="shared" si="39"/>
        <v>4443.2386961412858</v>
      </c>
    </row>
    <row r="482" spans="3:9" x14ac:dyDescent="0.25">
      <c r="C482" s="41">
        <v>2010.45</v>
      </c>
      <c r="D482" s="41">
        <v>7474.62</v>
      </c>
      <c r="E482" s="34">
        <f t="shared" si="35"/>
        <v>9065.4761904755869</v>
      </c>
      <c r="F482" s="35">
        <f t="shared" si="36"/>
        <v>7408.1531576794523</v>
      </c>
      <c r="G482" s="35">
        <f t="shared" si="37"/>
        <v>9182.5438795022601</v>
      </c>
      <c r="H482" s="36">
        <f t="shared" si="38"/>
        <v>-66.466842320547585</v>
      </c>
      <c r="I482" s="36">
        <f t="shared" si="39"/>
        <v>4417.841128064535</v>
      </c>
    </row>
    <row r="483" spans="3:9" x14ac:dyDescent="0.25">
      <c r="C483" s="41">
        <v>2013.8</v>
      </c>
      <c r="D483" s="41">
        <v>7489.86</v>
      </c>
      <c r="E483" s="34">
        <f t="shared" si="35"/>
        <v>9098.5074626866844</v>
      </c>
      <c r="F483" s="35">
        <f t="shared" si="36"/>
        <v>7423.5397797298374</v>
      </c>
      <c r="G483" s="35">
        <f t="shared" si="37"/>
        <v>9189.543039625918</v>
      </c>
      <c r="H483" s="36">
        <f t="shared" si="38"/>
        <v>-66.320220270162281</v>
      </c>
      <c r="I483" s="36">
        <f t="shared" si="39"/>
        <v>4398.3716166828435</v>
      </c>
    </row>
    <row r="484" spans="3:9" x14ac:dyDescent="0.25">
      <c r="C484" s="41">
        <v>2017.16</v>
      </c>
      <c r="D484" s="41">
        <v>7505.09</v>
      </c>
      <c r="E484" s="34">
        <f t="shared" si="35"/>
        <v>9065.476190476129</v>
      </c>
      <c r="F484" s="35">
        <f t="shared" si="36"/>
        <v>7438.9841126308347</v>
      </c>
      <c r="G484" s="35">
        <f t="shared" si="37"/>
        <v>9196.56845161194</v>
      </c>
      <c r="H484" s="36">
        <f t="shared" si="38"/>
        <v>-66.10588736916543</v>
      </c>
      <c r="I484" s="36">
        <f t="shared" si="39"/>
        <v>4369.9883448647852</v>
      </c>
    </row>
    <row r="485" spans="3:9" x14ac:dyDescent="0.25">
      <c r="C485" s="41">
        <v>2020.48</v>
      </c>
      <c r="D485" s="41">
        <v>7520.33</v>
      </c>
      <c r="E485" s="34">
        <f t="shared" si="35"/>
        <v>9180.722891566309</v>
      </c>
      <c r="F485" s="35">
        <f t="shared" si="36"/>
        <v>7454.2561815876006</v>
      </c>
      <c r="G485" s="35">
        <f t="shared" si="37"/>
        <v>9203.5155031283775</v>
      </c>
      <c r="H485" s="36">
        <f t="shared" si="38"/>
        <v>-66.073818412399305</v>
      </c>
      <c r="I485" s="36">
        <f t="shared" si="39"/>
        <v>4365.7494795947177</v>
      </c>
    </row>
    <row r="486" spans="3:9" x14ac:dyDescent="0.25">
      <c r="C486" s="41">
        <v>2023.65</v>
      </c>
      <c r="D486" s="41">
        <v>7535.57</v>
      </c>
      <c r="E486" s="34">
        <f t="shared" si="35"/>
        <v>9615.1419558356029</v>
      </c>
      <c r="F486" s="35">
        <f t="shared" si="36"/>
        <v>7468.8490137032441</v>
      </c>
      <c r="G486" s="35">
        <f t="shared" si="37"/>
        <v>9210.153579263646</v>
      </c>
      <c r="H486" s="36">
        <f t="shared" si="38"/>
        <v>-66.720986296755655</v>
      </c>
      <c r="I486" s="36">
        <f t="shared" si="39"/>
        <v>4451.6900124118556</v>
      </c>
    </row>
    <row r="487" spans="3:9" x14ac:dyDescent="0.25">
      <c r="C487" s="41">
        <v>2026.81</v>
      </c>
      <c r="D487" s="41">
        <v>7550.8</v>
      </c>
      <c r="E487" s="34">
        <f t="shared" si="35"/>
        <v>9639.2405063298575</v>
      </c>
      <c r="F487" s="35">
        <f t="shared" si="36"/>
        <v>7483.4062870335802</v>
      </c>
      <c r="G487" s="35">
        <f t="shared" si="37"/>
        <v>9216.7754802026066</v>
      </c>
      <c r="H487" s="36">
        <f t="shared" si="38"/>
        <v>-67.393712966420026</v>
      </c>
      <c r="I487" s="36">
        <f t="shared" si="39"/>
        <v>4541.9125474002103</v>
      </c>
    </row>
    <row r="488" spans="3:9" x14ac:dyDescent="0.25">
      <c r="C488" s="41">
        <v>2029.97</v>
      </c>
      <c r="D488" s="41">
        <v>7566.04</v>
      </c>
      <c r="E488" s="34">
        <f t="shared" si="35"/>
        <v>9645.5696202527761</v>
      </c>
      <c r="F488" s="35">
        <f t="shared" si="36"/>
        <v>7497.9740267281459</v>
      </c>
      <c r="G488" s="35">
        <f t="shared" si="37"/>
        <v>9223.4021421449215</v>
      </c>
      <c r="H488" s="36">
        <f t="shared" si="38"/>
        <v>-68.065973271854091</v>
      </c>
      <c r="I488" s="36">
        <f t="shared" si="39"/>
        <v>4632.9767174447552</v>
      </c>
    </row>
    <row r="489" spans="3:9" x14ac:dyDescent="0.25">
      <c r="C489" s="41">
        <v>2033.13</v>
      </c>
      <c r="D489" s="41">
        <v>7581.28</v>
      </c>
      <c r="E489" s="34">
        <f t="shared" si="35"/>
        <v>9645.5696202527761</v>
      </c>
      <c r="F489" s="35">
        <f t="shared" si="36"/>
        <v>7512.5522403120231</v>
      </c>
      <c r="G489" s="35">
        <f t="shared" si="37"/>
        <v>9230.0335685136415</v>
      </c>
      <c r="H489" s="36">
        <f t="shared" si="38"/>
        <v>-68.727759687976686</v>
      </c>
      <c r="I489" s="36">
        <f t="shared" si="39"/>
        <v>4723.5049517282732</v>
      </c>
    </row>
    <row r="490" spans="3:9" x14ac:dyDescent="0.25">
      <c r="C490" s="41">
        <v>2036.29</v>
      </c>
      <c r="D490" s="41">
        <v>7596.51</v>
      </c>
      <c r="E490" s="34">
        <f t="shared" si="35"/>
        <v>9639.2405063298575</v>
      </c>
      <c r="F490" s="35">
        <f t="shared" si="36"/>
        <v>7527.1409353157178</v>
      </c>
      <c r="G490" s="35">
        <f t="shared" si="37"/>
        <v>9236.6697627342892</v>
      </c>
      <c r="H490" s="36">
        <f t="shared" si="38"/>
        <v>-69.369064684282421</v>
      </c>
      <c r="I490" s="36">
        <f t="shared" si="39"/>
        <v>4812.0671351721585</v>
      </c>
    </row>
    <row r="491" spans="3:9" x14ac:dyDescent="0.25">
      <c r="C491" s="41">
        <v>2039.45</v>
      </c>
      <c r="D491" s="41">
        <v>7611.75</v>
      </c>
      <c r="E491" s="34">
        <f t="shared" si="35"/>
        <v>9645.5696202527761</v>
      </c>
      <c r="F491" s="35">
        <f t="shared" si="36"/>
        <v>7541.7401192751367</v>
      </c>
      <c r="G491" s="35">
        <f t="shared" si="37"/>
        <v>9243.3107282348465</v>
      </c>
      <c r="H491" s="36">
        <f t="shared" si="38"/>
        <v>-70.009880724863251</v>
      </c>
      <c r="I491" s="36">
        <f t="shared" si="39"/>
        <v>4901.3833991095789</v>
      </c>
    </row>
    <row r="492" spans="3:9" x14ac:dyDescent="0.25">
      <c r="C492" s="41">
        <v>2042.61</v>
      </c>
      <c r="D492" s="41">
        <v>7626.99</v>
      </c>
      <c r="E492" s="34">
        <f t="shared" si="35"/>
        <v>9645.5696202534709</v>
      </c>
      <c r="F492" s="35">
        <f t="shared" si="36"/>
        <v>7556.3497997316181</v>
      </c>
      <c r="G492" s="35">
        <f t="shared" si="37"/>
        <v>9249.9564684457619</v>
      </c>
      <c r="H492" s="36">
        <f t="shared" si="38"/>
        <v>-70.640200268381705</v>
      </c>
      <c r="I492" s="36">
        <f t="shared" si="39"/>
        <v>4990.0378939570746</v>
      </c>
    </row>
    <row r="493" spans="3:9" x14ac:dyDescent="0.25">
      <c r="C493" s="41">
        <v>2045.77</v>
      </c>
      <c r="D493" s="41">
        <v>7642.22</v>
      </c>
      <c r="E493" s="34">
        <f t="shared" si="35"/>
        <v>9639.2405063291626</v>
      </c>
      <c r="F493" s="35">
        <f t="shared" si="36"/>
        <v>7570.9699842319169</v>
      </c>
      <c r="G493" s="35">
        <f t="shared" si="37"/>
        <v>9256.6069867999504</v>
      </c>
      <c r="H493" s="36">
        <f t="shared" si="38"/>
        <v>-71.250015768083358</v>
      </c>
      <c r="I493" s="36">
        <f t="shared" si="39"/>
        <v>5076.5647469521273</v>
      </c>
    </row>
    <row r="494" spans="3:9" x14ac:dyDescent="0.25">
      <c r="C494" s="41">
        <v>2048.9299999999998</v>
      </c>
      <c r="D494" s="41">
        <v>7657.46</v>
      </c>
      <c r="E494" s="34">
        <f t="shared" si="35"/>
        <v>9645.5696202534709</v>
      </c>
      <c r="F494" s="35">
        <f t="shared" si="36"/>
        <v>7585.6006803282035</v>
      </c>
      <c r="G494" s="35">
        <f t="shared" si="37"/>
        <v>9263.2622867327846</v>
      </c>
      <c r="H494" s="36">
        <f t="shared" si="38"/>
        <v>-71.859319671796584</v>
      </c>
      <c r="I494" s="36">
        <f t="shared" si="39"/>
        <v>5163.7618236934513</v>
      </c>
    </row>
    <row r="495" spans="3:9" x14ac:dyDescent="0.25">
      <c r="C495" s="41">
        <v>2052.09</v>
      </c>
      <c r="D495" s="41">
        <v>7672.69</v>
      </c>
      <c r="E495" s="34">
        <f t="shared" si="35"/>
        <v>9639.2405063278948</v>
      </c>
      <c r="F495" s="35">
        <f t="shared" si="36"/>
        <v>7600.2418955781004</v>
      </c>
      <c r="G495" s="35">
        <f t="shared" si="37"/>
        <v>9269.9223716821271</v>
      </c>
      <c r="H495" s="36">
        <f t="shared" si="38"/>
        <v>-72.448104421899188</v>
      </c>
      <c r="I495" s="36">
        <f t="shared" si="39"/>
        <v>5248.7278343264088</v>
      </c>
    </row>
    <row r="496" spans="3:9" x14ac:dyDescent="0.25">
      <c r="C496" s="41">
        <v>2055.25</v>
      </c>
      <c r="D496" s="41">
        <v>7687.91</v>
      </c>
      <c r="E496" s="34">
        <f t="shared" si="35"/>
        <v>9632.9113924056692</v>
      </c>
      <c r="F496" s="35">
        <f t="shared" si="36"/>
        <v>7614.8936375446428</v>
      </c>
      <c r="G496" s="35">
        <f t="shared" si="37"/>
        <v>9276.5872450882944</v>
      </c>
      <c r="H496" s="36">
        <f t="shared" si="38"/>
        <v>-73.016362455357012</v>
      </c>
      <c r="I496" s="36">
        <f t="shared" si="39"/>
        <v>5331.389186212069</v>
      </c>
    </row>
    <row r="497" spans="3:9" x14ac:dyDescent="0.25">
      <c r="C497" s="41">
        <v>2058.41</v>
      </c>
      <c r="D497" s="41">
        <v>7703.14</v>
      </c>
      <c r="E497" s="34">
        <f t="shared" si="35"/>
        <v>9639.2405063298575</v>
      </c>
      <c r="F497" s="35">
        <f t="shared" si="36"/>
        <v>7629.5559137963101</v>
      </c>
      <c r="G497" s="35">
        <f t="shared" si="37"/>
        <v>9283.2569103940841</v>
      </c>
      <c r="H497" s="36">
        <f t="shared" si="38"/>
        <v>-73.584086203690276</v>
      </c>
      <c r="I497" s="36">
        <f t="shared" si="39"/>
        <v>5414.6177424321213</v>
      </c>
    </row>
    <row r="498" spans="3:9" x14ac:dyDescent="0.25">
      <c r="C498" s="41">
        <v>2061.5700000000002</v>
      </c>
      <c r="D498" s="41">
        <v>7718.36</v>
      </c>
      <c r="E498" s="34">
        <f t="shared" si="35"/>
        <v>9632.9113924037065</v>
      </c>
      <c r="F498" s="35">
        <f t="shared" si="36"/>
        <v>7644.2287319070347</v>
      </c>
      <c r="G498" s="35">
        <f t="shared" si="37"/>
        <v>9289.9313710447695</v>
      </c>
      <c r="H498" s="36">
        <f t="shared" si="38"/>
        <v>-74.131268092965001</v>
      </c>
      <c r="I498" s="36">
        <f t="shared" si="39"/>
        <v>5495.4449090710505</v>
      </c>
    </row>
    <row r="499" spans="3:9" x14ac:dyDescent="0.25">
      <c r="C499" s="41">
        <v>2064.73</v>
      </c>
      <c r="D499" s="41">
        <v>7733.58</v>
      </c>
      <c r="E499" s="34">
        <f t="shared" si="35"/>
        <v>9632.9113924056692</v>
      </c>
      <c r="F499" s="35">
        <f t="shared" si="36"/>
        <v>7658.912099456179</v>
      </c>
      <c r="G499" s="35">
        <f t="shared" si="37"/>
        <v>9296.6106304881014</v>
      </c>
      <c r="H499" s="36">
        <f t="shared" si="38"/>
        <v>-74.667900543820906</v>
      </c>
      <c r="I499" s="36">
        <f t="shared" si="39"/>
        <v>5575.2953716219299</v>
      </c>
    </row>
    <row r="500" spans="3:9" x14ac:dyDescent="0.25">
      <c r="C500" s="41">
        <v>2067.88</v>
      </c>
      <c r="D500" s="41">
        <v>7748.8</v>
      </c>
      <c r="E500" s="34">
        <f t="shared" si="35"/>
        <v>9663.4920634919454</v>
      </c>
      <c r="F500" s="35">
        <f t="shared" si="36"/>
        <v>7673.5595076079981</v>
      </c>
      <c r="G500" s="35">
        <f t="shared" si="37"/>
        <v>9303.273532502295</v>
      </c>
      <c r="H500" s="36">
        <f t="shared" si="38"/>
        <v>-75.240492392002125</v>
      </c>
      <c r="I500" s="36">
        <f t="shared" si="39"/>
        <v>5661.13169539093</v>
      </c>
    </row>
    <row r="501" spans="3:9" x14ac:dyDescent="0.25">
      <c r="C501" s="41">
        <v>2071.04</v>
      </c>
      <c r="D501" s="41">
        <v>7764.03</v>
      </c>
      <c r="E501" s="34">
        <f t="shared" si="35"/>
        <v>9639.2405063292827</v>
      </c>
      <c r="F501" s="35">
        <f t="shared" si="36"/>
        <v>7688.2639633495874</v>
      </c>
      <c r="G501" s="35">
        <f t="shared" si="37"/>
        <v>9309.9623846707327</v>
      </c>
      <c r="H501" s="36">
        <f t="shared" si="38"/>
        <v>-75.766036650412389</v>
      </c>
      <c r="I501" s="36">
        <f t="shared" si="39"/>
        <v>5740.4923097116334</v>
      </c>
    </row>
    <row r="502" spans="3:9" x14ac:dyDescent="0.25">
      <c r="C502" s="41">
        <v>2074.1999999999998</v>
      </c>
      <c r="D502" s="41">
        <v>7779.25</v>
      </c>
      <c r="E502" s="34">
        <f t="shared" si="35"/>
        <v>9632.9113924056692</v>
      </c>
      <c r="F502" s="35">
        <f t="shared" si="36"/>
        <v>7702.9789912763699</v>
      </c>
      <c r="G502" s="35">
        <f t="shared" si="37"/>
        <v>9316.6560459790035</v>
      </c>
      <c r="H502" s="36">
        <f t="shared" si="38"/>
        <v>-76.271008723630075</v>
      </c>
      <c r="I502" s="36">
        <f t="shared" si="39"/>
        <v>5817.2667717200547</v>
      </c>
    </row>
    <row r="503" spans="3:9" x14ac:dyDescent="0.25">
      <c r="C503" s="41">
        <v>2077.36</v>
      </c>
      <c r="D503" s="41">
        <v>7794.47</v>
      </c>
      <c r="E503" s="34">
        <f t="shared" si="35"/>
        <v>9632.9113924042813</v>
      </c>
      <c r="F503" s="35">
        <f t="shared" si="36"/>
        <v>7717.704598989515</v>
      </c>
      <c r="G503" s="35">
        <f t="shared" si="37"/>
        <v>9323.3545198847769</v>
      </c>
      <c r="H503" s="36">
        <f t="shared" si="38"/>
        <v>-76.76540101048522</v>
      </c>
      <c r="I503" s="36">
        <f t="shared" si="39"/>
        <v>5892.9267923006055</v>
      </c>
    </row>
    <row r="504" spans="3:9" x14ac:dyDescent="0.25">
      <c r="C504" s="41">
        <v>2080.52</v>
      </c>
      <c r="D504" s="41">
        <v>7809.7</v>
      </c>
      <c r="E504" s="34">
        <f t="shared" si="35"/>
        <v>9639.2405063292827</v>
      </c>
      <c r="F504" s="35">
        <f t="shared" si="36"/>
        <v>7732.4407940956635</v>
      </c>
      <c r="G504" s="35">
        <f t="shared" si="37"/>
        <v>9330.0578098482038</v>
      </c>
      <c r="H504" s="36">
        <f t="shared" si="38"/>
        <v>-77.259205904336341</v>
      </c>
      <c r="I504" s="36">
        <f t="shared" si="39"/>
        <v>5968.9848969686391</v>
      </c>
    </row>
    <row r="505" spans="3:9" x14ac:dyDescent="0.25">
      <c r="C505" s="41">
        <v>2083.6799999999998</v>
      </c>
      <c r="D505" s="41">
        <v>7824.92</v>
      </c>
      <c r="E505" s="34">
        <f t="shared" si="35"/>
        <v>9632.9113924056692</v>
      </c>
      <c r="F505" s="35">
        <f t="shared" si="36"/>
        <v>7747.1875842069157</v>
      </c>
      <c r="G505" s="35">
        <f t="shared" si="37"/>
        <v>9336.7659193319269</v>
      </c>
      <c r="H505" s="36">
        <f t="shared" si="38"/>
        <v>-77.732415793084328</v>
      </c>
      <c r="I505" s="36">
        <f t="shared" si="39"/>
        <v>6042.3284650289461</v>
      </c>
    </row>
    <row r="506" spans="3:9" x14ac:dyDescent="0.25">
      <c r="C506" s="41">
        <v>2086.83</v>
      </c>
      <c r="D506" s="41">
        <v>7840.14</v>
      </c>
      <c r="E506" s="34">
        <f t="shared" si="35"/>
        <v>9663.4920634919454</v>
      </c>
      <c r="F506" s="35">
        <f t="shared" si="36"/>
        <v>7761.8982595997277</v>
      </c>
      <c r="G506" s="35">
        <f t="shared" si="37"/>
        <v>9343.4576007331016</v>
      </c>
      <c r="H506" s="36">
        <f t="shared" si="38"/>
        <v>-78.241740400272647</v>
      </c>
      <c r="I506" s="36">
        <f t="shared" si="39"/>
        <v>6121.7699408636572</v>
      </c>
    </row>
    <row r="507" spans="3:9" x14ac:dyDescent="0.25">
      <c r="C507" s="41">
        <v>2089.9899999999998</v>
      </c>
      <c r="D507" s="41">
        <v>7855.36</v>
      </c>
      <c r="E507" s="34">
        <f t="shared" si="35"/>
        <v>9632.9113924050926</v>
      </c>
      <c r="F507" s="35">
        <f t="shared" si="36"/>
        <v>7776.6662289906508</v>
      </c>
      <c r="G507" s="35">
        <f t="shared" si="37"/>
        <v>9350.1753443762409</v>
      </c>
      <c r="H507" s="36">
        <f t="shared" si="38"/>
        <v>-78.693771009348893</v>
      </c>
      <c r="I507" s="36">
        <f t="shared" si="39"/>
        <v>6192.7095956718404</v>
      </c>
    </row>
    <row r="508" spans="3:9" x14ac:dyDescent="0.25">
      <c r="C508" s="41">
        <v>2093.14</v>
      </c>
      <c r="D508" s="41">
        <v>7870.56</v>
      </c>
      <c r="E508" s="34">
        <f t="shared" si="35"/>
        <v>9650.7936507938339</v>
      </c>
      <c r="F508" s="35">
        <f t="shared" si="36"/>
        <v>7791.3980317953228</v>
      </c>
      <c r="G508" s="35">
        <f t="shared" si="37"/>
        <v>9356.8766363428877</v>
      </c>
      <c r="H508" s="36">
        <f t="shared" si="38"/>
        <v>-79.161968204677578</v>
      </c>
      <c r="I508" s="36">
        <f t="shared" si="39"/>
        <v>6266.6172100383837</v>
      </c>
    </row>
    <row r="509" spans="3:9" x14ac:dyDescent="0.25">
      <c r="C509" s="41">
        <v>2096.3000000000002</v>
      </c>
      <c r="D509" s="41">
        <v>7885.75</v>
      </c>
      <c r="E509" s="34">
        <f t="shared" si="35"/>
        <v>9613.9240506317165</v>
      </c>
      <c r="F509" s="35">
        <f t="shared" si="36"/>
        <v>7806.1872108835187</v>
      </c>
      <c r="G509" s="35">
        <f t="shared" si="37"/>
        <v>9363.6040279819863</v>
      </c>
      <c r="H509" s="36">
        <f t="shared" si="38"/>
        <v>-79.562789116481326</v>
      </c>
      <c r="I509" s="36">
        <f t="shared" si="39"/>
        <v>6330.2374119936794</v>
      </c>
    </row>
    <row r="510" spans="3:9" x14ac:dyDescent="0.25">
      <c r="C510" s="41">
        <v>2099.4499999999998</v>
      </c>
      <c r="D510" s="41">
        <v>7900.95</v>
      </c>
      <c r="E510" s="34">
        <f t="shared" si="35"/>
        <v>9650.7936507946506</v>
      </c>
      <c r="F510" s="35">
        <f t="shared" si="36"/>
        <v>7820.9401714431497</v>
      </c>
      <c r="G510" s="35">
        <f t="shared" si="37"/>
        <v>9370.3149443167567</v>
      </c>
      <c r="H510" s="36">
        <f t="shared" si="38"/>
        <v>-80.009828556850152</v>
      </c>
      <c r="I510" s="36">
        <f t="shared" si="39"/>
        <v>6401.5726656965544</v>
      </c>
    </row>
    <row r="511" spans="3:9" x14ac:dyDescent="0.25">
      <c r="C511" s="41">
        <v>2102.6</v>
      </c>
      <c r="D511" s="41">
        <v>7916.14</v>
      </c>
      <c r="E511" s="34">
        <f t="shared" si="35"/>
        <v>9644.4444444444889</v>
      </c>
      <c r="F511" s="35">
        <f t="shared" si="36"/>
        <v>7835.7037054832244</v>
      </c>
      <c r="G511" s="35">
        <f t="shared" si="37"/>
        <v>9377.0306703805545</v>
      </c>
      <c r="H511" s="36">
        <f t="shared" si="38"/>
        <v>-80.436294516775888</v>
      </c>
      <c r="I511" s="36">
        <f t="shared" si="39"/>
        <v>6469.9974755895109</v>
      </c>
    </row>
    <row r="512" spans="3:9" x14ac:dyDescent="0.25">
      <c r="C512" s="41">
        <v>2105.7600000000002</v>
      </c>
      <c r="D512" s="41">
        <v>7931.34</v>
      </c>
      <c r="E512" s="34">
        <f t="shared" si="35"/>
        <v>9620.2531645559047</v>
      </c>
      <c r="F512" s="35">
        <f t="shared" si="36"/>
        <v>7850.5247393911741</v>
      </c>
      <c r="G512" s="35">
        <f t="shared" si="37"/>
        <v>9383.7725523336067</v>
      </c>
      <c r="H512" s="36">
        <f t="shared" si="38"/>
        <v>-80.815260608826065</v>
      </c>
      <c r="I512" s="36">
        <f t="shared" si="39"/>
        <v>6531.1063472724736</v>
      </c>
    </row>
    <row r="513" spans="3:9" x14ac:dyDescent="0.25">
      <c r="C513" s="41">
        <v>2108.91</v>
      </c>
      <c r="D513" s="41">
        <v>7946.53</v>
      </c>
      <c r="E513" s="34">
        <f t="shared" si="35"/>
        <v>9644.4444444453038</v>
      </c>
      <c r="F513" s="35">
        <f t="shared" si="36"/>
        <v>7865.309476758478</v>
      </c>
      <c r="G513" s="35">
        <f t="shared" si="37"/>
        <v>9390.4979234957209</v>
      </c>
      <c r="H513" s="36">
        <f t="shared" si="38"/>
        <v>-81.220523241521732</v>
      </c>
      <c r="I513" s="36">
        <f t="shared" si="39"/>
        <v>6596.773395626572</v>
      </c>
    </row>
    <row r="514" spans="3:9" x14ac:dyDescent="0.25">
      <c r="C514" s="41">
        <v>2112.0500000000002</v>
      </c>
      <c r="D514" s="41">
        <v>7961.67</v>
      </c>
      <c r="E514" s="34">
        <f t="shared" si="35"/>
        <v>9643.3121019100308</v>
      </c>
      <c r="F514" s="35">
        <f t="shared" si="36"/>
        <v>7880.0578242935908</v>
      </c>
      <c r="G514" s="35">
        <f t="shared" si="37"/>
        <v>9397.2067414298708</v>
      </c>
      <c r="H514" s="36">
        <f t="shared" si="38"/>
        <v>-81.612175706409289</v>
      </c>
      <c r="I514" s="36">
        <f t="shared" si="39"/>
        <v>6660.5472235338229</v>
      </c>
    </row>
    <row r="515" spans="3:9" x14ac:dyDescent="0.25">
      <c r="C515" s="41">
        <v>2115.19</v>
      </c>
      <c r="D515" s="41">
        <v>7976.81</v>
      </c>
      <c r="E515" s="34">
        <f t="shared" si="35"/>
        <v>9643.3121019114278</v>
      </c>
      <c r="F515" s="35">
        <f t="shared" si="36"/>
        <v>7894.8167084348825</v>
      </c>
      <c r="G515" s="35">
        <f t="shared" si="37"/>
        <v>9403.9203523194574</v>
      </c>
      <c r="H515" s="36">
        <f t="shared" si="38"/>
        <v>-81.993291565117943</v>
      </c>
      <c r="I515" s="36">
        <f t="shared" si="39"/>
        <v>6722.899861682441</v>
      </c>
    </row>
    <row r="516" spans="3:9" x14ac:dyDescent="0.25">
      <c r="C516" s="41">
        <v>2118.33</v>
      </c>
      <c r="D516" s="41">
        <v>7991.96</v>
      </c>
      <c r="E516" s="34">
        <f t="shared" si="35"/>
        <v>9649.6815286625806</v>
      </c>
      <c r="F516" s="35">
        <f t="shared" si="36"/>
        <v>7909.5861367099787</v>
      </c>
      <c r="G516" s="35">
        <f t="shared" si="37"/>
        <v>9410.6387595886936</v>
      </c>
      <c r="H516" s="36">
        <f t="shared" si="38"/>
        <v>-82.373863290021291</v>
      </c>
      <c r="I516" s="36">
        <f t="shared" si="39"/>
        <v>6785.453353323117</v>
      </c>
    </row>
    <row r="517" spans="3:9" x14ac:dyDescent="0.25">
      <c r="C517" s="41">
        <v>2121.5</v>
      </c>
      <c r="D517" s="41">
        <v>8007.1</v>
      </c>
      <c r="E517" s="34">
        <f t="shared" si="35"/>
        <v>9552.0504731861074</v>
      </c>
      <c r="F517" s="35">
        <f t="shared" si="36"/>
        <v>7924.5073775633218</v>
      </c>
      <c r="G517" s="35">
        <f t="shared" si="37"/>
        <v>9417.4262242858986</v>
      </c>
      <c r="H517" s="36">
        <f t="shared" si="38"/>
        <v>-82.592622436678539</v>
      </c>
      <c r="I517" s="36">
        <f t="shared" si="39"/>
        <v>6821.5412809677355</v>
      </c>
    </row>
    <row r="518" spans="3:9" x14ac:dyDescent="0.25">
      <c r="C518" s="41">
        <v>2124.6999999999998</v>
      </c>
      <c r="D518" s="41">
        <v>8022.24</v>
      </c>
      <c r="E518" s="34">
        <f t="shared" si="35"/>
        <v>9462.5000000001746</v>
      </c>
      <c r="F518" s="35">
        <f t="shared" si="36"/>
        <v>7939.5807441884645</v>
      </c>
      <c r="G518" s="35">
        <f t="shared" si="37"/>
        <v>9424.2828888784588</v>
      </c>
      <c r="H518" s="36">
        <f t="shared" si="38"/>
        <v>-82.659255811535331</v>
      </c>
      <c r="I518" s="36">
        <f t="shared" si="39"/>
        <v>6832.5525713168372</v>
      </c>
    </row>
    <row r="519" spans="3:9" x14ac:dyDescent="0.25">
      <c r="C519" s="41">
        <v>2127.9</v>
      </c>
      <c r="D519" s="41">
        <v>8037.38</v>
      </c>
      <c r="E519" s="34">
        <f t="shared" si="35"/>
        <v>9462.4999999993979</v>
      </c>
      <c r="F519" s="35">
        <f t="shared" si="36"/>
        <v>7954.6650854702475</v>
      </c>
      <c r="G519" s="35">
        <f t="shared" si="37"/>
        <v>9431.1445456895126</v>
      </c>
      <c r="H519" s="36">
        <f t="shared" si="38"/>
        <v>-82.714914529752605</v>
      </c>
      <c r="I519" s="36">
        <f t="shared" si="39"/>
        <v>6841.7570856642787</v>
      </c>
    </row>
    <row r="520" spans="3:9" x14ac:dyDescent="0.25">
      <c r="C520" s="41">
        <v>2131.1</v>
      </c>
      <c r="D520" s="41">
        <v>8052.51</v>
      </c>
      <c r="E520" s="34">
        <f t="shared" si="35"/>
        <v>9456.2500000006057</v>
      </c>
      <c r="F520" s="35">
        <f t="shared" si="36"/>
        <v>7969.7604093991249</v>
      </c>
      <c r="G520" s="35">
        <f t="shared" si="37"/>
        <v>9438.0111983538027</v>
      </c>
      <c r="H520" s="36">
        <f t="shared" si="38"/>
        <v>-82.749590600875308</v>
      </c>
      <c r="I520" s="36">
        <f t="shared" si="39"/>
        <v>6847.4947446124715</v>
      </c>
    </row>
    <row r="521" spans="3:9" x14ac:dyDescent="0.25">
      <c r="C521" s="41">
        <v>2134.3000000000002</v>
      </c>
      <c r="D521" s="41">
        <v>8067.64</v>
      </c>
      <c r="E521" s="34">
        <f t="shared" ref="E521:E584" si="40">IF(C521="","",2*(D521-D520)/((C521-C520)/1000))</f>
        <v>9456.2499999992615</v>
      </c>
      <c r="F521" s="35">
        <f t="shared" ref="F521:F584" si="41">IF(C521="","",F$7+(F$9/F$10)*(EXP(F$10*(C521-F$8)/2000)-1))</f>
        <v>7984.866723971375</v>
      </c>
      <c r="G521" s="35">
        <f t="shared" ref="G521:G584" si="42">IF(E521="","",F$9+(F521-F$7)*F$10)</f>
        <v>9444.8828505087258</v>
      </c>
      <c r="H521" s="36">
        <f t="shared" ref="H521:H584" si="43">IF(F521="","",F521-D521)</f>
        <v>-82.773276028625332</v>
      </c>
      <c r="I521" s="36">
        <f t="shared" ref="I521:I584" si="44">IF(H521="","",H521^2)</f>
        <v>6851.4152245110008</v>
      </c>
    </row>
    <row r="522" spans="3:9" x14ac:dyDescent="0.25">
      <c r="C522" s="41">
        <v>2137.5</v>
      </c>
      <c r="D522" s="41">
        <v>8082.76</v>
      </c>
      <c r="E522" s="34">
        <f t="shared" si="40"/>
        <v>9450.0000000004693</v>
      </c>
      <c r="F522" s="35">
        <f t="shared" si="41"/>
        <v>7999.9840371890905</v>
      </c>
      <c r="G522" s="35">
        <f t="shared" si="42"/>
        <v>9451.7595057943254</v>
      </c>
      <c r="H522" s="36">
        <f t="shared" si="43"/>
        <v>-82.775962810909732</v>
      </c>
      <c r="I522" s="36">
        <f t="shared" si="44"/>
        <v>6851.860019273111</v>
      </c>
    </row>
    <row r="523" spans="3:9" x14ac:dyDescent="0.25">
      <c r="C523" s="41">
        <v>2140.6999999999998</v>
      </c>
      <c r="D523" s="41">
        <v>8097.89</v>
      </c>
      <c r="E523" s="34">
        <f t="shared" si="40"/>
        <v>9456.2500000006057</v>
      </c>
      <c r="F523" s="35">
        <f t="shared" si="41"/>
        <v>8015.1123570601949</v>
      </c>
      <c r="G523" s="35">
        <f t="shared" si="42"/>
        <v>9458.6411678532913</v>
      </c>
      <c r="H523" s="36">
        <f t="shared" si="43"/>
        <v>-82.777642939805446</v>
      </c>
      <c r="I523" s="36">
        <f t="shared" si="44"/>
        <v>6852.1381706699221</v>
      </c>
    </row>
    <row r="524" spans="3:9" x14ac:dyDescent="0.25">
      <c r="C524" s="41">
        <v>2143.89</v>
      </c>
      <c r="D524" s="41">
        <v>8113.02</v>
      </c>
      <c r="E524" s="34">
        <f t="shared" si="40"/>
        <v>9485.8934169278054</v>
      </c>
      <c r="F524" s="35">
        <f t="shared" si="41"/>
        <v>8030.2043640130642</v>
      </c>
      <c r="G524" s="35">
        <f t="shared" si="42"/>
        <v>9465.5063116713827</v>
      </c>
      <c r="H524" s="36">
        <f t="shared" si="43"/>
        <v>-82.815635986936286</v>
      </c>
      <c r="I524" s="36">
        <f t="shared" si="44"/>
        <v>6858.4295639207367</v>
      </c>
    </row>
    <row r="525" spans="3:9" x14ac:dyDescent="0.25">
      <c r="C525" s="41">
        <v>2147.09</v>
      </c>
      <c r="D525" s="41">
        <v>8128.15</v>
      </c>
      <c r="E525" s="34">
        <f t="shared" si="40"/>
        <v>9456.249999998694</v>
      </c>
      <c r="F525" s="35">
        <f t="shared" si="41"/>
        <v>8045.3546867796504</v>
      </c>
      <c r="G525" s="35">
        <f t="shared" si="42"/>
        <v>9472.3979825411297</v>
      </c>
      <c r="H525" s="36">
        <f t="shared" si="43"/>
        <v>-82.795313220349271</v>
      </c>
      <c r="I525" s="36">
        <f t="shared" si="44"/>
        <v>6855.0638912557424</v>
      </c>
    </row>
    <row r="526" spans="3:9" x14ac:dyDescent="0.25">
      <c r="C526" s="41">
        <v>2150.29</v>
      </c>
      <c r="D526" s="41">
        <v>8143.25</v>
      </c>
      <c r="E526" s="34">
        <f t="shared" si="40"/>
        <v>9437.500000000764</v>
      </c>
      <c r="F526" s="35">
        <f t="shared" si="41"/>
        <v>8060.516040233304</v>
      </c>
      <c r="G526" s="35">
        <f t="shared" si="42"/>
        <v>9479.2946711168297</v>
      </c>
      <c r="H526" s="36">
        <f t="shared" si="43"/>
        <v>-82.733959766695989</v>
      </c>
      <c r="I526" s="36">
        <f t="shared" si="44"/>
        <v>6844.9080986772706</v>
      </c>
    </row>
    <row r="527" spans="3:9" x14ac:dyDescent="0.25">
      <c r="C527" s="41">
        <v>2153.48</v>
      </c>
      <c r="D527" s="41">
        <v>8158.35</v>
      </c>
      <c r="E527" s="34">
        <f t="shared" si="40"/>
        <v>9467.0846394984983</v>
      </c>
      <c r="F527" s="35">
        <f t="shared" si="41"/>
        <v>8075.6410014773173</v>
      </c>
      <c r="G527" s="35">
        <f t="shared" si="42"/>
        <v>9486.1748053830997</v>
      </c>
      <c r="H527" s="36">
        <f t="shared" si="43"/>
        <v>-82.708998522683032</v>
      </c>
      <c r="I527" s="36">
        <f t="shared" si="44"/>
        <v>6840.7784366251844</v>
      </c>
    </row>
    <row r="528" spans="3:9" x14ac:dyDescent="0.25">
      <c r="C528" s="41">
        <v>2156.67</v>
      </c>
      <c r="D528" s="41">
        <v>8173.45</v>
      </c>
      <c r="E528" s="34">
        <f t="shared" si="40"/>
        <v>9467.0846394979271</v>
      </c>
      <c r="F528" s="35">
        <f t="shared" si="41"/>
        <v>8090.7769405174331</v>
      </c>
      <c r="G528" s="35">
        <f t="shared" si="42"/>
        <v>9493.0599332959573</v>
      </c>
      <c r="H528" s="36">
        <f t="shared" si="43"/>
        <v>-82.673059482566714</v>
      </c>
      <c r="I528" s="36">
        <f t="shared" si="44"/>
        <v>6834.8347642080143</v>
      </c>
    </row>
    <row r="529" spans="3:9" x14ac:dyDescent="0.25">
      <c r="C529" s="41">
        <v>2159.86</v>
      </c>
      <c r="D529" s="41">
        <v>8188.55</v>
      </c>
      <c r="E529" s="34">
        <f t="shared" si="40"/>
        <v>9467.0846394984983</v>
      </c>
      <c r="F529" s="35">
        <f t="shared" si="41"/>
        <v>8105.9238653214143</v>
      </c>
      <c r="G529" s="35">
        <f t="shared" si="42"/>
        <v>9499.9500584798297</v>
      </c>
      <c r="H529" s="36">
        <f t="shared" si="43"/>
        <v>-82.626134678585913</v>
      </c>
      <c r="I529" s="36">
        <f t="shared" si="44"/>
        <v>6827.0781319238176</v>
      </c>
    </row>
    <row r="530" spans="3:9" x14ac:dyDescent="0.25">
      <c r="C530" s="41">
        <v>2163.0500000000002</v>
      </c>
      <c r="D530" s="41">
        <v>8203.65</v>
      </c>
      <c r="E530" s="34">
        <f t="shared" si="40"/>
        <v>9467.0846394979271</v>
      </c>
      <c r="F530" s="35">
        <f t="shared" si="41"/>
        <v>8121.0817838627945</v>
      </c>
      <c r="G530" s="35">
        <f t="shared" si="42"/>
        <v>9506.8451845617656</v>
      </c>
      <c r="H530" s="36">
        <f t="shared" si="43"/>
        <v>-82.568216137205127</v>
      </c>
      <c r="I530" s="36">
        <f t="shared" si="44"/>
        <v>6817.5103160802209</v>
      </c>
    </row>
    <row r="531" spans="3:9" x14ac:dyDescent="0.25">
      <c r="C531" s="41">
        <v>2166.25</v>
      </c>
      <c r="D531" s="41">
        <v>8218.75</v>
      </c>
      <c r="E531" s="34">
        <f t="shared" si="40"/>
        <v>9437.500000000764</v>
      </c>
      <c r="F531" s="35">
        <f t="shared" si="41"/>
        <v>8136.2982729015757</v>
      </c>
      <c r="G531" s="35">
        <f t="shared" si="42"/>
        <v>9513.7669535474197</v>
      </c>
      <c r="H531" s="36">
        <f t="shared" si="43"/>
        <v>-82.451727098424271</v>
      </c>
      <c r="I531" s="36">
        <f t="shared" si="44"/>
        <v>6798.2873015130317</v>
      </c>
    </row>
    <row r="532" spans="3:9" x14ac:dyDescent="0.25">
      <c r="C532" s="41">
        <v>2169.4299999999998</v>
      </c>
      <c r="D532" s="41">
        <v>8233.82</v>
      </c>
      <c r="E532" s="34">
        <f t="shared" si="40"/>
        <v>9477.9874213839539</v>
      </c>
      <c r="F532" s="35">
        <f t="shared" si="41"/>
        <v>8151.4306340808625</v>
      </c>
      <c r="G532" s="35">
        <f t="shared" si="42"/>
        <v>9520.6504539412053</v>
      </c>
      <c r="H532" s="36">
        <f t="shared" si="43"/>
        <v>-82.389365919137163</v>
      </c>
      <c r="I532" s="36">
        <f t="shared" si="44"/>
        <v>6788.0076165574801</v>
      </c>
    </row>
    <row r="533" spans="3:9" x14ac:dyDescent="0.25">
      <c r="C533" s="41">
        <v>2172.62</v>
      </c>
      <c r="D533" s="41">
        <v>8248.8700000000008</v>
      </c>
      <c r="E533" s="34">
        <f t="shared" si="40"/>
        <v>9435.7366771165089</v>
      </c>
      <c r="F533" s="35">
        <f t="shared" si="41"/>
        <v>8166.6215817335788</v>
      </c>
      <c r="G533" s="35">
        <f t="shared" si="42"/>
        <v>9527.5606045059812</v>
      </c>
      <c r="H533" s="36">
        <f t="shared" si="43"/>
        <v>-82.24841826642205</v>
      </c>
      <c r="I533" s="36">
        <f t="shared" si="44"/>
        <v>6764.8023073283084</v>
      </c>
    </row>
    <row r="534" spans="3:9" x14ac:dyDescent="0.25">
      <c r="C534" s="41">
        <v>2175.8000000000002</v>
      </c>
      <c r="D534" s="41">
        <v>8263.93</v>
      </c>
      <c r="E534" s="34">
        <f t="shared" si="40"/>
        <v>9471.6981132063593</v>
      </c>
      <c r="F534" s="35">
        <f t="shared" si="41"/>
        <v>8181.7758827511379</v>
      </c>
      <c r="G534" s="35">
        <f t="shared" si="42"/>
        <v>9534.4540850267022</v>
      </c>
      <c r="H534" s="36">
        <f t="shared" si="43"/>
        <v>-82.154117248862349</v>
      </c>
      <c r="I534" s="36">
        <f t="shared" si="44"/>
        <v>6749.2989809398223</v>
      </c>
    </row>
    <row r="535" spans="3:9" x14ac:dyDescent="0.25">
      <c r="C535" s="41">
        <v>2178.98</v>
      </c>
      <c r="D535" s="41">
        <v>8278.99</v>
      </c>
      <c r="E535" s="34">
        <f t="shared" si="40"/>
        <v>9471.6981132077144</v>
      </c>
      <c r="F535" s="35">
        <f t="shared" si="41"/>
        <v>8196.9411483674194</v>
      </c>
      <c r="G535" s="35">
        <f t="shared" si="42"/>
        <v>9541.3525531907089</v>
      </c>
      <c r="H535" s="36">
        <f t="shared" si="43"/>
        <v>-82.048851632580408</v>
      </c>
      <c r="I535" s="36">
        <f t="shared" si="44"/>
        <v>6732.0140542251929</v>
      </c>
    </row>
    <row r="536" spans="3:9" x14ac:dyDescent="0.25">
      <c r="C536" s="41">
        <v>2182.17</v>
      </c>
      <c r="D536" s="41">
        <v>8294.0499999999993</v>
      </c>
      <c r="E536" s="34">
        <f t="shared" si="40"/>
        <v>9442.0062695919951</v>
      </c>
      <c r="F536" s="35">
        <f t="shared" si="41"/>
        <v>8212.165127850003</v>
      </c>
      <c r="G536" s="35">
        <f t="shared" si="42"/>
        <v>9548.2777294749485</v>
      </c>
      <c r="H536" s="36">
        <f t="shared" si="43"/>
        <v>-81.884872149996227</v>
      </c>
      <c r="I536" s="36">
        <f t="shared" si="44"/>
        <v>6705.132287021228</v>
      </c>
    </row>
    <row r="537" spans="3:9" x14ac:dyDescent="0.25">
      <c r="C537" s="41">
        <v>2185.35</v>
      </c>
      <c r="D537" s="41">
        <v>8309.1</v>
      </c>
      <c r="E537" s="34">
        <f t="shared" si="40"/>
        <v>9465.4088050326209</v>
      </c>
      <c r="F537" s="35">
        <f t="shared" si="41"/>
        <v>8227.3523810114493</v>
      </c>
      <c r="G537" s="35">
        <f t="shared" si="42"/>
        <v>9555.1861994670908</v>
      </c>
      <c r="H537" s="36">
        <f t="shared" si="43"/>
        <v>-81.747618988551039</v>
      </c>
      <c r="I537" s="36">
        <f t="shared" si="44"/>
        <v>6682.6732102973101</v>
      </c>
    </row>
    <row r="538" spans="3:9" x14ac:dyDescent="0.25">
      <c r="C538" s="41">
        <v>2188.5300000000002</v>
      </c>
      <c r="D538" s="41">
        <v>8324.14</v>
      </c>
      <c r="E538" s="34">
        <f t="shared" si="40"/>
        <v>9459.1194968538857</v>
      </c>
      <c r="F538" s="35">
        <f t="shared" si="41"/>
        <v>8242.5506226135094</v>
      </c>
      <c r="G538" s="35">
        <f t="shared" si="42"/>
        <v>9562.0996679478612</v>
      </c>
      <c r="H538" s="36">
        <f t="shared" si="43"/>
        <v>-81.589377386490014</v>
      </c>
      <c r="I538" s="36">
        <f t="shared" si="44"/>
        <v>6656.826502315088</v>
      </c>
    </row>
    <row r="539" spans="3:9" x14ac:dyDescent="0.25">
      <c r="C539" s="41">
        <v>2191.71</v>
      </c>
      <c r="D539" s="41">
        <v>8339.17</v>
      </c>
      <c r="E539" s="34">
        <f t="shared" si="40"/>
        <v>9452.8301886801437</v>
      </c>
      <c r="F539" s="35">
        <f t="shared" si="41"/>
        <v>8257.7598606066404</v>
      </c>
      <c r="G539" s="35">
        <f t="shared" si="42"/>
        <v>9569.0181385338128</v>
      </c>
      <c r="H539" s="36">
        <f t="shared" si="43"/>
        <v>-81.410139393359714</v>
      </c>
      <c r="I539" s="36">
        <f t="shared" si="44"/>
        <v>6627.6107960462587</v>
      </c>
    </row>
    <row r="540" spans="3:9" x14ac:dyDescent="0.25">
      <c r="C540" s="41">
        <v>2194.88</v>
      </c>
      <c r="D540" s="41">
        <v>8354.2000000000007</v>
      </c>
      <c r="E540" s="34">
        <f t="shared" si="40"/>
        <v>9482.6498422714885</v>
      </c>
      <c r="F540" s="35">
        <f t="shared" si="41"/>
        <v>8272.9322232934519</v>
      </c>
      <c r="G540" s="35">
        <f t="shared" si="42"/>
        <v>9575.919835056382</v>
      </c>
      <c r="H540" s="36">
        <f t="shared" si="43"/>
        <v>-81.26777670654883</v>
      </c>
      <c r="I540" s="36">
        <f t="shared" si="44"/>
        <v>6604.4515308254804</v>
      </c>
    </row>
    <row r="541" spans="3:9" x14ac:dyDescent="0.25">
      <c r="C541" s="41">
        <v>2198.06</v>
      </c>
      <c r="D541" s="41">
        <v>8369.23</v>
      </c>
      <c r="E541" s="34">
        <f t="shared" si="40"/>
        <v>9452.8301886789995</v>
      </c>
      <c r="F541" s="35">
        <f t="shared" si="41"/>
        <v>8288.1634433007839</v>
      </c>
      <c r="G541" s="35">
        <f t="shared" si="42"/>
        <v>9582.8483049545121</v>
      </c>
      <c r="H541" s="36">
        <f t="shared" si="43"/>
        <v>-81.066556699215653</v>
      </c>
      <c r="I541" s="36">
        <f t="shared" si="44"/>
        <v>6571.7866150671462</v>
      </c>
    </row>
    <row r="542" spans="3:9" x14ac:dyDescent="0.25">
      <c r="C542" s="41">
        <v>2201.2399999999998</v>
      </c>
      <c r="D542" s="41">
        <v>8384.26</v>
      </c>
      <c r="E542" s="34">
        <f t="shared" si="40"/>
        <v>9452.8301886801437</v>
      </c>
      <c r="F542" s="35">
        <f t="shared" si="41"/>
        <v>8303.4056835600768</v>
      </c>
      <c r="G542" s="35">
        <f t="shared" si="42"/>
        <v>9589.7817878118094</v>
      </c>
      <c r="H542" s="36">
        <f t="shared" si="43"/>
        <v>-80.854316439923423</v>
      </c>
      <c r="I542" s="36">
        <f t="shared" si="44"/>
        <v>6537.4204869672712</v>
      </c>
    </row>
    <row r="543" spans="3:9" x14ac:dyDescent="0.25">
      <c r="C543" s="41">
        <v>2204.42</v>
      </c>
      <c r="D543" s="41">
        <v>8399.2900000000009</v>
      </c>
      <c r="E543" s="34">
        <f t="shared" si="40"/>
        <v>9452.8301886787922</v>
      </c>
      <c r="F543" s="35">
        <f t="shared" si="41"/>
        <v>8318.658952044816</v>
      </c>
      <c r="G543" s="35">
        <f t="shared" si="42"/>
        <v>9596.7202872553025</v>
      </c>
      <c r="H543" s="36">
        <f t="shared" si="43"/>
        <v>-80.63104795518484</v>
      </c>
      <c r="I543" s="36">
        <f t="shared" si="44"/>
        <v>6501.3658943513174</v>
      </c>
    </row>
    <row r="544" spans="3:9" x14ac:dyDescent="0.25">
      <c r="C544" s="41">
        <v>2207.59</v>
      </c>
      <c r="D544" s="41">
        <v>8414.31</v>
      </c>
      <c r="E544" s="34">
        <f t="shared" si="40"/>
        <v>9476.3406940052191</v>
      </c>
      <c r="F544" s="35">
        <f t="shared" si="41"/>
        <v>8333.8752384698364</v>
      </c>
      <c r="G544" s="35">
        <f t="shared" si="42"/>
        <v>9603.6419640747772</v>
      </c>
      <c r="H544" s="36">
        <f t="shared" si="43"/>
        <v>-80.434761530163087</v>
      </c>
      <c r="I544" s="36">
        <f t="shared" si="44"/>
        <v>6469.7508624142038</v>
      </c>
    </row>
    <row r="545" spans="3:9" x14ac:dyDescent="0.25">
      <c r="C545" s="41">
        <v>2210.77</v>
      </c>
      <c r="D545" s="41">
        <v>8429.32</v>
      </c>
      <c r="E545" s="34">
        <f t="shared" si="40"/>
        <v>9440.2515723276683</v>
      </c>
      <c r="F545" s="35">
        <f t="shared" si="41"/>
        <v>8349.1505526063411</v>
      </c>
      <c r="G545" s="35">
        <f t="shared" si="42"/>
        <v>9610.5904917782918</v>
      </c>
      <c r="H545" s="36">
        <f t="shared" si="43"/>
        <v>-80.169447393658629</v>
      </c>
      <c r="I545" s="36">
        <f t="shared" si="44"/>
        <v>6427.140295404598</v>
      </c>
    </row>
    <row r="546" spans="3:9" x14ac:dyDescent="0.25">
      <c r="C546" s="41">
        <v>2213.94</v>
      </c>
      <c r="D546" s="41">
        <v>8444.34</v>
      </c>
      <c r="E546" s="34">
        <f t="shared" si="40"/>
        <v>9476.3406940063669</v>
      </c>
      <c r="F546" s="35">
        <f t="shared" si="41"/>
        <v>8364.3888312327017</v>
      </c>
      <c r="G546" s="35">
        <f t="shared" si="42"/>
        <v>9617.5221725439314</v>
      </c>
      <c r="H546" s="36">
        <f t="shared" si="43"/>
        <v>-79.951168767298441</v>
      </c>
      <c r="I546" s="36">
        <f t="shared" si="44"/>
        <v>6392.1893872570381</v>
      </c>
    </row>
    <row r="547" spans="3:9" x14ac:dyDescent="0.25">
      <c r="C547" s="41">
        <v>2217.12</v>
      </c>
      <c r="D547" s="41">
        <v>8459.35</v>
      </c>
      <c r="E547" s="34">
        <f t="shared" si="40"/>
        <v>9440.2515723276683</v>
      </c>
      <c r="F547" s="35">
        <f t="shared" si="41"/>
        <v>8379.6862228836944</v>
      </c>
      <c r="G547" s="35">
        <f t="shared" si="42"/>
        <v>9624.4807430013716</v>
      </c>
      <c r="H547" s="36">
        <f t="shared" si="43"/>
        <v>-79.663777116305937</v>
      </c>
      <c r="I547" s="36">
        <f t="shared" si="44"/>
        <v>6346.3173844364692</v>
      </c>
    </row>
    <row r="548" spans="3:9" x14ac:dyDescent="0.25">
      <c r="C548" s="41">
        <v>2220.2800000000002</v>
      </c>
      <c r="D548" s="41">
        <v>8474.3700000000008</v>
      </c>
      <c r="E548" s="34">
        <f t="shared" si="40"/>
        <v>9506.329113923397</v>
      </c>
      <c r="F548" s="35">
        <f t="shared" si="41"/>
        <v>8394.8983684394352</v>
      </c>
      <c r="G548" s="35">
        <f t="shared" si="42"/>
        <v>9631.4005361970703</v>
      </c>
      <c r="H548" s="36">
        <f t="shared" si="43"/>
        <v>-79.471631560565584</v>
      </c>
      <c r="I548" s="36">
        <f t="shared" si="44"/>
        <v>6315.7402228982837</v>
      </c>
    </row>
    <row r="549" spans="3:9" x14ac:dyDescent="0.25">
      <c r="C549" s="41">
        <v>2223.39</v>
      </c>
      <c r="D549" s="41">
        <v>8489.3799999999992</v>
      </c>
      <c r="E549" s="34">
        <f t="shared" si="40"/>
        <v>9652.7331189710476</v>
      </c>
      <c r="F549" s="35">
        <f t="shared" si="41"/>
        <v>8409.880494435829</v>
      </c>
      <c r="G549" s="35">
        <f t="shared" si="42"/>
        <v>9638.2156966980692</v>
      </c>
      <c r="H549" s="36">
        <f t="shared" si="43"/>
        <v>-79.499505564170249</v>
      </c>
      <c r="I549" s="36">
        <f t="shared" si="44"/>
        <v>6320.1713849475364</v>
      </c>
    </row>
    <row r="550" spans="3:9" x14ac:dyDescent="0.25">
      <c r="C550" s="41">
        <v>2226.5</v>
      </c>
      <c r="D550" s="41">
        <v>8504.42</v>
      </c>
      <c r="E550" s="34">
        <f t="shared" si="40"/>
        <v>9672.0257234728342</v>
      </c>
      <c r="F550" s="35">
        <f t="shared" si="41"/>
        <v>8424.8732217557736</v>
      </c>
      <c r="G550" s="35">
        <f t="shared" si="42"/>
        <v>9645.0356795935368</v>
      </c>
      <c r="H550" s="36">
        <f t="shared" si="43"/>
        <v>-79.546778244226516</v>
      </c>
      <c r="I550" s="36">
        <f t="shared" si="44"/>
        <v>6327.6899290361489</v>
      </c>
    </row>
    <row r="551" spans="3:9" x14ac:dyDescent="0.25">
      <c r="C551" s="41">
        <v>2229.62</v>
      </c>
      <c r="D551" s="41">
        <v>8519.4599999999991</v>
      </c>
      <c r="E551" s="34">
        <f t="shared" si="40"/>
        <v>9641.0256410253733</v>
      </c>
      <c r="F551" s="35">
        <f t="shared" si="41"/>
        <v>8439.9248172580628</v>
      </c>
      <c r="G551" s="35">
        <f t="shared" si="42"/>
        <v>9651.882440805457</v>
      </c>
      <c r="H551" s="36">
        <f t="shared" si="43"/>
        <v>-79.535182741936296</v>
      </c>
      <c r="I551" s="36">
        <f t="shared" si="44"/>
        <v>6325.8452937932016</v>
      </c>
    </row>
    <row r="552" spans="3:9" x14ac:dyDescent="0.25">
      <c r="C552" s="41">
        <v>2232.73</v>
      </c>
      <c r="D552" s="41">
        <v>8534.5</v>
      </c>
      <c r="E552" s="34">
        <f t="shared" si="40"/>
        <v>9672.0257234728342</v>
      </c>
      <c r="F552" s="35">
        <f t="shared" si="41"/>
        <v>8454.9388038830693</v>
      </c>
      <c r="G552" s="35">
        <f t="shared" si="42"/>
        <v>9658.7120942627771</v>
      </c>
      <c r="H552" s="36">
        <f t="shared" si="43"/>
        <v>-79.56119611693066</v>
      </c>
      <c r="I552" s="36">
        <f t="shared" si="44"/>
        <v>6329.9839275567019</v>
      </c>
    </row>
    <row r="553" spans="3:9" x14ac:dyDescent="0.25">
      <c r="C553" s="41">
        <v>2235.85</v>
      </c>
      <c r="D553" s="41">
        <v>8549.5499999999993</v>
      </c>
      <c r="E553" s="34">
        <f t="shared" si="40"/>
        <v>9647.4358974357692</v>
      </c>
      <c r="F553" s="35">
        <f t="shared" si="41"/>
        <v>8470.0117421640061</v>
      </c>
      <c r="G553" s="35">
        <f t="shared" si="42"/>
        <v>9665.5685640075244</v>
      </c>
      <c r="H553" s="36">
        <f t="shared" si="43"/>
        <v>-79.538257835993136</v>
      </c>
      <c r="I553" s="36">
        <f t="shared" si="44"/>
        <v>6326.334459584923</v>
      </c>
    </row>
    <row r="554" spans="3:9" x14ac:dyDescent="0.25">
      <c r="C554" s="41">
        <v>2238.96</v>
      </c>
      <c r="D554" s="41">
        <v>8564.59</v>
      </c>
      <c r="E554" s="34">
        <f t="shared" si="40"/>
        <v>9672.0257234728342</v>
      </c>
      <c r="F554" s="35">
        <f t="shared" si="41"/>
        <v>8485.0470182392255</v>
      </c>
      <c r="G554" s="35">
        <f t="shared" si="42"/>
        <v>9672.4079017393051</v>
      </c>
      <c r="H554" s="36">
        <f t="shared" si="43"/>
        <v>-79.542981760774637</v>
      </c>
      <c r="I554" s="36">
        <f t="shared" si="44"/>
        <v>6327.0859473949267</v>
      </c>
    </row>
    <row r="555" spans="3:9" x14ac:dyDescent="0.25">
      <c r="C555" s="41">
        <v>2242.08</v>
      </c>
      <c r="D555" s="41">
        <v>8579.6299999999992</v>
      </c>
      <c r="E555" s="34">
        <f t="shared" si="40"/>
        <v>9641.0256410253733</v>
      </c>
      <c r="F555" s="35">
        <f t="shared" si="41"/>
        <v>8500.1413295623206</v>
      </c>
      <c r="G555" s="35">
        <f t="shared" si="42"/>
        <v>9679.274093783326</v>
      </c>
      <c r="H555" s="36">
        <f t="shared" si="43"/>
        <v>-79.488670437678593</v>
      </c>
      <c r="I555" s="36">
        <f t="shared" si="44"/>
        <v>6318.448727949879</v>
      </c>
    </row>
    <row r="556" spans="3:9" x14ac:dyDescent="0.25">
      <c r="C556" s="41">
        <v>2245.19</v>
      </c>
      <c r="D556" s="41">
        <v>8594.68</v>
      </c>
      <c r="E556" s="34">
        <f t="shared" si="40"/>
        <v>9678.4565916401771</v>
      </c>
      <c r="F556" s="35">
        <f t="shared" si="41"/>
        <v>8515.1979252756555</v>
      </c>
      <c r="G556" s="35">
        <f t="shared" si="42"/>
        <v>9686.1231295216276</v>
      </c>
      <c r="H556" s="36">
        <f t="shared" si="43"/>
        <v>-79.482074724344784</v>
      </c>
      <c r="I556" s="36">
        <f t="shared" si="44"/>
        <v>6317.4002024863275</v>
      </c>
    </row>
    <row r="557" spans="3:9" x14ac:dyDescent="0.25">
      <c r="C557" s="41">
        <v>2248.31</v>
      </c>
      <c r="D557" s="41">
        <v>8609.7199999999993</v>
      </c>
      <c r="E557" s="34">
        <f t="shared" si="40"/>
        <v>9641.0256410253733</v>
      </c>
      <c r="F557" s="35">
        <f t="shared" si="41"/>
        <v>8530.3136399473424</v>
      </c>
      <c r="G557" s="35">
        <f t="shared" si="42"/>
        <v>9692.9990576508972</v>
      </c>
      <c r="H557" s="36">
        <f t="shared" si="43"/>
        <v>-79.406360052656964</v>
      </c>
      <c r="I557" s="36">
        <f t="shared" si="44"/>
        <v>6305.3700168121959</v>
      </c>
    </row>
    <row r="558" spans="3:9" x14ac:dyDescent="0.25">
      <c r="C558" s="41">
        <v>2251.42</v>
      </c>
      <c r="D558" s="41">
        <v>8624.76</v>
      </c>
      <c r="E558" s="34">
        <f t="shared" si="40"/>
        <v>9672.0257234728342</v>
      </c>
      <c r="F558" s="35">
        <f t="shared" si="41"/>
        <v>8545.3915855294927</v>
      </c>
      <c r="G558" s="35">
        <f t="shared" si="42"/>
        <v>9699.8578051472414</v>
      </c>
      <c r="H558" s="36">
        <f t="shared" si="43"/>
        <v>-79.36841447050756</v>
      </c>
      <c r="I558" s="36">
        <f t="shared" si="44"/>
        <v>6299.3452155622736</v>
      </c>
    </row>
    <row r="559" spans="3:9" x14ac:dyDescent="0.25">
      <c r="C559" s="41">
        <v>2254.54</v>
      </c>
      <c r="D559" s="41">
        <v>8639.81</v>
      </c>
      <c r="E559" s="34">
        <f t="shared" si="40"/>
        <v>9647.4358974357692</v>
      </c>
      <c r="F559" s="35">
        <f t="shared" si="41"/>
        <v>8560.528733899162</v>
      </c>
      <c r="G559" s="35">
        <f t="shared" si="42"/>
        <v>9706.7434831672745</v>
      </c>
      <c r="H559" s="36">
        <f t="shared" si="43"/>
        <v>-79.281266100837456</v>
      </c>
      <c r="I559" s="36">
        <f t="shared" si="44"/>
        <v>6285.5191545517982</v>
      </c>
    </row>
    <row r="560" spans="3:9" x14ac:dyDescent="0.25">
      <c r="C560" s="41">
        <v>2257.65</v>
      </c>
      <c r="D560" s="41">
        <v>8654.85</v>
      </c>
      <c r="E560" s="34">
        <f t="shared" si="40"/>
        <v>9672.0257234728342</v>
      </c>
      <c r="F560" s="35">
        <f t="shared" si="41"/>
        <v>8575.6280596237011</v>
      </c>
      <c r="G560" s="35">
        <f t="shared" si="42"/>
        <v>9713.6119561926898</v>
      </c>
      <c r="H560" s="36">
        <f t="shared" si="43"/>
        <v>-79.221940376299244</v>
      </c>
      <c r="I560" s="36">
        <f t="shared" si="44"/>
        <v>6276.1158369859122</v>
      </c>
    </row>
    <row r="561" spans="3:9" x14ac:dyDescent="0.25">
      <c r="C561" s="41">
        <v>2260.77</v>
      </c>
      <c r="D561" s="41">
        <v>8669.89</v>
      </c>
      <c r="E561" s="34">
        <f t="shared" si="40"/>
        <v>9641.0256410253733</v>
      </c>
      <c r="F561" s="35">
        <f t="shared" si="41"/>
        <v>8590.7866720838047</v>
      </c>
      <c r="G561" s="35">
        <f t="shared" si="42"/>
        <v>9720.5073979285899</v>
      </c>
      <c r="H561" s="36">
        <f t="shared" si="43"/>
        <v>-79.103327916194758</v>
      </c>
      <c r="I561" s="36">
        <f t="shared" si="44"/>
        <v>6257.3364874170366</v>
      </c>
    </row>
    <row r="562" spans="3:9" x14ac:dyDescent="0.25">
      <c r="C562" s="41">
        <v>2263.88</v>
      </c>
      <c r="D562" s="41">
        <v>8684.93</v>
      </c>
      <c r="E562" s="34">
        <f t="shared" si="40"/>
        <v>9672.0257234728342</v>
      </c>
      <c r="F562" s="35">
        <f t="shared" si="41"/>
        <v>8605.9074082672214</v>
      </c>
      <c r="G562" s="35">
        <f t="shared" si="42"/>
        <v>9727.3856102736245</v>
      </c>
      <c r="H562" s="36">
        <f t="shared" si="43"/>
        <v>-79.022591732778892</v>
      </c>
      <c r="I562" s="36">
        <f t="shared" si="44"/>
        <v>6244.5700041654545</v>
      </c>
    </row>
    <row r="563" spans="3:9" x14ac:dyDescent="0.25">
      <c r="C563" s="41">
        <v>2266.9899999999998</v>
      </c>
      <c r="D563" s="41">
        <v>8699.94</v>
      </c>
      <c r="E563" s="34">
        <f t="shared" si="40"/>
        <v>9652.7331189722172</v>
      </c>
      <c r="F563" s="35">
        <f t="shared" si="41"/>
        <v>8621.0388438544869</v>
      </c>
      <c r="G563" s="35">
        <f t="shared" si="42"/>
        <v>9734.2686896284886</v>
      </c>
      <c r="H563" s="36">
        <f t="shared" si="43"/>
        <v>-78.901156145513596</v>
      </c>
      <c r="I563" s="36">
        <f t="shared" si="44"/>
        <v>6225.3924410987183</v>
      </c>
    </row>
    <row r="564" spans="3:9" x14ac:dyDescent="0.25">
      <c r="C564" s="41">
        <v>2270.09</v>
      </c>
      <c r="D564" s="41">
        <v>8714.9599999999991</v>
      </c>
      <c r="E564" s="34">
        <f t="shared" si="40"/>
        <v>9690.3225806431328</v>
      </c>
      <c r="F564" s="35">
        <f t="shared" si="41"/>
        <v>8636.1322806886783</v>
      </c>
      <c r="G564" s="35">
        <f t="shared" si="42"/>
        <v>9741.1344838796831</v>
      </c>
      <c r="H564" s="36">
        <f t="shared" si="43"/>
        <v>-78.827719311320834</v>
      </c>
      <c r="I564" s="36">
        <f t="shared" si="44"/>
        <v>6213.8093318243837</v>
      </c>
    </row>
    <row r="565" spans="3:9" x14ac:dyDescent="0.25">
      <c r="C565" s="41">
        <v>2273.1999999999998</v>
      </c>
      <c r="D565" s="41">
        <v>8729.9699999999993</v>
      </c>
      <c r="E565" s="34">
        <f t="shared" si="40"/>
        <v>9652.7331189722172</v>
      </c>
      <c r="F565" s="35">
        <f t="shared" si="41"/>
        <v>8651.2851033375555</v>
      </c>
      <c r="G565" s="35">
        <f t="shared" si="42"/>
        <v>9748.0272919110757</v>
      </c>
      <c r="H565" s="36">
        <f t="shared" si="43"/>
        <v>-78.684896662443862</v>
      </c>
      <c r="I565" s="36">
        <f t="shared" si="44"/>
        <v>6191.3129627794688</v>
      </c>
    </row>
    <row r="566" spans="3:9" x14ac:dyDescent="0.25">
      <c r="C566" s="41">
        <v>2276.31</v>
      </c>
      <c r="D566" s="41">
        <v>8744.99</v>
      </c>
      <c r="E566" s="34">
        <f t="shared" si="40"/>
        <v>9659.1639871381485</v>
      </c>
      <c r="F566" s="35">
        <f t="shared" si="41"/>
        <v>8666.4486480946071</v>
      </c>
      <c r="G566" s="35">
        <f t="shared" si="42"/>
        <v>9754.9249772801777</v>
      </c>
      <c r="H566" s="36">
        <f t="shared" si="43"/>
        <v>-78.54135190539273</v>
      </c>
      <c r="I566" s="36">
        <f t="shared" si="44"/>
        <v>6168.7439591267384</v>
      </c>
    </row>
    <row r="567" spans="3:9" x14ac:dyDescent="0.25">
      <c r="C567" s="41">
        <v>2279.42</v>
      </c>
      <c r="D567" s="41">
        <v>8760</v>
      </c>
      <c r="E567" s="34">
        <f t="shared" si="40"/>
        <v>9652.7331189708057</v>
      </c>
      <c r="F567" s="35">
        <f t="shared" si="41"/>
        <v>8681.6229225467723</v>
      </c>
      <c r="G567" s="35">
        <f t="shared" si="42"/>
        <v>9761.8275434381867</v>
      </c>
      <c r="H567" s="36">
        <f t="shared" si="43"/>
        <v>-78.377077453227685</v>
      </c>
      <c r="I567" s="36">
        <f t="shared" si="44"/>
        <v>6142.9662701092511</v>
      </c>
    </row>
    <row r="568" spans="3:9" x14ac:dyDescent="0.25">
      <c r="C568" s="41">
        <v>2282.5300000000002</v>
      </c>
      <c r="D568" s="41">
        <v>8775.01</v>
      </c>
      <c r="E568" s="34">
        <f t="shared" si="40"/>
        <v>9652.7331189708057</v>
      </c>
      <c r="F568" s="35">
        <f t="shared" si="41"/>
        <v>8696.8079342863621</v>
      </c>
      <c r="G568" s="35">
        <f t="shared" si="42"/>
        <v>9768.734993838736</v>
      </c>
      <c r="H568" s="36">
        <f t="shared" si="43"/>
        <v>-78.202065713638149</v>
      </c>
      <c r="I568" s="36">
        <f t="shared" si="44"/>
        <v>6115.5630818801792</v>
      </c>
    </row>
    <row r="569" spans="3:9" x14ac:dyDescent="0.25">
      <c r="C569" s="41">
        <v>2285.63</v>
      </c>
      <c r="D569" s="41">
        <v>8790</v>
      </c>
      <c r="E569" s="34">
        <f t="shared" si="40"/>
        <v>9670.9677419356267</v>
      </c>
      <c r="F569" s="35">
        <f t="shared" si="41"/>
        <v>8711.954812729995</v>
      </c>
      <c r="G569" s="35">
        <f t="shared" si="42"/>
        <v>9775.6250979339311</v>
      </c>
      <c r="H569" s="36">
        <f t="shared" si="43"/>
        <v>-78.045187270005044</v>
      </c>
      <c r="I569" s="36">
        <f t="shared" si="44"/>
        <v>6091.0512560101579</v>
      </c>
    </row>
    <row r="570" spans="3:9" x14ac:dyDescent="0.25">
      <c r="C570" s="41">
        <v>2289.62</v>
      </c>
      <c r="D570" s="41">
        <v>8804.98</v>
      </c>
      <c r="E570" s="34">
        <f t="shared" si="40"/>
        <v>7508.771929824753</v>
      </c>
      <c r="F570" s="35">
        <f t="shared" si="41"/>
        <v>8731.4660366569533</v>
      </c>
      <c r="G570" s="35">
        <f t="shared" si="42"/>
        <v>9784.5004820192844</v>
      </c>
      <c r="H570" s="36">
        <f t="shared" si="43"/>
        <v>-73.513963343046271</v>
      </c>
      <c r="I570" s="36">
        <f t="shared" si="44"/>
        <v>5404.3028064027512</v>
      </c>
    </row>
    <row r="571" spans="3:9" x14ac:dyDescent="0.25">
      <c r="C571" s="41">
        <v>2293.63</v>
      </c>
      <c r="D571" s="41">
        <v>8819.9699999999993</v>
      </c>
      <c r="E571" s="34">
        <f t="shared" si="40"/>
        <v>7476.3092269321523</v>
      </c>
      <c r="F571" s="35">
        <f t="shared" si="41"/>
        <v>8751.0929090738355</v>
      </c>
      <c r="G571" s="35">
        <f t="shared" si="42"/>
        <v>9793.4284729923875</v>
      </c>
      <c r="H571" s="36">
        <f t="shared" si="43"/>
        <v>-68.877090926163874</v>
      </c>
      <c r="I571" s="36">
        <f t="shared" si="44"/>
        <v>4744.053654451046</v>
      </c>
    </row>
    <row r="572" spans="3:9" x14ac:dyDescent="0.25">
      <c r="C572" s="41">
        <v>2297.64</v>
      </c>
      <c r="D572" s="41">
        <v>8834.9500000000007</v>
      </c>
      <c r="E572" s="34">
        <f t="shared" si="40"/>
        <v>7471.3216957617278</v>
      </c>
      <c r="F572" s="35">
        <f t="shared" si="41"/>
        <v>8770.7376902781998</v>
      </c>
      <c r="G572" s="35">
        <f t="shared" si="42"/>
        <v>9802.3646104235486</v>
      </c>
      <c r="H572" s="36">
        <f t="shared" si="43"/>
        <v>-64.212309721800921</v>
      </c>
      <c r="I572" s="36">
        <f t="shared" si="44"/>
        <v>4123.2207198084889</v>
      </c>
    </row>
    <row r="573" spans="3:9" x14ac:dyDescent="0.25">
      <c r="C573" s="41">
        <v>2301.65</v>
      </c>
      <c r="D573" s="41">
        <v>8849.94</v>
      </c>
      <c r="E573" s="34">
        <f t="shared" si="40"/>
        <v>7476.3092269321523</v>
      </c>
      <c r="F573" s="35">
        <f t="shared" si="41"/>
        <v>8790.4003966111522</v>
      </c>
      <c r="G573" s="35">
        <f t="shared" si="42"/>
        <v>9811.3089017461116</v>
      </c>
      <c r="H573" s="36">
        <f t="shared" si="43"/>
        <v>-59.539603388848263</v>
      </c>
      <c r="I573" s="36">
        <f t="shared" si="44"/>
        <v>3544.9643717013514</v>
      </c>
    </row>
    <row r="574" spans="3:9" x14ac:dyDescent="0.25">
      <c r="C574" s="41">
        <v>2305.66</v>
      </c>
      <c r="D574" s="41">
        <v>8864.92</v>
      </c>
      <c r="E574" s="34">
        <f t="shared" si="40"/>
        <v>7471.3216957608211</v>
      </c>
      <c r="F574" s="35">
        <f t="shared" si="41"/>
        <v>8810.0810444286944</v>
      </c>
      <c r="G574" s="35">
        <f t="shared" si="42"/>
        <v>9820.2613544001943</v>
      </c>
      <c r="H574" s="36">
        <f t="shared" si="43"/>
        <v>-54.838955571305632</v>
      </c>
      <c r="I574" s="36">
        <f t="shared" si="44"/>
        <v>3007.3110481516333</v>
      </c>
    </row>
    <row r="575" spans="3:9" x14ac:dyDescent="0.25">
      <c r="C575" s="41">
        <v>2309.66</v>
      </c>
      <c r="D575" s="41">
        <v>8879.86</v>
      </c>
      <c r="E575" s="34">
        <f t="shared" si="40"/>
        <v>7470.0000000002547</v>
      </c>
      <c r="F575" s="35">
        <f t="shared" si="41"/>
        <v>8829.7305040477731</v>
      </c>
      <c r="G575" s="35">
        <f t="shared" si="42"/>
        <v>9829.1996199770656</v>
      </c>
      <c r="H575" s="36">
        <f t="shared" si="43"/>
        <v>-50.129495952227444</v>
      </c>
      <c r="I575" s="36">
        <f t="shared" si="44"/>
        <v>2512.9663644243878</v>
      </c>
    </row>
    <row r="576" spans="3:9" x14ac:dyDescent="0.25">
      <c r="C576" s="41">
        <v>2313.66</v>
      </c>
      <c r="D576" s="41">
        <v>8894.7999999999993</v>
      </c>
      <c r="E576" s="34">
        <f t="shared" si="40"/>
        <v>7469.9999999993452</v>
      </c>
      <c r="F576" s="35">
        <f t="shared" si="41"/>
        <v>8849.3978483322608</v>
      </c>
      <c r="G576" s="35">
        <f t="shared" si="42"/>
        <v>9838.1460210392015</v>
      </c>
      <c r="H576" s="36">
        <f t="shared" si="43"/>
        <v>-45.402151667738508</v>
      </c>
      <c r="I576" s="36">
        <f t="shared" si="44"/>
        <v>2061.3553760603304</v>
      </c>
    </row>
    <row r="577" spans="3:9" x14ac:dyDescent="0.25">
      <c r="C577" s="41">
        <v>2317.66</v>
      </c>
      <c r="D577" s="41">
        <v>8909.74</v>
      </c>
      <c r="E577" s="34">
        <f t="shared" si="40"/>
        <v>7470.0000000002547</v>
      </c>
      <c r="F577" s="35">
        <f t="shared" si="41"/>
        <v>8869.0830935605209</v>
      </c>
      <c r="G577" s="35">
        <f t="shared" si="42"/>
        <v>9847.1005649914023</v>
      </c>
      <c r="H577" s="36">
        <f t="shared" si="43"/>
        <v>-40.656906439478917</v>
      </c>
      <c r="I577" s="36">
        <f t="shared" si="44"/>
        <v>1652.9840412285421</v>
      </c>
    </row>
    <row r="578" spans="3:9" x14ac:dyDescent="0.25">
      <c r="C578" s="41">
        <v>2321.66</v>
      </c>
      <c r="D578" s="41">
        <v>8924.69</v>
      </c>
      <c r="E578" s="34">
        <f t="shared" si="40"/>
        <v>7475.0000000003638</v>
      </c>
      <c r="F578" s="35">
        <f t="shared" si="41"/>
        <v>8888.7862560257581</v>
      </c>
      <c r="G578" s="35">
        <f t="shared" si="42"/>
        <v>9856.0632592452203</v>
      </c>
      <c r="H578" s="36">
        <f t="shared" si="43"/>
        <v>-35.903743974242389</v>
      </c>
      <c r="I578" s="36">
        <f t="shared" si="44"/>
        <v>1289.0788313679466</v>
      </c>
    </row>
    <row r="579" spans="3:9" x14ac:dyDescent="0.25">
      <c r="C579" s="41">
        <v>2325.66</v>
      </c>
      <c r="D579" s="41">
        <v>8939.6299999999992</v>
      </c>
      <c r="E579" s="34">
        <f t="shared" si="40"/>
        <v>7469.9999999993452</v>
      </c>
      <c r="F579" s="35">
        <f t="shared" si="41"/>
        <v>8908.507352035982</v>
      </c>
      <c r="G579" s="35">
        <f t="shared" si="42"/>
        <v>9865.0341112189417</v>
      </c>
      <c r="H579" s="36">
        <f t="shared" si="43"/>
        <v>-31.122647964017233</v>
      </c>
      <c r="I579" s="36">
        <f t="shared" si="44"/>
        <v>968.61921629214601</v>
      </c>
    </row>
    <row r="580" spans="3:9" x14ac:dyDescent="0.25">
      <c r="C580" s="41">
        <v>2329.66</v>
      </c>
      <c r="D580" s="41">
        <v>8954.57</v>
      </c>
      <c r="E580" s="34">
        <f t="shared" si="40"/>
        <v>7470.0000000002547</v>
      </c>
      <c r="F580" s="35">
        <f t="shared" si="41"/>
        <v>8928.2463979140648</v>
      </c>
      <c r="G580" s="35">
        <f t="shared" si="42"/>
        <v>9874.013128337614</v>
      </c>
      <c r="H580" s="36">
        <f t="shared" si="43"/>
        <v>-26.323602085934908</v>
      </c>
      <c r="I580" s="36">
        <f t="shared" si="44"/>
        <v>692.93202677863667</v>
      </c>
    </row>
    <row r="581" spans="3:9" x14ac:dyDescent="0.25">
      <c r="C581" s="41">
        <v>2333.5100000000002</v>
      </c>
      <c r="D581" s="41">
        <v>8969.51</v>
      </c>
      <c r="E581" s="34">
        <f t="shared" si="40"/>
        <v>7761.0389610384918</v>
      </c>
      <c r="F581" s="35">
        <f t="shared" si="41"/>
        <v>8947.262197617707</v>
      </c>
      <c r="G581" s="35">
        <f t="shared" si="42"/>
        <v>9882.6631508421888</v>
      </c>
      <c r="H581" s="36">
        <f t="shared" si="43"/>
        <v>-22.24780238229323</v>
      </c>
      <c r="I581" s="36">
        <f t="shared" si="44"/>
        <v>494.9647108415723</v>
      </c>
    </row>
    <row r="582" spans="3:9" x14ac:dyDescent="0.25">
      <c r="C582" s="41">
        <v>2337.35</v>
      </c>
      <c r="D582" s="41">
        <v>8984.4500000000007</v>
      </c>
      <c r="E582" s="34">
        <f t="shared" si="40"/>
        <v>7781.2500000008913</v>
      </c>
      <c r="F582" s="35">
        <f t="shared" si="41"/>
        <v>8966.245199359686</v>
      </c>
      <c r="G582" s="35">
        <f t="shared" si="42"/>
        <v>9891.2982540106896</v>
      </c>
      <c r="H582" s="36">
        <f t="shared" si="43"/>
        <v>-18.204800640314716</v>
      </c>
      <c r="I582" s="36">
        <f t="shared" si="44"/>
        <v>331.41476635360306</v>
      </c>
    </row>
    <row r="583" spans="3:9" x14ac:dyDescent="0.25">
      <c r="C583" s="41">
        <v>2341.1799999999998</v>
      </c>
      <c r="D583" s="41">
        <v>8999.4</v>
      </c>
      <c r="E583" s="34">
        <f t="shared" si="40"/>
        <v>7806.7885117489259</v>
      </c>
      <c r="F583" s="35">
        <f t="shared" si="41"/>
        <v>8985.1952880937115</v>
      </c>
      <c r="G583" s="35">
        <f t="shared" si="42"/>
        <v>9899.9183855101619</v>
      </c>
      <c r="H583" s="36">
        <f t="shared" si="43"/>
        <v>-14.204711906288139</v>
      </c>
      <c r="I583" s="36">
        <f t="shared" si="44"/>
        <v>201.77384034064403</v>
      </c>
    </row>
    <row r="584" spans="3:9" x14ac:dyDescent="0.25">
      <c r="C584" s="41">
        <v>2345.02</v>
      </c>
      <c r="D584" s="41">
        <v>9014.34</v>
      </c>
      <c r="E584" s="34">
        <f t="shared" si="40"/>
        <v>7781.2499999999709</v>
      </c>
      <c r="F584" s="35">
        <f t="shared" si="41"/>
        <v>9004.2114343580488</v>
      </c>
      <c r="G584" s="35">
        <f t="shared" si="42"/>
        <v>9908.568565660371</v>
      </c>
      <c r="H584" s="36">
        <f t="shared" si="43"/>
        <v>-10.128565641951354</v>
      </c>
      <c r="I584" s="36">
        <f t="shared" si="44"/>
        <v>102.58784196331744</v>
      </c>
    </row>
    <row r="585" spans="3:9" x14ac:dyDescent="0.25">
      <c r="C585" s="41">
        <v>2348.85</v>
      </c>
      <c r="D585" s="41">
        <v>9029.2800000000007</v>
      </c>
      <c r="E585" s="34">
        <f t="shared" ref="E585:E648" si="45">IF(C585="","",2*(D585-D584)/((C585-C584)/1000))</f>
        <v>7801.5665796348794</v>
      </c>
      <c r="F585" s="35">
        <f t="shared" ref="F585:F648" si="46">IF(C585="","",F$7+(F$9/F$10)*(EXP(F$10*(C585-F$8)/2000)-1))</f>
        <v>9023.1946101479662</v>
      </c>
      <c r="G585" s="35">
        <f t="shared" ref="G585:G648" si="47">IF(E585="","",F$9+(F585-F$7)*F$10)</f>
        <v>9917.2037480008548</v>
      </c>
      <c r="H585" s="36">
        <f t="shared" ref="H585:H648" si="48">IF(F585="","",F585-D585)</f>
        <v>-6.0853898520344956</v>
      </c>
      <c r="I585" s="36">
        <f t="shared" ref="I585:I648" si="49">IF(H585="","",H585^2)</f>
        <v>37.031969651244417</v>
      </c>
    </row>
    <row r="586" spans="3:9" x14ac:dyDescent="0.25">
      <c r="C586" s="41">
        <v>2352.36</v>
      </c>
      <c r="D586" s="41">
        <v>9044.2199999999993</v>
      </c>
      <c r="E586" s="34">
        <f t="shared" si="45"/>
        <v>8512.8205128192367</v>
      </c>
      <c r="F586" s="35">
        <f t="shared" si="46"/>
        <v>9040.6062518759609</v>
      </c>
      <c r="G586" s="35">
        <f t="shared" si="47"/>
        <v>9925.1240613789923</v>
      </c>
      <c r="H586" s="36">
        <f t="shared" si="48"/>
        <v>-3.6137481240384659</v>
      </c>
      <c r="I586" s="36">
        <f t="shared" si="49"/>
        <v>13.059175503991531</v>
      </c>
    </row>
    <row r="587" spans="3:9" x14ac:dyDescent="0.25">
      <c r="C587" s="41">
        <v>2355.33</v>
      </c>
      <c r="D587" s="41">
        <v>9059.2099999999991</v>
      </c>
      <c r="E587" s="34">
        <f t="shared" si="45"/>
        <v>10094.276094276627</v>
      </c>
      <c r="F587" s="35">
        <f t="shared" si="46"/>
        <v>9055.3500403039325</v>
      </c>
      <c r="G587" s="35">
        <f t="shared" si="47"/>
        <v>9931.8308054387871</v>
      </c>
      <c r="H587" s="36">
        <f t="shared" si="48"/>
        <v>-3.8599596960666531</v>
      </c>
      <c r="I587" s="36">
        <f t="shared" si="49"/>
        <v>14.89928885525897</v>
      </c>
    </row>
    <row r="588" spans="3:9" x14ac:dyDescent="0.25">
      <c r="C588" s="41">
        <v>2358.31</v>
      </c>
      <c r="D588" s="41">
        <v>9074.19</v>
      </c>
      <c r="E588" s="34">
        <f t="shared" si="45"/>
        <v>10053.691275168652</v>
      </c>
      <c r="F588" s="35">
        <f t="shared" si="46"/>
        <v>9070.1534843783629</v>
      </c>
      <c r="G588" s="35">
        <f t="shared" si="47"/>
        <v>9938.5646860214947</v>
      </c>
      <c r="H588" s="36">
        <f t="shared" si="48"/>
        <v>-4.0365156216375908</v>
      </c>
      <c r="I588" s="36">
        <f t="shared" si="49"/>
        <v>16.293458363724305</v>
      </c>
    </row>
    <row r="589" spans="3:9" x14ac:dyDescent="0.25">
      <c r="C589" s="41">
        <v>2361.2800000000002</v>
      </c>
      <c r="D589" s="41">
        <v>9089.18</v>
      </c>
      <c r="E589" s="34">
        <f t="shared" si="45"/>
        <v>10094.276094275083</v>
      </c>
      <c r="F589" s="35">
        <f t="shared" si="46"/>
        <v>9084.9172388767638</v>
      </c>
      <c r="G589" s="35">
        <f t="shared" si="47"/>
        <v>9945.2805123687158</v>
      </c>
      <c r="H589" s="36">
        <f t="shared" si="48"/>
        <v>-4.262761123236487</v>
      </c>
      <c r="I589" s="36">
        <f t="shared" si="49"/>
        <v>18.171132393776396</v>
      </c>
    </row>
    <row r="590" spans="3:9" x14ac:dyDescent="0.25">
      <c r="C590" s="41">
        <v>2364.2600000000002</v>
      </c>
      <c r="D590" s="41">
        <v>9104.17</v>
      </c>
      <c r="E590" s="34">
        <f t="shared" si="45"/>
        <v>10060.402684563551</v>
      </c>
      <c r="F590" s="35">
        <f t="shared" si="46"/>
        <v>9099.740729807434</v>
      </c>
      <c r="G590" s="35">
        <f t="shared" si="47"/>
        <v>9952.0235119871904</v>
      </c>
      <c r="H590" s="36">
        <f t="shared" si="48"/>
        <v>-4.4292701925660367</v>
      </c>
      <c r="I590" s="36">
        <f t="shared" si="49"/>
        <v>19.618434438753976</v>
      </c>
    </row>
    <row r="591" spans="3:9" x14ac:dyDescent="0.25">
      <c r="C591" s="41">
        <v>2367.23</v>
      </c>
      <c r="D591" s="41">
        <v>9119.15</v>
      </c>
      <c r="E591" s="34">
        <f t="shared" si="45"/>
        <v>10087.542087542473</v>
      </c>
      <c r="F591" s="35">
        <f t="shared" si="46"/>
        <v>9114.5244774143648</v>
      </c>
      <c r="G591" s="35">
        <f t="shared" si="47"/>
        <v>9958.7484329210929</v>
      </c>
      <c r="H591" s="36">
        <f t="shared" si="48"/>
        <v>-4.6255225856348261</v>
      </c>
      <c r="I591" s="36">
        <f t="shared" si="49"/>
        <v>21.395459190217888</v>
      </c>
    </row>
    <row r="592" spans="3:9" x14ac:dyDescent="0.25">
      <c r="C592" s="41">
        <v>2370.1999999999998</v>
      </c>
      <c r="D592" s="41">
        <v>9134.14</v>
      </c>
      <c r="E592" s="34">
        <f t="shared" si="45"/>
        <v>10094.276094276627</v>
      </c>
      <c r="F592" s="35">
        <f t="shared" si="46"/>
        <v>9129.3182149026143</v>
      </c>
      <c r="G592" s="35">
        <f t="shared" si="47"/>
        <v>9965.4778981129039</v>
      </c>
      <c r="H592" s="36">
        <f t="shared" si="48"/>
        <v>-4.8217850973851455</v>
      </c>
      <c r="I592" s="36">
        <f t="shared" si="49"/>
        <v>23.249611525365477</v>
      </c>
    </row>
    <row r="593" spans="3:9" x14ac:dyDescent="0.25">
      <c r="C593" s="41">
        <v>2373.1799999999998</v>
      </c>
      <c r="D593" s="41">
        <v>9149.16</v>
      </c>
      <c r="E593" s="34">
        <f t="shared" si="45"/>
        <v>10080.53691275191</v>
      </c>
      <c r="F593" s="35">
        <f t="shared" si="46"/>
        <v>9144.1718101389433</v>
      </c>
      <c r="G593" s="35">
        <f t="shared" si="47"/>
        <v>9972.2345917608436</v>
      </c>
      <c r="H593" s="36">
        <f t="shared" si="48"/>
        <v>-4.9881898610565258</v>
      </c>
      <c r="I593" s="36">
        <f t="shared" si="49"/>
        <v>24.882038089947123</v>
      </c>
    </row>
    <row r="594" spans="3:9" x14ac:dyDescent="0.25">
      <c r="C594" s="41">
        <v>2376.17</v>
      </c>
      <c r="D594" s="41">
        <v>9164.19</v>
      </c>
      <c r="E594" s="34">
        <f t="shared" si="45"/>
        <v>10053.511705685261</v>
      </c>
      <c r="F594" s="35">
        <f t="shared" si="46"/>
        <v>9159.0853712974222</v>
      </c>
      <c r="G594" s="35">
        <f t="shared" si="47"/>
        <v>9979.0185630717897</v>
      </c>
      <c r="H594" s="36">
        <f t="shared" si="48"/>
        <v>-5.1046287025783386</v>
      </c>
      <c r="I594" s="36">
        <f t="shared" si="49"/>
        <v>26.057234191186613</v>
      </c>
    </row>
    <row r="595" spans="3:9" x14ac:dyDescent="0.25">
      <c r="C595" s="41">
        <v>2379.15</v>
      </c>
      <c r="D595" s="41">
        <v>9179.2199999999993</v>
      </c>
      <c r="E595" s="34">
        <f t="shared" si="45"/>
        <v>10087.248322146808</v>
      </c>
      <c r="F595" s="35">
        <f t="shared" si="46"/>
        <v>9173.9591489633895</v>
      </c>
      <c r="G595" s="35">
        <f t="shared" si="47"/>
        <v>9985.7844374259457</v>
      </c>
      <c r="H595" s="36">
        <f t="shared" si="48"/>
        <v>-5.2608510366098926</v>
      </c>
      <c r="I595" s="36">
        <f t="shared" si="49"/>
        <v>27.676553629399383</v>
      </c>
    </row>
    <row r="596" spans="3:9" x14ac:dyDescent="0.25">
      <c r="C596" s="41">
        <v>2382.13</v>
      </c>
      <c r="D596" s="41">
        <v>9194.25</v>
      </c>
      <c r="E596" s="34">
        <f t="shared" si="45"/>
        <v>10087.248322148029</v>
      </c>
      <c r="F596" s="35">
        <f t="shared" si="46"/>
        <v>9188.8430111993257</v>
      </c>
      <c r="G596" s="35">
        <f t="shared" si="47"/>
        <v>9992.5548991105607</v>
      </c>
      <c r="H596" s="36">
        <f t="shared" si="48"/>
        <v>-5.4069888006742985</v>
      </c>
      <c r="I596" s="36">
        <f t="shared" si="49"/>
        <v>29.235527890617288</v>
      </c>
    </row>
    <row r="597" spans="3:9" x14ac:dyDescent="0.25">
      <c r="C597" s="41">
        <v>2385.11</v>
      </c>
      <c r="D597" s="41">
        <v>9209.2800000000007</v>
      </c>
      <c r="E597" s="34">
        <f t="shared" si="45"/>
        <v>10087.248322148029</v>
      </c>
      <c r="F597" s="35">
        <f t="shared" si="46"/>
        <v>9203.7369648426611</v>
      </c>
      <c r="G597" s="35">
        <f t="shared" si="47"/>
        <v>9999.3299512358863</v>
      </c>
      <c r="H597" s="36">
        <f t="shared" si="48"/>
        <v>-5.5430351573395455</v>
      </c>
      <c r="I597" s="36">
        <f t="shared" si="49"/>
        <v>30.725238755502239</v>
      </c>
    </row>
    <row r="598" spans="3:9" x14ac:dyDescent="0.25">
      <c r="C598" s="41">
        <v>2388.09</v>
      </c>
      <c r="D598" s="41">
        <v>9224.31</v>
      </c>
      <c r="E598" s="34">
        <f t="shared" si="45"/>
        <v>10087.248322146808</v>
      </c>
      <c r="F598" s="35">
        <f t="shared" si="46"/>
        <v>9218.6410167354752</v>
      </c>
      <c r="G598" s="35">
        <f t="shared" si="47"/>
        <v>10006.109596914292</v>
      </c>
      <c r="H598" s="36">
        <f t="shared" si="48"/>
        <v>-5.6689832645242859</v>
      </c>
      <c r="I598" s="36">
        <f t="shared" si="49"/>
        <v>32.137371253456429</v>
      </c>
    </row>
    <row r="599" spans="3:9" x14ac:dyDescent="0.25">
      <c r="C599" s="41">
        <v>2391.08</v>
      </c>
      <c r="D599" s="41">
        <v>9239.36</v>
      </c>
      <c r="E599" s="34">
        <f t="shared" si="45"/>
        <v>10066.889632108489</v>
      </c>
      <c r="F599" s="35">
        <f t="shared" si="46"/>
        <v>9233.6052382506059</v>
      </c>
      <c r="G599" s="35">
        <f t="shared" si="47"/>
        <v>10012.916612916069</v>
      </c>
      <c r="H599" s="36">
        <f t="shared" si="48"/>
        <v>-5.7547617493946746</v>
      </c>
      <c r="I599" s="36">
        <f t="shared" si="49"/>
        <v>33.117282792296052</v>
      </c>
    </row>
    <row r="600" spans="3:9" x14ac:dyDescent="0.25">
      <c r="C600" s="41">
        <v>2394.0700000000002</v>
      </c>
      <c r="D600" s="41">
        <v>9254.42</v>
      </c>
      <c r="E600" s="34">
        <f t="shared" si="45"/>
        <v>10073.578595316589</v>
      </c>
      <c r="F600" s="35">
        <f t="shared" si="46"/>
        <v>9248.5796397157337</v>
      </c>
      <c r="G600" s="35">
        <f t="shared" si="47"/>
        <v>10019.728259635354</v>
      </c>
      <c r="H600" s="36">
        <f t="shared" si="48"/>
        <v>-5.8403602842663531</v>
      </c>
      <c r="I600" s="36">
        <f t="shared" si="49"/>
        <v>34.109808250035755</v>
      </c>
    </row>
    <row r="601" spans="3:9" x14ac:dyDescent="0.25">
      <c r="C601" s="41">
        <v>2397.06</v>
      </c>
      <c r="D601" s="41">
        <v>9269.48</v>
      </c>
      <c r="E601" s="34">
        <f t="shared" si="45"/>
        <v>10073.57859531812</v>
      </c>
      <c r="F601" s="35">
        <f t="shared" si="46"/>
        <v>9263.5642280561242</v>
      </c>
      <c r="G601" s="35">
        <f t="shared" si="47"/>
        <v>10026.544540222352</v>
      </c>
      <c r="H601" s="36">
        <f t="shared" si="48"/>
        <v>-5.9157719438753702</v>
      </c>
      <c r="I601" s="36">
        <f t="shared" si="49"/>
        <v>34.996357691942976</v>
      </c>
    </row>
    <row r="602" spans="3:9" x14ac:dyDescent="0.25">
      <c r="C602" s="41">
        <v>2400.04</v>
      </c>
      <c r="D602" s="41">
        <v>9284.5400000000009</v>
      </c>
      <c r="E602" s="34">
        <f t="shared" si="45"/>
        <v>10107.382550336388</v>
      </c>
      <c r="F602" s="35">
        <f t="shared" si="46"/>
        <v>9278.5088434315403</v>
      </c>
      <c r="G602" s="35">
        <f t="shared" si="47"/>
        <v>10033.342637664176</v>
      </c>
      <c r="H602" s="36">
        <f t="shared" si="48"/>
        <v>-6.0311565684605739</v>
      </c>
      <c r="I602" s="36">
        <f t="shared" si="49"/>
        <v>36.374849553285124</v>
      </c>
    </row>
    <row r="603" spans="3:9" x14ac:dyDescent="0.25">
      <c r="C603" s="41">
        <v>2403.0300000000002</v>
      </c>
      <c r="D603" s="41">
        <v>9299.59</v>
      </c>
      <c r="E603" s="34">
        <f t="shared" si="45"/>
        <v>10066.88963210574</v>
      </c>
      <c r="F603" s="35">
        <f t="shared" si="46"/>
        <v>9293.5137921894038</v>
      </c>
      <c r="G603" s="35">
        <f t="shared" si="47"/>
        <v>10040.168179921577</v>
      </c>
      <c r="H603" s="36">
        <f t="shared" si="48"/>
        <v>-6.0762078105963155</v>
      </c>
      <c r="I603" s="36">
        <f t="shared" si="49"/>
        <v>36.920301357551672</v>
      </c>
    </row>
    <row r="604" spans="3:9" x14ac:dyDescent="0.25">
      <c r="C604" s="41">
        <v>2406.02</v>
      </c>
      <c r="D604" s="41">
        <v>9314.65</v>
      </c>
      <c r="E604" s="34">
        <f t="shared" si="45"/>
        <v>10073.57859531812</v>
      </c>
      <c r="F604" s="35">
        <f t="shared" si="46"/>
        <v>9308.5289486034253</v>
      </c>
      <c r="G604" s="35">
        <f t="shared" si="47"/>
        <v>10046.998365499632</v>
      </c>
      <c r="H604" s="36">
        <f t="shared" si="48"/>
        <v>-6.1210513965743303</v>
      </c>
      <c r="I604" s="36">
        <f t="shared" si="49"/>
        <v>37.467270199504561</v>
      </c>
    </row>
    <row r="605" spans="3:9" x14ac:dyDescent="0.25">
      <c r="C605" s="41">
        <v>2409.0100000000002</v>
      </c>
      <c r="D605" s="41">
        <v>9329.73</v>
      </c>
      <c r="E605" s="34">
        <f t="shared" si="45"/>
        <v>10086.956521738284</v>
      </c>
      <c r="F605" s="35">
        <f t="shared" si="46"/>
        <v>9323.5543196177405</v>
      </c>
      <c r="G605" s="35">
        <f t="shared" si="47"/>
        <v>10053.833197557131</v>
      </c>
      <c r="H605" s="36">
        <f t="shared" si="48"/>
        <v>-6.1756803822590882</v>
      </c>
      <c r="I605" s="36">
        <f t="shared" si="49"/>
        <v>38.139028183819761</v>
      </c>
    </row>
    <row r="606" spans="3:9" x14ac:dyDescent="0.25">
      <c r="C606" s="41">
        <v>2412</v>
      </c>
      <c r="D606" s="41">
        <v>9344.81</v>
      </c>
      <c r="E606" s="34">
        <f t="shared" si="45"/>
        <v>10086.956521739818</v>
      </c>
      <c r="F606" s="35">
        <f t="shared" si="46"/>
        <v>9338.5899121811944</v>
      </c>
      <c r="G606" s="35">
        <f t="shared" si="47"/>
        <v>10060.672679255003</v>
      </c>
      <c r="H606" s="36">
        <f t="shared" si="48"/>
        <v>-6.220087818805041</v>
      </c>
      <c r="I606" s="36">
        <f t="shared" si="49"/>
        <v>38.689492473646851</v>
      </c>
    </row>
    <row r="607" spans="3:9" x14ac:dyDescent="0.25">
      <c r="C607" s="41">
        <v>2415</v>
      </c>
      <c r="D607" s="41">
        <v>9359.9</v>
      </c>
      <c r="E607" s="34">
        <f t="shared" si="45"/>
        <v>10060.000000000096</v>
      </c>
      <c r="F607" s="35">
        <f t="shared" si="46"/>
        <v>9353.6860708886707</v>
      </c>
      <c r="G607" s="35">
        <f t="shared" si="47"/>
        <v>10067.539711648456</v>
      </c>
      <c r="H607" s="36">
        <f t="shared" si="48"/>
        <v>-6.2139291113289801</v>
      </c>
      <c r="I607" s="36">
        <f t="shared" si="49"/>
        <v>38.612915000621769</v>
      </c>
    </row>
    <row r="608" spans="3:9" x14ac:dyDescent="0.25">
      <c r="C608" s="41">
        <v>2417.9899999999998</v>
      </c>
      <c r="D608" s="41">
        <v>9374.99</v>
      </c>
      <c r="E608" s="34">
        <f t="shared" si="45"/>
        <v>10093.645484950666</v>
      </c>
      <c r="F608" s="35">
        <f t="shared" si="46"/>
        <v>9368.7421616598513</v>
      </c>
      <c r="G608" s="35">
        <f t="shared" si="47"/>
        <v>10074.388517695603</v>
      </c>
      <c r="H608" s="36">
        <f t="shared" si="48"/>
        <v>-6.2478383401485189</v>
      </c>
      <c r="I608" s="36">
        <f t="shared" si="49"/>
        <v>39.035483924629801</v>
      </c>
    </row>
    <row r="609" spans="3:9" x14ac:dyDescent="0.25">
      <c r="C609" s="41">
        <v>2420.98</v>
      </c>
      <c r="D609" s="41">
        <v>9390.07</v>
      </c>
      <c r="E609" s="34">
        <f t="shared" si="45"/>
        <v>10086.956521738284</v>
      </c>
      <c r="F609" s="35">
        <f t="shared" si="46"/>
        <v>9383.8084948783908</v>
      </c>
      <c r="G609" s="35">
        <f t="shared" si="47"/>
        <v>10081.241982889434</v>
      </c>
      <c r="H609" s="36">
        <f t="shared" si="48"/>
        <v>-6.2615051216089341</v>
      </c>
      <c r="I609" s="36">
        <f t="shared" si="49"/>
        <v>39.206446387934911</v>
      </c>
    </row>
    <row r="610" spans="3:9" x14ac:dyDescent="0.25">
      <c r="C610" s="41">
        <v>2423.98</v>
      </c>
      <c r="D610" s="41">
        <v>9405.16</v>
      </c>
      <c r="E610" s="34">
        <f t="shared" si="45"/>
        <v>10060.000000000096</v>
      </c>
      <c r="F610" s="35">
        <f t="shared" si="46"/>
        <v>9398.9355180699931</v>
      </c>
      <c r="G610" s="35">
        <f t="shared" si="47"/>
        <v>10088.123055106949</v>
      </c>
      <c r="H610" s="36">
        <f t="shared" si="48"/>
        <v>-6.224481930006732</v>
      </c>
      <c r="I610" s="36">
        <f t="shared" si="49"/>
        <v>38.74417529698033</v>
      </c>
    </row>
    <row r="611" spans="3:9" x14ac:dyDescent="0.25">
      <c r="C611" s="41">
        <v>2426.9699999999998</v>
      </c>
      <c r="D611" s="41">
        <v>9420.26</v>
      </c>
      <c r="E611" s="34">
        <f t="shared" si="45"/>
        <v>10100.334448161515</v>
      </c>
      <c r="F611" s="35">
        <f t="shared" si="46"/>
        <v>9414.0223914053695</v>
      </c>
      <c r="G611" s="35">
        <f t="shared" si="47"/>
        <v>10094.985863713926</v>
      </c>
      <c r="H611" s="36">
        <f t="shared" si="48"/>
        <v>-6.2376085946307285</v>
      </c>
      <c r="I611" s="36">
        <f t="shared" si="49"/>
        <v>38.90776097981113</v>
      </c>
    </row>
    <row r="612" spans="3:9" x14ac:dyDescent="0.25">
      <c r="C612" s="41">
        <v>2429.9699999999998</v>
      </c>
      <c r="D612" s="41">
        <v>9435.3799999999992</v>
      </c>
      <c r="E612" s="34">
        <f t="shared" si="45"/>
        <v>10079.999999999322</v>
      </c>
      <c r="F612" s="35">
        <f t="shared" si="46"/>
        <v>9429.1700374531974</v>
      </c>
      <c r="G612" s="35">
        <f t="shared" si="47"/>
        <v>10101.876316981579</v>
      </c>
      <c r="H612" s="36">
        <f t="shared" si="48"/>
        <v>-6.2099625468017621</v>
      </c>
      <c r="I612" s="36">
        <f t="shared" si="49"/>
        <v>38.563634832680627</v>
      </c>
    </row>
    <row r="613" spans="3:9" x14ac:dyDescent="0.25">
      <c r="C613" s="41">
        <v>2432.9699999999998</v>
      </c>
      <c r="D613" s="41">
        <v>9450.49</v>
      </c>
      <c r="E613" s="34">
        <f t="shared" si="45"/>
        <v>10073.333333333721</v>
      </c>
      <c r="F613" s="35">
        <f t="shared" si="46"/>
        <v>9444.328022707894</v>
      </c>
      <c r="G613" s="35">
        <f t="shared" si="47"/>
        <v>10108.771473410474</v>
      </c>
      <c r="H613" s="36">
        <f t="shared" si="48"/>
        <v>-6.1619772921058029</v>
      </c>
      <c r="I613" s="36">
        <f t="shared" si="49"/>
        <v>37.969964148427565</v>
      </c>
    </row>
    <row r="614" spans="3:9" x14ac:dyDescent="0.25">
      <c r="C614" s="41">
        <v>2435.94</v>
      </c>
      <c r="D614" s="41">
        <v>9465.6</v>
      </c>
      <c r="E614" s="34">
        <f t="shared" si="45"/>
        <v>10175.084175083695</v>
      </c>
      <c r="F614" s="35">
        <f t="shared" si="46"/>
        <v>9459.344619674237</v>
      </c>
      <c r="G614" s="35">
        <f t="shared" si="47"/>
        <v>10115.602314275722</v>
      </c>
      <c r="H614" s="36">
        <f t="shared" si="48"/>
        <v>-6.2553803257633263</v>
      </c>
      <c r="I614" s="36">
        <f t="shared" si="49"/>
        <v>39.129783019946899</v>
      </c>
    </row>
    <row r="615" spans="3:9" x14ac:dyDescent="0.25">
      <c r="C615" s="41">
        <v>2438.86</v>
      </c>
      <c r="D615" s="41">
        <v>9480.7199999999993</v>
      </c>
      <c r="E615" s="34">
        <f t="shared" si="45"/>
        <v>10356.164383560688</v>
      </c>
      <c r="F615" s="35">
        <f t="shared" si="46"/>
        <v>9474.118304360778</v>
      </c>
      <c r="G615" s="35">
        <f t="shared" si="47"/>
        <v>10122.322657727256</v>
      </c>
      <c r="H615" s="36">
        <f t="shared" si="48"/>
        <v>-6.6016956392213615</v>
      </c>
      <c r="I615" s="36">
        <f t="shared" si="49"/>
        <v>43.58238531291434</v>
      </c>
    </row>
    <row r="616" spans="3:9" x14ac:dyDescent="0.25">
      <c r="C616" s="41">
        <v>2441.77</v>
      </c>
      <c r="D616" s="41">
        <v>9495.83</v>
      </c>
      <c r="E616" s="34">
        <f t="shared" si="45"/>
        <v>10384.87972508683</v>
      </c>
      <c r="F616" s="35">
        <f t="shared" si="46"/>
        <v>9488.8511588278816</v>
      </c>
      <c r="G616" s="35">
        <f t="shared" si="47"/>
        <v>10129.024428080498</v>
      </c>
      <c r="H616" s="36">
        <f t="shared" si="48"/>
        <v>-6.9788411721183365</v>
      </c>
      <c r="I616" s="36">
        <f t="shared" si="49"/>
        <v>48.704224105654035</v>
      </c>
    </row>
    <row r="617" spans="3:9" x14ac:dyDescent="0.25">
      <c r="C617" s="41">
        <v>2444.6999999999998</v>
      </c>
      <c r="D617" s="41">
        <v>9510.9599999999991</v>
      </c>
      <c r="E617" s="34">
        <f t="shared" si="45"/>
        <v>10327.64505119457</v>
      </c>
      <c r="F617" s="35">
        <f t="shared" si="46"/>
        <v>9503.6951251353676</v>
      </c>
      <c r="G617" s="35">
        <f t="shared" si="47"/>
        <v>10135.776741662783</v>
      </c>
      <c r="H617" s="36">
        <f t="shared" si="48"/>
        <v>-7.2648748646315653</v>
      </c>
      <c r="I617" s="36">
        <f t="shared" si="49"/>
        <v>52.778406798755505</v>
      </c>
    </row>
    <row r="618" spans="3:9" x14ac:dyDescent="0.25">
      <c r="C618" s="41">
        <v>2447.62</v>
      </c>
      <c r="D618" s="41">
        <v>9526.1</v>
      </c>
      <c r="E618" s="34">
        <f t="shared" si="45"/>
        <v>10369.86301369922</v>
      </c>
      <c r="F618" s="35">
        <f t="shared" si="46"/>
        <v>9518.4982742689735</v>
      </c>
      <c r="G618" s="35">
        <f t="shared" si="47"/>
        <v>10142.510488081018</v>
      </c>
      <c r="H618" s="36">
        <f t="shared" si="48"/>
        <v>-7.6017257310268178</v>
      </c>
      <c r="I618" s="36">
        <f t="shared" si="49"/>
        <v>57.786234089755204</v>
      </c>
    </row>
    <row r="619" spans="3:9" x14ac:dyDescent="0.25">
      <c r="C619" s="41">
        <v>2450.54</v>
      </c>
      <c r="D619" s="41">
        <v>9541.24</v>
      </c>
      <c r="E619" s="34">
        <f t="shared" si="45"/>
        <v>10369.863013697974</v>
      </c>
      <c r="F619" s="35">
        <f t="shared" si="46"/>
        <v>9533.3112579377157</v>
      </c>
      <c r="G619" s="35">
        <f t="shared" si="47"/>
        <v>10149.248708092346</v>
      </c>
      <c r="H619" s="36">
        <f t="shared" si="48"/>
        <v>-7.9287420622840727</v>
      </c>
      <c r="I619" s="36">
        <f t="shared" si="49"/>
        <v>62.864950690232689</v>
      </c>
    </row>
    <row r="620" spans="3:9" x14ac:dyDescent="0.25">
      <c r="C620" s="41">
        <v>2453.46</v>
      </c>
      <c r="D620" s="41">
        <v>9556.39</v>
      </c>
      <c r="E620" s="34">
        <f t="shared" si="45"/>
        <v>10376.712328766616</v>
      </c>
      <c r="F620" s="35">
        <f t="shared" si="46"/>
        <v>9548.1340826751984</v>
      </c>
      <c r="G620" s="35">
        <f t="shared" si="47"/>
        <v>10155.991404668817</v>
      </c>
      <c r="H620" s="36">
        <f t="shared" si="48"/>
        <v>-8.2559173248009756</v>
      </c>
      <c r="I620" s="36">
        <f t="shared" si="49"/>
        <v>68.1601708739489</v>
      </c>
    </row>
    <row r="621" spans="3:9" x14ac:dyDescent="0.25">
      <c r="C621" s="41">
        <v>2456.39</v>
      </c>
      <c r="D621" s="41">
        <v>9571.5300000000007</v>
      </c>
      <c r="E621" s="34">
        <f t="shared" si="45"/>
        <v>10334.470989762514</v>
      </c>
      <c r="F621" s="35">
        <f t="shared" si="46"/>
        <v>9563.0175687700812</v>
      </c>
      <c r="G621" s="35">
        <f t="shared" si="47"/>
        <v>10162.761695252106</v>
      </c>
      <c r="H621" s="36">
        <f t="shared" si="48"/>
        <v>-8.5124312299194571</v>
      </c>
      <c r="I621" s="36">
        <f t="shared" si="49"/>
        <v>72.461485444108078</v>
      </c>
    </row>
    <row r="622" spans="3:9" x14ac:dyDescent="0.25">
      <c r="C622" s="41">
        <v>2459.31</v>
      </c>
      <c r="D622" s="41">
        <v>9586.67</v>
      </c>
      <c r="E622" s="34">
        <f t="shared" si="45"/>
        <v>10369.863013697974</v>
      </c>
      <c r="F622" s="35">
        <f t="shared" si="46"/>
        <v>9577.8601290216011</v>
      </c>
      <c r="G622" s="35">
        <f t="shared" si="47"/>
        <v>10169.513369239108</v>
      </c>
      <c r="H622" s="36">
        <f t="shared" si="48"/>
        <v>-8.8098709783989761</v>
      </c>
      <c r="I622" s="36">
        <f t="shared" si="49"/>
        <v>77.613826656036537</v>
      </c>
    </row>
    <row r="623" spans="3:9" x14ac:dyDescent="0.25">
      <c r="C623" s="41">
        <v>2462.25</v>
      </c>
      <c r="D623" s="41">
        <v>9601.92</v>
      </c>
      <c r="E623" s="34">
        <f t="shared" si="45"/>
        <v>10374.149659863753</v>
      </c>
      <c r="F623" s="35">
        <f t="shared" si="46"/>
        <v>9592.8143129179425</v>
      </c>
      <c r="G623" s="35">
        <f t="shared" si="47"/>
        <v>10176.315819267867</v>
      </c>
      <c r="H623" s="36">
        <f t="shared" si="48"/>
        <v>-9.1056870820575568</v>
      </c>
      <c r="I623" s="36">
        <f t="shared" si="49"/>
        <v>82.913537236349867</v>
      </c>
    </row>
    <row r="624" spans="3:9" x14ac:dyDescent="0.25">
      <c r="C624" s="41">
        <v>2465.23</v>
      </c>
      <c r="D624" s="41">
        <v>9617.33</v>
      </c>
      <c r="E624" s="34">
        <f t="shared" si="45"/>
        <v>10342.28187919447</v>
      </c>
      <c r="F624" s="35">
        <f t="shared" si="46"/>
        <v>9607.9821631426712</v>
      </c>
      <c r="G624" s="35">
        <f t="shared" si="47"/>
        <v>10183.215463134267</v>
      </c>
      <c r="H624" s="36">
        <f t="shared" si="48"/>
        <v>-9.3478368573287298</v>
      </c>
      <c r="I624" s="36">
        <f t="shared" si="49"/>
        <v>87.38205391123347</v>
      </c>
    </row>
    <row r="625" spans="3:9" x14ac:dyDescent="0.25">
      <c r="C625" s="41">
        <v>2468.1999999999998</v>
      </c>
      <c r="D625" s="41">
        <v>9632.74</v>
      </c>
      <c r="E625" s="34">
        <f t="shared" si="45"/>
        <v>10377.104377104977</v>
      </c>
      <c r="F625" s="35">
        <f t="shared" si="46"/>
        <v>9623.1093467805185</v>
      </c>
      <c r="G625" s="35">
        <f t="shared" si="47"/>
        <v>10190.096608336546</v>
      </c>
      <c r="H625" s="36">
        <f t="shared" si="48"/>
        <v>-9.6306532194812462</v>
      </c>
      <c r="I625" s="36">
        <f t="shared" si="49"/>
        <v>92.749481433904492</v>
      </c>
    </row>
    <row r="626" spans="3:9" x14ac:dyDescent="0.25">
      <c r="C626" s="41">
        <v>2471.1799999999998</v>
      </c>
      <c r="D626" s="41">
        <v>9648.15</v>
      </c>
      <c r="E626" s="34">
        <f t="shared" si="45"/>
        <v>10342.28187919447</v>
      </c>
      <c r="F626" s="35">
        <f t="shared" si="46"/>
        <v>9638.2977373410922</v>
      </c>
      <c r="G626" s="35">
        <f t="shared" si="47"/>
        <v>10197.005595715713</v>
      </c>
      <c r="H626" s="36">
        <f t="shared" si="48"/>
        <v>-9.8522626589074207</v>
      </c>
      <c r="I626" s="36">
        <f t="shared" si="49"/>
        <v>97.067079500101514</v>
      </c>
    </row>
    <row r="627" spans="3:9" x14ac:dyDescent="0.25">
      <c r="C627" s="41">
        <v>2474.15</v>
      </c>
      <c r="D627" s="41">
        <v>9663.56</v>
      </c>
      <c r="E627" s="34">
        <f t="shared" si="45"/>
        <v>10377.104377103389</v>
      </c>
      <c r="F627" s="35">
        <f t="shared" si="46"/>
        <v>9653.4454062440036</v>
      </c>
      <c r="G627" s="35">
        <f t="shared" si="47"/>
        <v>10203.896059379826</v>
      </c>
      <c r="H627" s="36">
        <f t="shared" si="48"/>
        <v>-10.114593755995884</v>
      </c>
      <c r="I627" s="36">
        <f t="shared" si="49"/>
        <v>102.30500684883093</v>
      </c>
    </row>
    <row r="628" spans="3:9" x14ac:dyDescent="0.25">
      <c r="C628" s="41">
        <v>2477.13</v>
      </c>
      <c r="D628" s="41">
        <v>9678.9699999999993</v>
      </c>
      <c r="E628" s="34">
        <f t="shared" si="45"/>
        <v>10342.28187919447</v>
      </c>
      <c r="F628" s="35">
        <f t="shared" si="46"/>
        <v>9668.6543649561863</v>
      </c>
      <c r="G628" s="35">
        <f t="shared" si="47"/>
        <v>10210.814402924763</v>
      </c>
      <c r="H628" s="36">
        <f t="shared" si="48"/>
        <v>-10.315635043813018</v>
      </c>
      <c r="I628" s="36">
        <f t="shared" si="49"/>
        <v>106.4123263571432</v>
      </c>
    </row>
    <row r="629" spans="3:9" x14ac:dyDescent="0.25">
      <c r="C629" s="41">
        <v>2480.1</v>
      </c>
      <c r="D629" s="41">
        <v>9694.3799999999992</v>
      </c>
      <c r="E629" s="34">
        <f t="shared" si="45"/>
        <v>10377.104377104977</v>
      </c>
      <c r="F629" s="35">
        <f t="shared" si="46"/>
        <v>9683.8225468653472</v>
      </c>
      <c r="G629" s="35">
        <f t="shared" si="47"/>
        <v>10217.714197669793</v>
      </c>
      <c r="H629" s="36">
        <f t="shared" si="48"/>
        <v>-10.557453134651951</v>
      </c>
      <c r="I629" s="36">
        <f t="shared" si="49"/>
        <v>111.45981669037229</v>
      </c>
    </row>
    <row r="630" spans="3:9" x14ac:dyDescent="0.25">
      <c r="C630" s="41">
        <v>2483.08</v>
      </c>
      <c r="D630" s="41">
        <v>9709.7900000000009</v>
      </c>
      <c r="E630" s="34">
        <f t="shared" si="45"/>
        <v>10342.281879195691</v>
      </c>
      <c r="F630" s="35">
        <f t="shared" si="46"/>
        <v>9699.052101582578</v>
      </c>
      <c r="G630" s="35">
        <f t="shared" si="47"/>
        <v>10224.641910050645</v>
      </c>
      <c r="H630" s="36">
        <f t="shared" si="48"/>
        <v>-10.737898417422912</v>
      </c>
      <c r="I630" s="36">
        <f t="shared" si="49"/>
        <v>115.30246242289347</v>
      </c>
    </row>
    <row r="631" spans="3:9" x14ac:dyDescent="0.25">
      <c r="C631" s="41">
        <v>2486.0500000000002</v>
      </c>
      <c r="D631" s="41">
        <v>9725.2000000000007</v>
      </c>
      <c r="E631" s="34">
        <f t="shared" si="45"/>
        <v>10377.104377103389</v>
      </c>
      <c r="F631" s="35">
        <f t="shared" si="46"/>
        <v>9714.2408242767506</v>
      </c>
      <c r="G631" s="35">
        <f t="shared" si="47"/>
        <v>10231.55104851276</v>
      </c>
      <c r="H631" s="36">
        <f t="shared" si="48"/>
        <v>-10.959175723250155</v>
      </c>
      <c r="I631" s="36">
        <f t="shared" si="49"/>
        <v>120.10353253307555</v>
      </c>
    </row>
    <row r="632" spans="3:9" x14ac:dyDescent="0.25">
      <c r="C632" s="41">
        <v>2489.0300000000002</v>
      </c>
      <c r="D632" s="41">
        <v>9740.61</v>
      </c>
      <c r="E632" s="34">
        <f t="shared" si="45"/>
        <v>10342.28187919447</v>
      </c>
      <c r="F632" s="35">
        <f t="shared" si="46"/>
        <v>9729.4910028901832</v>
      </c>
      <c r="G632" s="35">
        <f t="shared" si="47"/>
        <v>10238.488142416822</v>
      </c>
      <c r="H632" s="36">
        <f t="shared" si="48"/>
        <v>-11.118997109817428</v>
      </c>
      <c r="I632" s="36">
        <f t="shared" si="49"/>
        <v>123.63209672812832</v>
      </c>
    </row>
    <row r="633" spans="3:9" x14ac:dyDescent="0.25">
      <c r="C633" s="41">
        <v>2492</v>
      </c>
      <c r="D633" s="41">
        <v>9756.02</v>
      </c>
      <c r="E633" s="34">
        <f t="shared" si="45"/>
        <v>10377.104377104977</v>
      </c>
      <c r="F633" s="35">
        <f t="shared" si="46"/>
        <v>9744.7002941857427</v>
      </c>
      <c r="G633" s="35">
        <f t="shared" si="47"/>
        <v>10245.406637249307</v>
      </c>
      <c r="H633" s="36">
        <f t="shared" si="48"/>
        <v>-11.319705814257759</v>
      </c>
      <c r="I633" s="36">
        <f t="shared" si="49"/>
        <v>128.13573972134091</v>
      </c>
    </row>
    <row r="634" spans="3:9" x14ac:dyDescent="0.25">
      <c r="C634" s="41">
        <v>2494.98</v>
      </c>
      <c r="D634" s="41">
        <v>9771.43</v>
      </c>
      <c r="E634" s="34">
        <f t="shared" si="45"/>
        <v>10342.28187919447</v>
      </c>
      <c r="F634" s="35">
        <f t="shared" si="46"/>
        <v>9759.9711246243023</v>
      </c>
      <c r="G634" s="35">
        <f t="shared" si="47"/>
        <v>10252.353125381056</v>
      </c>
      <c r="H634" s="36">
        <f t="shared" si="48"/>
        <v>-11.458875375697971</v>
      </c>
      <c r="I634" s="36">
        <f t="shared" si="49"/>
        <v>131.30582487577732</v>
      </c>
    </row>
    <row r="635" spans="3:9" x14ac:dyDescent="0.25">
      <c r="C635" s="41">
        <v>2497.94</v>
      </c>
      <c r="D635" s="41">
        <v>9786.7900000000009</v>
      </c>
      <c r="E635" s="34">
        <f t="shared" si="45"/>
        <v>10378.378378378644</v>
      </c>
      <c r="F635" s="35">
        <f t="shared" si="46"/>
        <v>9775.1497160286799</v>
      </c>
      <c r="G635" s="35">
        <f t="shared" si="47"/>
        <v>10259.257655260515</v>
      </c>
      <c r="H635" s="36">
        <f t="shared" si="48"/>
        <v>-11.640283971320969</v>
      </c>
      <c r="I635" s="36">
        <f t="shared" si="49"/>
        <v>135.49621093299186</v>
      </c>
    </row>
    <row r="636" spans="3:9" x14ac:dyDescent="0.25">
      <c r="C636" s="41">
        <v>2500.87</v>
      </c>
      <c r="D636" s="41">
        <v>9801.9599999999991</v>
      </c>
      <c r="E636" s="34">
        <f t="shared" si="45"/>
        <v>10354.948805460137</v>
      </c>
      <c r="F636" s="35">
        <f t="shared" si="46"/>
        <v>9790.1845376006677</v>
      </c>
      <c r="G636" s="35">
        <f t="shared" si="47"/>
        <v>10266.096786245107</v>
      </c>
      <c r="H636" s="36">
        <f t="shared" si="48"/>
        <v>-11.775462399331445</v>
      </c>
      <c r="I636" s="36">
        <f t="shared" si="49"/>
        <v>138.66151471806867</v>
      </c>
    </row>
    <row r="637" spans="3:9" x14ac:dyDescent="0.25">
      <c r="C637" s="41">
        <v>2503.8000000000002</v>
      </c>
      <c r="D637" s="41">
        <v>9817.1299999999992</v>
      </c>
      <c r="E637" s="34">
        <f t="shared" si="45"/>
        <v>10354.948805459773</v>
      </c>
      <c r="F637" s="35">
        <f t="shared" si="46"/>
        <v>9805.2293818387734</v>
      </c>
      <c r="G637" s="35">
        <f t="shared" si="47"/>
        <v>10272.940476400956</v>
      </c>
      <c r="H637" s="36">
        <f t="shared" si="48"/>
        <v>-11.900618161225793</v>
      </c>
      <c r="I637" s="36">
        <f t="shared" si="49"/>
        <v>141.62471261929718</v>
      </c>
    </row>
    <row r="638" spans="3:9" x14ac:dyDescent="0.25">
      <c r="C638" s="41">
        <v>2506.73</v>
      </c>
      <c r="D638" s="41">
        <v>9832.2999999999993</v>
      </c>
      <c r="E638" s="34">
        <f t="shared" si="45"/>
        <v>10354.948805461379</v>
      </c>
      <c r="F638" s="35">
        <f t="shared" si="46"/>
        <v>9820.2842554244035</v>
      </c>
      <c r="G638" s="35">
        <f t="shared" si="47"/>
        <v>10279.788728767344</v>
      </c>
      <c r="H638" s="36">
        <f t="shared" si="48"/>
        <v>-12.015744575595818</v>
      </c>
      <c r="I638" s="36">
        <f t="shared" si="49"/>
        <v>144.37811770596034</v>
      </c>
    </row>
    <row r="639" spans="3:9" x14ac:dyDescent="0.25">
      <c r="C639" s="41">
        <v>2509.66</v>
      </c>
      <c r="D639" s="41">
        <v>9847.4699999999993</v>
      </c>
      <c r="E639" s="34">
        <f t="shared" si="45"/>
        <v>10354.948805461379</v>
      </c>
      <c r="F639" s="35">
        <f t="shared" si="46"/>
        <v>9835.3491650434262</v>
      </c>
      <c r="G639" s="35">
        <f t="shared" si="47"/>
        <v>10286.641546385577</v>
      </c>
      <c r="H639" s="36">
        <f t="shared" si="48"/>
        <v>-12.120834956573162</v>
      </c>
      <c r="I639" s="36">
        <f t="shared" si="49"/>
        <v>146.91464004448594</v>
      </c>
    </row>
    <row r="640" spans="3:9" x14ac:dyDescent="0.25">
      <c r="C640" s="41">
        <v>2512.59</v>
      </c>
      <c r="D640" s="41">
        <v>9862.64</v>
      </c>
      <c r="E640" s="34">
        <f t="shared" si="45"/>
        <v>10354.948805459773</v>
      </c>
      <c r="F640" s="35">
        <f t="shared" si="46"/>
        <v>9850.4241173861647</v>
      </c>
      <c r="G640" s="35">
        <f t="shared" si="47"/>
        <v>10293.498932298993</v>
      </c>
      <c r="H640" s="36">
        <f t="shared" si="48"/>
        <v>-12.215882613834765</v>
      </c>
      <c r="I640" s="36">
        <f t="shared" si="49"/>
        <v>149.22778803499048</v>
      </c>
    </row>
    <row r="641" spans="3:9" x14ac:dyDescent="0.25">
      <c r="C641" s="41">
        <v>2515.52</v>
      </c>
      <c r="D641" s="41">
        <v>9877.81</v>
      </c>
      <c r="E641" s="34">
        <f t="shared" si="45"/>
        <v>10354.948805461379</v>
      </c>
      <c r="F641" s="35">
        <f t="shared" si="46"/>
        <v>9865.5091191474003</v>
      </c>
      <c r="G641" s="35">
        <f t="shared" si="47"/>
        <v>10300.360889552952</v>
      </c>
      <c r="H641" s="36">
        <f t="shared" si="48"/>
        <v>-12.300880852599221</v>
      </c>
      <c r="I641" s="36">
        <f t="shared" si="49"/>
        <v>151.31166974984214</v>
      </c>
    </row>
    <row r="642" spans="3:9" x14ac:dyDescent="0.25">
      <c r="C642" s="41">
        <v>2518.4499999999998</v>
      </c>
      <c r="D642" s="41">
        <v>9893.02</v>
      </c>
      <c r="E642" s="34">
        <f t="shared" si="45"/>
        <v>10382.252559728187</v>
      </c>
      <c r="F642" s="35">
        <f t="shared" si="46"/>
        <v>9880.6041770263782</v>
      </c>
      <c r="G642" s="35">
        <f t="shared" si="47"/>
        <v>10307.227421194848</v>
      </c>
      <c r="H642" s="36">
        <f t="shared" si="48"/>
        <v>-12.415822973622198</v>
      </c>
      <c r="I642" s="36">
        <f t="shared" si="49"/>
        <v>154.15266011232478</v>
      </c>
    </row>
    <row r="643" spans="3:9" x14ac:dyDescent="0.25">
      <c r="C643" s="41">
        <v>2521.39</v>
      </c>
      <c r="D643" s="41">
        <v>9908.23</v>
      </c>
      <c r="E643" s="34">
        <f t="shared" si="45"/>
        <v>10346.938775509418</v>
      </c>
      <c r="F643" s="35">
        <f t="shared" si="46"/>
        <v>9895.760868278112</v>
      </c>
      <c r="G643" s="35">
        <f t="shared" si="47"/>
        <v>10314.121988999814</v>
      </c>
      <c r="H643" s="36">
        <f t="shared" si="48"/>
        <v>-12.469131721887607</v>
      </c>
      <c r="I643" s="36">
        <f t="shared" si="49"/>
        <v>155.47924589778378</v>
      </c>
    </row>
    <row r="644" spans="3:9" x14ac:dyDescent="0.25">
      <c r="C644" s="41">
        <v>2524.33</v>
      </c>
      <c r="D644" s="41">
        <v>9923.44</v>
      </c>
      <c r="E644" s="34">
        <f t="shared" si="45"/>
        <v>10346.938775510656</v>
      </c>
      <c r="F644" s="35">
        <f t="shared" si="46"/>
        <v>9910.927697933832</v>
      </c>
      <c r="G644" s="35">
        <f t="shared" si="47"/>
        <v>10321.021168623582</v>
      </c>
      <c r="H644" s="36">
        <f t="shared" si="48"/>
        <v>-12.512302066168559</v>
      </c>
      <c r="I644" s="36">
        <f t="shared" si="49"/>
        <v>156.55770299504599</v>
      </c>
    </row>
    <row r="645" spans="3:9" x14ac:dyDescent="0.25">
      <c r="C645" s="41">
        <v>2527.2600000000002</v>
      </c>
      <c r="D645" s="41">
        <v>9938.65</v>
      </c>
      <c r="E645" s="34">
        <f t="shared" si="45"/>
        <v>10382.252559725335</v>
      </c>
      <c r="F645" s="35">
        <f t="shared" si="46"/>
        <v>9926.0530332090802</v>
      </c>
      <c r="G645" s="35">
        <f t="shared" si="47"/>
        <v>10327.90147303145</v>
      </c>
      <c r="H645" s="36">
        <f t="shared" si="48"/>
        <v>-12.596966790919396</v>
      </c>
      <c r="I645" s="36">
        <f t="shared" si="49"/>
        <v>158.68357233152611</v>
      </c>
    </row>
    <row r="646" spans="3:9" x14ac:dyDescent="0.25">
      <c r="C646" s="41">
        <v>2530.1999999999998</v>
      </c>
      <c r="D646" s="41">
        <v>9953.86</v>
      </c>
      <c r="E646" s="34">
        <f t="shared" si="45"/>
        <v>10346.938775512257</v>
      </c>
      <c r="F646" s="35">
        <f t="shared" si="46"/>
        <v>9941.2401254801971</v>
      </c>
      <c r="G646" s="35">
        <f t="shared" si="47"/>
        <v>10334.809869836821</v>
      </c>
      <c r="H646" s="36">
        <f t="shared" si="48"/>
        <v>-12.619874519803489</v>
      </c>
      <c r="I646" s="36">
        <f t="shared" si="49"/>
        <v>159.26123289558532</v>
      </c>
    </row>
    <row r="647" spans="3:9" x14ac:dyDescent="0.25">
      <c r="C647" s="41">
        <v>2533.13</v>
      </c>
      <c r="D647" s="41">
        <v>9969.07</v>
      </c>
      <c r="E647" s="34">
        <f t="shared" si="45"/>
        <v>10382.252559725335</v>
      </c>
      <c r="F647" s="35">
        <f t="shared" si="46"/>
        <v>9956.3856679350883</v>
      </c>
      <c r="G647" s="35">
        <f t="shared" si="47"/>
        <v>10341.699366209341</v>
      </c>
      <c r="H647" s="36">
        <f t="shared" si="48"/>
        <v>-12.684332064911359</v>
      </c>
      <c r="I647" s="36">
        <f t="shared" si="49"/>
        <v>160.89227993293846</v>
      </c>
    </row>
    <row r="648" spans="3:9" x14ac:dyDescent="0.25">
      <c r="C648" s="41">
        <v>2536.08</v>
      </c>
      <c r="D648" s="41">
        <v>9984.39</v>
      </c>
      <c r="E648" s="34">
        <f t="shared" si="45"/>
        <v>10386.440677966544</v>
      </c>
      <c r="F648" s="35">
        <f t="shared" si="46"/>
        <v>9971.6447930359045</v>
      </c>
      <c r="G648" s="35">
        <f t="shared" si="47"/>
        <v>10348.640529745939</v>
      </c>
      <c r="H648" s="36">
        <f t="shared" si="48"/>
        <v>-12.745206964094905</v>
      </c>
      <c r="I648" s="36">
        <f t="shared" si="49"/>
        <v>162.44030055761326</v>
      </c>
    </row>
    <row r="649" spans="3:9" x14ac:dyDescent="0.25">
      <c r="C649" s="41">
        <v>2539.02</v>
      </c>
      <c r="D649" s="41">
        <v>9999.7000000000007</v>
      </c>
      <c r="E649" s="34">
        <f t="shared" ref="E649:E712" si="50">IF(C649="","",2*(D649-D648)/((C649-C648)/1000))</f>
        <v>10414.965986395255</v>
      </c>
      <c r="F649" s="35">
        <f t="shared" ref="F649:F712" si="51">IF(C649="","",F$7+(F$9/F$10)*(EXP(F$10*(C649-F$8)/2000)-1))</f>
        <v>9986.8623819155328</v>
      </c>
      <c r="G649" s="35">
        <f t="shared" ref="G649:G712" si="52">IF(E649="","",F$9+(F649-F$7)*F$10)</f>
        <v>10355.56279903388</v>
      </c>
      <c r="H649" s="36">
        <f t="shared" ref="H649:H712" si="53">IF(F649="","",F649-D649)</f>
        <v>-12.837618084467977</v>
      </c>
      <c r="I649" s="36">
        <f t="shared" ref="I649:I712" si="54">IF(H649="","",H649^2)</f>
        <v>164.80443808265923</v>
      </c>
    </row>
    <row r="650" spans="3:9" x14ac:dyDescent="0.25">
      <c r="C650" s="41">
        <v>2541.9499999999998</v>
      </c>
      <c r="D650" s="41">
        <v>10015.01</v>
      </c>
      <c r="E650" s="34">
        <f t="shared" si="50"/>
        <v>10450.511945392727</v>
      </c>
      <c r="F650" s="35">
        <f t="shared" si="51"/>
        <v>10002.038337544363</v>
      </c>
      <c r="G650" s="35">
        <f t="shared" si="52"/>
        <v>10362.466129935743</v>
      </c>
      <c r="H650" s="36">
        <f t="shared" si="53"/>
        <v>-12.971662455636761</v>
      </c>
      <c r="I650" s="36">
        <f t="shared" si="54"/>
        <v>168.26402686297632</v>
      </c>
    </row>
    <row r="651" spans="3:9" x14ac:dyDescent="0.25">
      <c r="C651" s="41">
        <v>2544.88</v>
      </c>
      <c r="D651" s="41">
        <v>10030.33</v>
      </c>
      <c r="E651" s="34">
        <f t="shared" si="50"/>
        <v>10457.337883957807</v>
      </c>
      <c r="F651" s="35">
        <f t="shared" si="51"/>
        <v>10017.224409923536</v>
      </c>
      <c r="G651" s="35">
        <f t="shared" si="52"/>
        <v>10369.37406280647</v>
      </c>
      <c r="H651" s="36">
        <f t="shared" si="53"/>
        <v>-13.105590076464068</v>
      </c>
      <c r="I651" s="36">
        <f t="shared" si="54"/>
        <v>171.75649125231345</v>
      </c>
    </row>
    <row r="652" spans="3:9" x14ac:dyDescent="0.25">
      <c r="C652" s="41">
        <v>2547.8200000000002</v>
      </c>
      <c r="D652" s="41">
        <v>10045.64</v>
      </c>
      <c r="E652" s="34">
        <f t="shared" si="50"/>
        <v>10414.965986394018</v>
      </c>
      <c r="F652" s="35">
        <f t="shared" si="51"/>
        <v>10032.472487289187</v>
      </c>
      <c r="G652" s="35">
        <f t="shared" si="52"/>
        <v>10376.310200882173</v>
      </c>
      <c r="H652" s="36">
        <f t="shared" si="53"/>
        <v>-13.167512710811934</v>
      </c>
      <c r="I652" s="36">
        <f t="shared" si="54"/>
        <v>173.38339098939386</v>
      </c>
    </row>
    <row r="653" spans="3:9" x14ac:dyDescent="0.25">
      <c r="C653" s="41">
        <v>2550.75</v>
      </c>
      <c r="D653" s="41">
        <v>10060.959999999999</v>
      </c>
      <c r="E653" s="34">
        <f t="shared" si="50"/>
        <v>10457.33788395943</v>
      </c>
      <c r="F653" s="35">
        <f t="shared" si="51"/>
        <v>10047.678847991696</v>
      </c>
      <c r="G653" s="35">
        <f t="shared" si="52"/>
        <v>10383.227362628684</v>
      </c>
      <c r="H653" s="36">
        <f t="shared" si="53"/>
        <v>-13.281152008303252</v>
      </c>
      <c r="I653" s="36">
        <f t="shared" si="54"/>
        <v>176.38899866765749</v>
      </c>
    </row>
    <row r="654" spans="3:9" x14ac:dyDescent="0.25">
      <c r="C654" s="41">
        <v>2553.6999999999998</v>
      </c>
      <c r="D654" s="41">
        <v>10076.34</v>
      </c>
      <c r="E654" s="34">
        <f t="shared" si="50"/>
        <v>10427.118644069129</v>
      </c>
      <c r="F654" s="35">
        <f t="shared" si="51"/>
        <v>10062.999247441154</v>
      </c>
      <c r="G654" s="35">
        <f t="shared" si="52"/>
        <v>10390.196399013283</v>
      </c>
      <c r="H654" s="36">
        <f t="shared" si="53"/>
        <v>-13.340752558846361</v>
      </c>
      <c r="I654" s="36">
        <f t="shared" si="54"/>
        <v>177.97567883636574</v>
      </c>
    </row>
    <row r="655" spans="3:9" x14ac:dyDescent="0.25">
      <c r="C655" s="41">
        <v>2556.65</v>
      </c>
      <c r="D655" s="41">
        <v>10091.73</v>
      </c>
      <c r="E655" s="34">
        <f t="shared" si="50"/>
        <v>10433.898305083387</v>
      </c>
      <c r="F655" s="35">
        <f t="shared" si="51"/>
        <v>10078.329929668555</v>
      </c>
      <c r="G655" s="35">
        <f t="shared" si="52"/>
        <v>10397.170112890384</v>
      </c>
      <c r="H655" s="36">
        <f t="shared" si="53"/>
        <v>-13.400070331445022</v>
      </c>
      <c r="I655" s="36">
        <f t="shared" si="54"/>
        <v>179.5618848876731</v>
      </c>
    </row>
    <row r="656" spans="3:9" x14ac:dyDescent="0.25">
      <c r="C656" s="41">
        <v>2559.59</v>
      </c>
      <c r="D656" s="41">
        <v>10107.120000000001</v>
      </c>
      <c r="E656" s="34">
        <f t="shared" si="50"/>
        <v>10469.387755102687</v>
      </c>
      <c r="F656" s="35">
        <f t="shared" si="51"/>
        <v>10093.618880892116</v>
      </c>
      <c r="G656" s="35">
        <f t="shared" si="52"/>
        <v>10404.124843914913</v>
      </c>
      <c r="H656" s="36">
        <f t="shared" si="53"/>
        <v>-13.501119107884733</v>
      </c>
      <c r="I656" s="36">
        <f t="shared" si="54"/>
        <v>182.28021716529025</v>
      </c>
    </row>
    <row r="657" spans="3:9" x14ac:dyDescent="0.25">
      <c r="C657" s="41">
        <v>2562.54</v>
      </c>
      <c r="D657" s="41">
        <v>10122.51</v>
      </c>
      <c r="E657" s="34">
        <f t="shared" si="50"/>
        <v>10433.898305084995</v>
      </c>
      <c r="F657" s="35">
        <f t="shared" si="51"/>
        <v>10108.970114469503</v>
      </c>
      <c r="G657" s="35">
        <f t="shared" si="52"/>
        <v>10411.107906314963</v>
      </c>
      <c r="H657" s="36">
        <f t="shared" si="53"/>
        <v>-13.539885530497486</v>
      </c>
      <c r="I657" s="36">
        <f t="shared" si="54"/>
        <v>183.32850017897519</v>
      </c>
    </row>
    <row r="658" spans="3:9" x14ac:dyDescent="0.25">
      <c r="C658" s="41">
        <v>2565.4899999999998</v>
      </c>
      <c r="D658" s="41">
        <v>10137.9</v>
      </c>
      <c r="E658" s="34">
        <f t="shared" si="50"/>
        <v>10433.898305084995</v>
      </c>
      <c r="F658" s="35">
        <f t="shared" si="51"/>
        <v>10124.331651520137</v>
      </c>
      <c r="G658" s="35">
        <f t="shared" si="52"/>
        <v>10418.095655621524</v>
      </c>
      <c r="H658" s="36">
        <f t="shared" si="53"/>
        <v>-13.568348479862834</v>
      </c>
      <c r="I658" s="36">
        <f t="shared" si="54"/>
        <v>184.10008047099609</v>
      </c>
    </row>
    <row r="659" spans="3:9" x14ac:dyDescent="0.25">
      <c r="C659" s="41">
        <v>2568.44</v>
      </c>
      <c r="D659" s="41">
        <v>10153.290000000001</v>
      </c>
      <c r="E659" s="34">
        <f t="shared" si="50"/>
        <v>10433.89830508462</v>
      </c>
      <c r="F659" s="35">
        <f t="shared" si="51"/>
        <v>10139.703498959529</v>
      </c>
      <c r="G659" s="35">
        <f t="shared" si="52"/>
        <v>10425.088094980369</v>
      </c>
      <c r="H659" s="36">
        <f t="shared" si="53"/>
        <v>-13.586501040472285</v>
      </c>
      <c r="I659" s="36">
        <f t="shared" si="54"/>
        <v>184.5930105227545</v>
      </c>
    </row>
    <row r="660" spans="3:9" x14ac:dyDescent="0.25">
      <c r="C660" s="41">
        <v>2571.39</v>
      </c>
      <c r="D660" s="41">
        <v>10168.700000000001</v>
      </c>
      <c r="E660" s="34">
        <f t="shared" si="50"/>
        <v>10447.457627119189</v>
      </c>
      <c r="F660" s="35">
        <f t="shared" si="51"/>
        <v>10155.085663707821</v>
      </c>
      <c r="G660" s="35">
        <f t="shared" si="52"/>
        <v>10432.08522753937</v>
      </c>
      <c r="H660" s="36">
        <f t="shared" si="53"/>
        <v>-13.61433629217936</v>
      </c>
      <c r="I660" s="36">
        <f t="shared" si="54"/>
        <v>185.35015267655203</v>
      </c>
    </row>
    <row r="661" spans="3:9" x14ac:dyDescent="0.25">
      <c r="C661" s="41">
        <v>2574.34</v>
      </c>
      <c r="D661" s="41">
        <v>10184.120000000001</v>
      </c>
      <c r="E661" s="34">
        <f t="shared" si="50"/>
        <v>10454.237288134676</v>
      </c>
      <c r="F661" s="35">
        <f t="shared" si="51"/>
        <v>10170.47815268981</v>
      </c>
      <c r="G661" s="35">
        <f t="shared" si="52"/>
        <v>10439.087056448521</v>
      </c>
      <c r="H661" s="36">
        <f t="shared" si="53"/>
        <v>-13.641847310191224</v>
      </c>
      <c r="I661" s="36">
        <f t="shared" si="54"/>
        <v>186.09999803457154</v>
      </c>
    </row>
    <row r="662" spans="3:9" x14ac:dyDescent="0.25">
      <c r="C662" s="41">
        <v>2577.3000000000002</v>
      </c>
      <c r="D662" s="41">
        <v>10199.530000000001</v>
      </c>
      <c r="E662" s="34">
        <f t="shared" si="50"/>
        <v>10412.162162161936</v>
      </c>
      <c r="F662" s="35">
        <f t="shared" si="51"/>
        <v>10185.933203362258</v>
      </c>
      <c r="G662" s="35">
        <f t="shared" si="52"/>
        <v>10446.11734379954</v>
      </c>
      <c r="H662" s="36">
        <f t="shared" si="53"/>
        <v>-13.596796637742955</v>
      </c>
      <c r="I662" s="36">
        <f t="shared" si="54"/>
        <v>184.87287880813813</v>
      </c>
    </row>
    <row r="663" spans="3:9" x14ac:dyDescent="0.25">
      <c r="C663" s="41">
        <v>2580.25</v>
      </c>
      <c r="D663" s="41">
        <v>10214.950000000001</v>
      </c>
      <c r="E663" s="34">
        <f t="shared" si="50"/>
        <v>10454.237288136286</v>
      </c>
      <c r="F663" s="35">
        <f t="shared" si="51"/>
        <v>10201.346396660801</v>
      </c>
      <c r="G663" s="35">
        <f t="shared" si="52"/>
        <v>10453.128590814002</v>
      </c>
      <c r="H663" s="36">
        <f t="shared" si="53"/>
        <v>-13.603603339199253</v>
      </c>
      <c r="I663" s="36">
        <f t="shared" si="54"/>
        <v>185.05802381027308</v>
      </c>
    </row>
    <row r="664" spans="3:9" x14ac:dyDescent="0.25">
      <c r="C664" s="41">
        <v>2583.1999999999998</v>
      </c>
      <c r="D664" s="41">
        <v>10230.36</v>
      </c>
      <c r="E664" s="34">
        <f t="shared" si="50"/>
        <v>10447.457627119189</v>
      </c>
      <c r="F664" s="35">
        <f t="shared" si="51"/>
        <v>10216.76993501885</v>
      </c>
      <c r="G664" s="35">
        <f t="shared" si="52"/>
        <v>10460.144543651986</v>
      </c>
      <c r="H664" s="36">
        <f t="shared" si="53"/>
        <v>-13.590064981150135</v>
      </c>
      <c r="I664" s="36">
        <f t="shared" si="54"/>
        <v>184.68986619188323</v>
      </c>
    </row>
    <row r="665" spans="3:9" x14ac:dyDescent="0.25">
      <c r="C665" s="41">
        <v>2586.16</v>
      </c>
      <c r="D665" s="41">
        <v>10245.780000000001</v>
      </c>
      <c r="E665" s="34">
        <f t="shared" si="50"/>
        <v>10418.91891891884</v>
      </c>
      <c r="F665" s="35">
        <f t="shared" si="51"/>
        <v>10232.256161265372</v>
      </c>
      <c r="G665" s="35">
        <f t="shared" si="52"/>
        <v>10467.189012337552</v>
      </c>
      <c r="H665" s="36">
        <f t="shared" si="53"/>
        <v>-13.523838734628953</v>
      </c>
      <c r="I665" s="36">
        <f t="shared" si="54"/>
        <v>182.89421412025044</v>
      </c>
    </row>
    <row r="666" spans="3:9" x14ac:dyDescent="0.25">
      <c r="C666" s="41">
        <v>2589.12</v>
      </c>
      <c r="D666" s="41">
        <v>10261.25</v>
      </c>
      <c r="E666" s="34">
        <f t="shared" si="50"/>
        <v>10452.702702702132</v>
      </c>
      <c r="F666" s="35">
        <f t="shared" si="51"/>
        <v>10247.752816835822</v>
      </c>
      <c r="G666" s="35">
        <f t="shared" si="52"/>
        <v>10474.238225177356</v>
      </c>
      <c r="H666" s="36">
        <f t="shared" si="53"/>
        <v>-13.497183164177841</v>
      </c>
      <c r="I666" s="36">
        <f t="shared" si="54"/>
        <v>182.17395336736575</v>
      </c>
    </row>
    <row r="667" spans="3:9" x14ac:dyDescent="0.25">
      <c r="C667" s="41">
        <v>2592.09</v>
      </c>
      <c r="D667" s="41">
        <v>10276.73</v>
      </c>
      <c r="E667" s="34">
        <f t="shared" si="50"/>
        <v>10424.242424241236</v>
      </c>
      <c r="F667" s="35">
        <f t="shared" si="51"/>
        <v>10263.312315274445</v>
      </c>
      <c r="G667" s="35">
        <f t="shared" si="52"/>
        <v>10481.316024362852</v>
      </c>
      <c r="H667" s="36">
        <f t="shared" si="53"/>
        <v>-13.417684725554864</v>
      </c>
      <c r="I667" s="36">
        <f t="shared" si="54"/>
        <v>180.03426339438829</v>
      </c>
    </row>
    <row r="668" spans="3:9" x14ac:dyDescent="0.25">
      <c r="C668" s="41">
        <v>2595.0500000000002</v>
      </c>
      <c r="D668" s="41">
        <v>10292.219999999999</v>
      </c>
      <c r="E668" s="34">
        <f t="shared" si="50"/>
        <v>10466.21621621594</v>
      </c>
      <c r="F668" s="35">
        <f t="shared" si="51"/>
        <v>10278.829885862229</v>
      </c>
      <c r="G668" s="35">
        <f t="shared" si="52"/>
        <v>10488.374751152813</v>
      </c>
      <c r="H668" s="36">
        <f t="shared" si="53"/>
        <v>-13.39011413777007</v>
      </c>
      <c r="I668" s="36">
        <f t="shared" si="54"/>
        <v>179.29515662250989</v>
      </c>
    </row>
    <row r="669" spans="3:9" x14ac:dyDescent="0.25">
      <c r="C669" s="41">
        <v>2598.02</v>
      </c>
      <c r="D669" s="41">
        <v>10307.709999999999</v>
      </c>
      <c r="E669" s="34">
        <f t="shared" si="50"/>
        <v>10430.976430976987</v>
      </c>
      <c r="F669" s="35">
        <f t="shared" si="51"/>
        <v>10294.410384133882</v>
      </c>
      <c r="G669" s="35">
        <f t="shared" si="52"/>
        <v>10495.462102869948</v>
      </c>
      <c r="H669" s="36">
        <f t="shared" si="53"/>
        <v>-13.299615866117165</v>
      </c>
      <c r="I669" s="36">
        <f t="shared" si="54"/>
        <v>176.87978218627543</v>
      </c>
    </row>
    <row r="670" spans="3:9" x14ac:dyDescent="0.25">
      <c r="C670" s="41">
        <v>2600.9899999999998</v>
      </c>
      <c r="D670" s="41">
        <v>10323.19</v>
      </c>
      <c r="E670" s="34">
        <f t="shared" si="50"/>
        <v>10424.242424244057</v>
      </c>
      <c r="F670" s="35">
        <f t="shared" si="51"/>
        <v>10310.001410678389</v>
      </c>
      <c r="G670" s="35">
        <f t="shared" si="52"/>
        <v>10502.554243751805</v>
      </c>
      <c r="H670" s="36">
        <f t="shared" si="53"/>
        <v>-13.188589321611289</v>
      </c>
      <c r="I670" s="36">
        <f t="shared" si="54"/>
        <v>173.93888829411932</v>
      </c>
    </row>
    <row r="671" spans="3:9" x14ac:dyDescent="0.25">
      <c r="C671" s="41">
        <v>2603.9499999999998</v>
      </c>
      <c r="D671" s="41">
        <v>10338.68</v>
      </c>
      <c r="E671" s="34">
        <f t="shared" si="50"/>
        <v>10466.21621621594</v>
      </c>
      <c r="F671" s="35">
        <f t="shared" si="51"/>
        <v>10325.550424413934</v>
      </c>
      <c r="G671" s="35">
        <f t="shared" si="52"/>
        <v>10509.627273591861</v>
      </c>
      <c r="H671" s="36">
        <f t="shared" si="53"/>
        <v>-13.129575586066494</v>
      </c>
      <c r="I671" s="36">
        <f t="shared" si="54"/>
        <v>172.38575507023333</v>
      </c>
    </row>
    <row r="672" spans="3:9" x14ac:dyDescent="0.25">
      <c r="C672" s="41">
        <v>2606.9299999999998</v>
      </c>
      <c r="D672" s="41">
        <v>10354.209999999999</v>
      </c>
      <c r="E672" s="34">
        <f t="shared" si="50"/>
        <v>10422.818791945463</v>
      </c>
      <c r="F672" s="35">
        <f t="shared" si="51"/>
        <v>10341.21507704802</v>
      </c>
      <c r="G672" s="35">
        <f t="shared" si="52"/>
        <v>10516.75290595668</v>
      </c>
      <c r="H672" s="36">
        <f t="shared" si="53"/>
        <v>-12.994922951978879</v>
      </c>
      <c r="I672" s="36">
        <f t="shared" si="54"/>
        <v>168.86802252786745</v>
      </c>
    </row>
    <row r="673" spans="3:9" x14ac:dyDescent="0.25">
      <c r="C673" s="41">
        <v>2609.91</v>
      </c>
      <c r="D673" s="41">
        <v>10369.77</v>
      </c>
      <c r="E673" s="34">
        <f t="shared" si="50"/>
        <v>10442.953020135043</v>
      </c>
      <c r="F673" s="35">
        <f t="shared" si="51"/>
        <v>10356.890350473204</v>
      </c>
      <c r="G673" s="35">
        <f t="shared" si="52"/>
        <v>10523.883369571482</v>
      </c>
      <c r="H673" s="36">
        <f t="shared" si="53"/>
        <v>-12.879649526796129</v>
      </c>
      <c r="I673" s="36">
        <f t="shared" si="54"/>
        <v>165.88537193309975</v>
      </c>
    </row>
    <row r="674" spans="3:9" x14ac:dyDescent="0.25">
      <c r="C674" s="41">
        <v>2612.89</v>
      </c>
      <c r="D674" s="41">
        <v>10385.32</v>
      </c>
      <c r="E674" s="34">
        <f t="shared" si="50"/>
        <v>10436.241610737703</v>
      </c>
      <c r="F674" s="35">
        <f t="shared" si="51"/>
        <v>10372.576251890494</v>
      </c>
      <c r="G674" s="35">
        <f t="shared" si="52"/>
        <v>10531.018667711909</v>
      </c>
      <c r="H674" s="36">
        <f t="shared" si="53"/>
        <v>-12.743748109505759</v>
      </c>
      <c r="I674" s="36">
        <f t="shared" si="54"/>
        <v>162.40311587853162</v>
      </c>
    </row>
    <row r="675" spans="3:9" x14ac:dyDescent="0.25">
      <c r="C675" s="41">
        <v>2615.87</v>
      </c>
      <c r="D675" s="41">
        <v>10400.879999999999</v>
      </c>
      <c r="E675" s="34">
        <f t="shared" si="50"/>
        <v>10442.953020133822</v>
      </c>
      <c r="F675" s="35">
        <f t="shared" si="51"/>
        <v>10388.272788505763</v>
      </c>
      <c r="G675" s="35">
        <f t="shared" si="52"/>
        <v>10538.158803655806</v>
      </c>
      <c r="H675" s="36">
        <f t="shared" si="53"/>
        <v>-12.607211494236253</v>
      </c>
      <c r="I675" s="36">
        <f t="shared" si="54"/>
        <v>158.94178166040271</v>
      </c>
    </row>
    <row r="676" spans="3:9" x14ac:dyDescent="0.25">
      <c r="C676" s="41">
        <v>2618.85</v>
      </c>
      <c r="D676" s="41">
        <v>10416.44</v>
      </c>
      <c r="E676" s="34">
        <f t="shared" si="50"/>
        <v>10442.953020135043</v>
      </c>
      <c r="F676" s="35">
        <f t="shared" si="51"/>
        <v>10403.979967529793</v>
      </c>
      <c r="G676" s="35">
        <f t="shared" si="52"/>
        <v>10545.303780683264</v>
      </c>
      <c r="H676" s="36">
        <f t="shared" si="53"/>
        <v>-12.460032470207807</v>
      </c>
      <c r="I676" s="36">
        <f t="shared" si="54"/>
        <v>155.25240915863287</v>
      </c>
    </row>
    <row r="677" spans="3:9" x14ac:dyDescent="0.25">
      <c r="C677" s="41">
        <v>2621.83</v>
      </c>
      <c r="D677" s="41">
        <v>10431.99</v>
      </c>
      <c r="E677" s="34">
        <f t="shared" si="50"/>
        <v>10436.241610737703</v>
      </c>
      <c r="F677" s="35">
        <f t="shared" si="51"/>
        <v>10419.697796178234</v>
      </c>
      <c r="G677" s="35">
        <f t="shared" si="52"/>
        <v>10552.453602076577</v>
      </c>
      <c r="H677" s="36">
        <f t="shared" si="53"/>
        <v>-12.292203821765725</v>
      </c>
      <c r="I677" s="36">
        <f t="shared" si="54"/>
        <v>151.09827479583188</v>
      </c>
    </row>
    <row r="678" spans="3:9" x14ac:dyDescent="0.25">
      <c r="C678" s="41">
        <v>2624.82</v>
      </c>
      <c r="D678" s="41">
        <v>10447.6</v>
      </c>
      <c r="E678" s="34">
        <f t="shared" si="50"/>
        <v>10441.471571905919</v>
      </c>
      <c r="F678" s="35">
        <f t="shared" si="51"/>
        <v>10435.479079773047</v>
      </c>
      <c r="G678" s="35">
        <f t="shared" si="52"/>
        <v>10559.632288241433</v>
      </c>
      <c r="H678" s="36">
        <f t="shared" si="53"/>
        <v>-12.120920226952876</v>
      </c>
      <c r="I678" s="36">
        <f t="shared" si="54"/>
        <v>146.91670714815535</v>
      </c>
    </row>
    <row r="679" spans="3:9" x14ac:dyDescent="0.25">
      <c r="C679" s="41">
        <v>2627.82</v>
      </c>
      <c r="D679" s="41">
        <v>10463.24</v>
      </c>
      <c r="E679" s="34">
        <f t="shared" si="50"/>
        <v>10426.666666666279</v>
      </c>
      <c r="F679" s="35">
        <f t="shared" si="51"/>
        <v>10451.323933293093</v>
      </c>
      <c r="G679" s="35">
        <f t="shared" si="52"/>
        <v>10566.839891480115</v>
      </c>
      <c r="H679" s="36">
        <f t="shared" si="53"/>
        <v>-11.916066706906349</v>
      </c>
      <c r="I679" s="36">
        <f t="shared" si="54"/>
        <v>141.99264576344191</v>
      </c>
    </row>
    <row r="680" spans="3:9" x14ac:dyDescent="0.25">
      <c r="C680" s="41">
        <v>2630.81</v>
      </c>
      <c r="D680" s="41">
        <v>10478.89</v>
      </c>
      <c r="E680" s="34">
        <f t="shared" si="50"/>
        <v>10468.227424749684</v>
      </c>
      <c r="F680" s="35">
        <f t="shared" si="51"/>
        <v>10467.126731705357</v>
      </c>
      <c r="G680" s="35">
        <f t="shared" si="52"/>
        <v>10574.02836443585</v>
      </c>
      <c r="H680" s="36">
        <f t="shared" si="53"/>
        <v>-11.76326829464233</v>
      </c>
      <c r="I680" s="36">
        <f t="shared" si="54"/>
        <v>138.37448097173748</v>
      </c>
    </row>
    <row r="681" spans="3:9" x14ac:dyDescent="0.25">
      <c r="C681" s="41">
        <v>2633.81</v>
      </c>
      <c r="D681" s="41">
        <v>10494.53</v>
      </c>
      <c r="E681" s="34">
        <f t="shared" si="50"/>
        <v>10426.666666667492</v>
      </c>
      <c r="F681" s="35">
        <f t="shared" si="51"/>
        <v>10482.993186708516</v>
      </c>
      <c r="G681" s="35">
        <f t="shared" si="52"/>
        <v>10581.245793888414</v>
      </c>
      <c r="H681" s="36">
        <f t="shared" si="53"/>
        <v>-11.536813291484577</v>
      </c>
      <c r="I681" s="36">
        <f t="shared" si="54"/>
        <v>133.0980609225752</v>
      </c>
    </row>
    <row r="682" spans="3:9" x14ac:dyDescent="0.25">
      <c r="C682" s="41">
        <v>2636.81</v>
      </c>
      <c r="D682" s="41">
        <v>10510.18</v>
      </c>
      <c r="E682" s="34">
        <f t="shared" si="50"/>
        <v>10433.33333333309</v>
      </c>
      <c r="F682" s="35">
        <f t="shared" si="51"/>
        <v>10498.870471550192</v>
      </c>
      <c r="G682" s="35">
        <f t="shared" si="52"/>
        <v>10588.468149683726</v>
      </c>
      <c r="H682" s="36">
        <f t="shared" si="53"/>
        <v>-11.309528449808568</v>
      </c>
      <c r="I682" s="36">
        <f t="shared" si="54"/>
        <v>127.90543375702939</v>
      </c>
    </row>
    <row r="683" spans="3:9" x14ac:dyDescent="0.25">
      <c r="C683" s="41">
        <v>2639.82</v>
      </c>
      <c r="D683" s="41">
        <v>10525.82</v>
      </c>
      <c r="E683" s="34">
        <f t="shared" si="50"/>
        <v>10392.026578071949</v>
      </c>
      <c r="F683" s="35">
        <f t="shared" si="51"/>
        <v>10514.811572159846</v>
      </c>
      <c r="G683" s="35">
        <f t="shared" si="52"/>
        <v>10595.719534383301</v>
      </c>
      <c r="H683" s="36">
        <f t="shared" si="53"/>
        <v>-11.008427840153672</v>
      </c>
      <c r="I683" s="36">
        <f t="shared" si="54"/>
        <v>121.18548351187044</v>
      </c>
    </row>
    <row r="684" spans="3:9" x14ac:dyDescent="0.25">
      <c r="C684" s="41">
        <v>2642.83</v>
      </c>
      <c r="D684" s="41">
        <v>10541.46</v>
      </c>
      <c r="E684" s="34">
        <f t="shared" si="50"/>
        <v>10392.026578073519</v>
      </c>
      <c r="F684" s="35">
        <f t="shared" si="51"/>
        <v>10530.763589839973</v>
      </c>
      <c r="G684" s="35">
        <f t="shared" si="52"/>
        <v>10602.975885106223</v>
      </c>
      <c r="H684" s="36">
        <f t="shared" si="53"/>
        <v>-10.696410160026062</v>
      </c>
      <c r="I684" s="36">
        <f t="shared" si="54"/>
        <v>114.41319031150876</v>
      </c>
    </row>
    <row r="685" spans="3:9" x14ac:dyDescent="0.25">
      <c r="C685" s="41">
        <v>2645.84</v>
      </c>
      <c r="D685" s="41">
        <v>10557.11</v>
      </c>
      <c r="E685" s="34">
        <f t="shared" si="50"/>
        <v>10398.671096345728</v>
      </c>
      <c r="F685" s="35">
        <f t="shared" si="51"/>
        <v>10546.72653206701</v>
      </c>
      <c r="G685" s="35">
        <f t="shared" si="52"/>
        <v>10610.237205253419</v>
      </c>
      <c r="H685" s="36">
        <f t="shared" si="53"/>
        <v>-10.383467932990243</v>
      </c>
      <c r="I685" s="36">
        <f t="shared" si="54"/>
        <v>107.81640631543667</v>
      </c>
    </row>
    <row r="686" spans="3:9" x14ac:dyDescent="0.25">
      <c r="C686" s="41">
        <v>2648.85</v>
      </c>
      <c r="D686" s="41">
        <v>10572.75</v>
      </c>
      <c r="E686" s="34">
        <f t="shared" si="50"/>
        <v>10392.026578073519</v>
      </c>
      <c r="F686" s="35">
        <f t="shared" si="51"/>
        <v>10562.70040632249</v>
      </c>
      <c r="G686" s="35">
        <f t="shared" si="52"/>
        <v>10617.503498228132</v>
      </c>
      <c r="H686" s="36">
        <f t="shared" si="53"/>
        <v>-10.04959367750962</v>
      </c>
      <c r="I686" s="36">
        <f t="shared" si="54"/>
        <v>100.99433308304133</v>
      </c>
    </row>
    <row r="687" spans="3:9" x14ac:dyDescent="0.25">
      <c r="C687" s="41">
        <v>2651.86</v>
      </c>
      <c r="D687" s="41">
        <v>10588.4</v>
      </c>
      <c r="E687" s="34">
        <f t="shared" si="50"/>
        <v>10398.671096344518</v>
      </c>
      <c r="F687" s="35">
        <f t="shared" si="51"/>
        <v>10578.685220093086</v>
      </c>
      <c r="G687" s="35">
        <f t="shared" si="52"/>
        <v>10624.774767435949</v>
      </c>
      <c r="H687" s="36">
        <f t="shared" si="53"/>
        <v>-9.7147799069134635</v>
      </c>
      <c r="I687" s="36">
        <f t="shared" si="54"/>
        <v>94.376948639769566</v>
      </c>
    </row>
    <row r="688" spans="3:9" x14ac:dyDescent="0.25">
      <c r="C688" s="41">
        <v>2654.87</v>
      </c>
      <c r="D688" s="41">
        <v>10604.04</v>
      </c>
      <c r="E688" s="34">
        <f t="shared" si="50"/>
        <v>10392.026578074727</v>
      </c>
      <c r="F688" s="35">
        <f t="shared" si="51"/>
        <v>10594.680980870591</v>
      </c>
      <c r="G688" s="35">
        <f t="shared" si="52"/>
        <v>10632.051016284779</v>
      </c>
      <c r="H688" s="36">
        <f t="shared" si="53"/>
        <v>-9.3590191294097167</v>
      </c>
      <c r="I688" s="36">
        <f t="shared" si="54"/>
        <v>87.591239064657017</v>
      </c>
    </row>
    <row r="689" spans="3:9" x14ac:dyDescent="0.25">
      <c r="C689" s="41">
        <v>2657.87</v>
      </c>
      <c r="D689" s="41">
        <v>10619.69</v>
      </c>
      <c r="E689" s="34">
        <f t="shared" si="50"/>
        <v>10433.33333333309</v>
      </c>
      <c r="F689" s="35">
        <f t="shared" si="51"/>
        <v>10610.634499551188</v>
      </c>
      <c r="G689" s="35">
        <f t="shared" si="52"/>
        <v>10639.308049791915</v>
      </c>
      <c r="H689" s="36">
        <f t="shared" si="53"/>
        <v>-9.0555004488123814</v>
      </c>
      <c r="I689" s="36">
        <f t="shared" si="54"/>
        <v>82.002088378441243</v>
      </c>
    </row>
    <row r="690" spans="3:9" x14ac:dyDescent="0.25">
      <c r="C690" s="41">
        <v>2660.89</v>
      </c>
      <c r="D690" s="41">
        <v>10635.37</v>
      </c>
      <c r="E690" s="34">
        <f t="shared" si="50"/>
        <v>10384.105960265155</v>
      </c>
      <c r="F690" s="35">
        <f t="shared" si="51"/>
        <v>10626.705373439172</v>
      </c>
      <c r="G690" s="35">
        <f t="shared" si="52"/>
        <v>10646.618466548807</v>
      </c>
      <c r="H690" s="36">
        <f t="shared" si="53"/>
        <v>-8.6646265608287649</v>
      </c>
      <c r="I690" s="36">
        <f t="shared" si="54"/>
        <v>75.075753438619316</v>
      </c>
    </row>
    <row r="691" spans="3:9" x14ac:dyDescent="0.25">
      <c r="C691" s="41">
        <v>2663.92</v>
      </c>
      <c r="D691" s="41">
        <v>10651.13</v>
      </c>
      <c r="E691" s="34">
        <f t="shared" si="50"/>
        <v>10402.64026402466</v>
      </c>
      <c r="F691" s="35">
        <f t="shared" si="51"/>
        <v>10642.840559578564</v>
      </c>
      <c r="G691" s="35">
        <f t="shared" si="52"/>
        <v>10653.958138053367</v>
      </c>
      <c r="H691" s="36">
        <f t="shared" si="53"/>
        <v>-8.2894404214348469</v>
      </c>
      <c r="I691" s="36">
        <f t="shared" si="54"/>
        <v>68.71482250051794</v>
      </c>
    </row>
    <row r="692" spans="3:9" x14ac:dyDescent="0.25">
      <c r="C692" s="41">
        <v>2666.95</v>
      </c>
      <c r="D692" s="41">
        <v>10666.89</v>
      </c>
      <c r="E692" s="34">
        <f t="shared" si="50"/>
        <v>10402.640264027421</v>
      </c>
      <c r="F692" s="35">
        <f t="shared" si="51"/>
        <v>10658.986869152719</v>
      </c>
      <c r="G692" s="35">
        <f t="shared" si="52"/>
        <v>10661.302869453517</v>
      </c>
      <c r="H692" s="36">
        <f t="shared" si="53"/>
        <v>-7.9031308472804085</v>
      </c>
      <c r="I692" s="36">
        <f t="shared" si="54"/>
        <v>62.459477189235145</v>
      </c>
    </row>
    <row r="693" spans="3:9" x14ac:dyDescent="0.25">
      <c r="C693" s="41">
        <v>2669.98</v>
      </c>
      <c r="D693" s="41">
        <v>10682.65</v>
      </c>
      <c r="E693" s="34">
        <f t="shared" si="50"/>
        <v>10402.64026402586</v>
      </c>
      <c r="F693" s="35">
        <f t="shared" si="51"/>
        <v>10675.144309830017</v>
      </c>
      <c r="G693" s="35">
        <f t="shared" si="52"/>
        <v>10668.652664237492</v>
      </c>
      <c r="H693" s="36">
        <f t="shared" si="53"/>
        <v>-7.5056901699826994</v>
      </c>
      <c r="I693" s="36">
        <f t="shared" si="54"/>
        <v>56.335384927774925</v>
      </c>
    </row>
    <row r="694" spans="3:9" x14ac:dyDescent="0.25">
      <c r="C694" s="41">
        <v>2673.01</v>
      </c>
      <c r="D694" s="41">
        <v>10698.41</v>
      </c>
      <c r="E694" s="34">
        <f t="shared" si="50"/>
        <v>10402.64026402586</v>
      </c>
      <c r="F694" s="35">
        <f t="shared" si="51"/>
        <v>10691.312889284131</v>
      </c>
      <c r="G694" s="35">
        <f t="shared" si="52"/>
        <v>10676.007525895942</v>
      </c>
      <c r="H694" s="36">
        <f t="shared" si="53"/>
        <v>-7.0971107158693485</v>
      </c>
      <c r="I694" s="36">
        <f t="shared" si="54"/>
        <v>50.368980513307534</v>
      </c>
    </row>
    <row r="695" spans="3:9" x14ac:dyDescent="0.25">
      <c r="C695" s="41">
        <v>2676.04</v>
      </c>
      <c r="D695" s="41">
        <v>10714.16</v>
      </c>
      <c r="E695" s="34">
        <f t="shared" si="50"/>
        <v>10396.03960396127</v>
      </c>
      <c r="F695" s="35">
        <f t="shared" si="51"/>
        <v>10707.49261519402</v>
      </c>
      <c r="G695" s="35">
        <f t="shared" si="52"/>
        <v>10683.367457921919</v>
      </c>
      <c r="H695" s="36">
        <f t="shared" si="53"/>
        <v>-6.6673848059799639</v>
      </c>
      <c r="I695" s="36">
        <f t="shared" si="54"/>
        <v>44.454020151012479</v>
      </c>
    </row>
    <row r="696" spans="3:9" x14ac:dyDescent="0.25">
      <c r="C696" s="41">
        <v>2679.08</v>
      </c>
      <c r="D696" s="41">
        <v>10729.94</v>
      </c>
      <c r="E696" s="34">
        <f t="shared" si="50"/>
        <v>10381.578947368977</v>
      </c>
      <c r="F696" s="35">
        <f t="shared" si="51"/>
        <v>10723.736948967044</v>
      </c>
      <c r="G696" s="35">
        <f t="shared" si="52"/>
        <v>10690.756779165218</v>
      </c>
      <c r="H696" s="36">
        <f t="shared" si="53"/>
        <v>-6.2030510329568642</v>
      </c>
      <c r="I696" s="36">
        <f t="shared" si="54"/>
        <v>38.477842117467219</v>
      </c>
    </row>
    <row r="697" spans="3:9" x14ac:dyDescent="0.25">
      <c r="C697" s="41">
        <v>2682.12</v>
      </c>
      <c r="D697" s="41">
        <v>10745.78</v>
      </c>
      <c r="E697" s="34">
        <f t="shared" si="50"/>
        <v>10421.052631579167</v>
      </c>
      <c r="F697" s="35">
        <f t="shared" si="51"/>
        <v>10739.992518392224</v>
      </c>
      <c r="G697" s="35">
        <f t="shared" si="52"/>
        <v>10698.151211350239</v>
      </c>
      <c r="H697" s="36">
        <f t="shared" si="53"/>
        <v>-5.787481607776499</v>
      </c>
      <c r="I697" s="36">
        <f t="shared" si="54"/>
        <v>33.49494336035125</v>
      </c>
    </row>
    <row r="698" spans="3:9" x14ac:dyDescent="0.25">
      <c r="C698" s="41">
        <v>2685.17</v>
      </c>
      <c r="D698" s="41">
        <v>10761.62</v>
      </c>
      <c r="E698" s="34">
        <f t="shared" si="50"/>
        <v>10386.885245901116</v>
      </c>
      <c r="F698" s="35">
        <f t="shared" si="51"/>
        <v>10756.312859055544</v>
      </c>
      <c r="G698" s="35">
        <f t="shared" si="52"/>
        <v>10705.575107069597</v>
      </c>
      <c r="H698" s="36">
        <f t="shared" si="53"/>
        <v>-5.3071409444564779</v>
      </c>
      <c r="I698" s="36">
        <f t="shared" si="54"/>
        <v>28.165745004326396</v>
      </c>
    </row>
    <row r="699" spans="3:9" x14ac:dyDescent="0.25">
      <c r="C699" s="41">
        <v>2688.21</v>
      </c>
      <c r="D699" s="41">
        <v>10777.46</v>
      </c>
      <c r="E699" s="34">
        <f t="shared" si="50"/>
        <v>10421.05263157797</v>
      </c>
      <c r="F699" s="35">
        <f t="shared" si="51"/>
        <v>10772.590960127738</v>
      </c>
      <c r="G699" s="35">
        <f t="shared" si="52"/>
        <v>10712.979788587105</v>
      </c>
      <c r="H699" s="36">
        <f t="shared" si="53"/>
        <v>-4.8690398722610553</v>
      </c>
      <c r="I699" s="36">
        <f t="shared" si="54"/>
        <v>23.707549277667955</v>
      </c>
    </row>
    <row r="700" spans="3:9" x14ac:dyDescent="0.25">
      <c r="C700" s="41">
        <v>2691.26</v>
      </c>
      <c r="D700" s="41">
        <v>10793.29</v>
      </c>
      <c r="E700" s="34">
        <f t="shared" si="50"/>
        <v>10380.327868852984</v>
      </c>
      <c r="F700" s="35">
        <f t="shared" si="51"/>
        <v>10788.933922216695</v>
      </c>
      <c r="G700" s="35">
        <f t="shared" si="52"/>
        <v>10720.413974478</v>
      </c>
      <c r="H700" s="36">
        <f t="shared" si="53"/>
        <v>-4.3560777833063185</v>
      </c>
      <c r="I700" s="36">
        <f t="shared" si="54"/>
        <v>18.97541365421489</v>
      </c>
    </row>
    <row r="701" spans="3:9" x14ac:dyDescent="0.25">
      <c r="C701" s="41">
        <v>2694.31</v>
      </c>
      <c r="D701" s="41">
        <v>10809.13</v>
      </c>
      <c r="E701" s="34">
        <f t="shared" si="50"/>
        <v>10386.885245901472</v>
      </c>
      <c r="F701" s="35">
        <f t="shared" si="51"/>
        <v>10805.288225372329</v>
      </c>
      <c r="G701" s="35">
        <f t="shared" si="52"/>
        <v>10727.853319262209</v>
      </c>
      <c r="H701" s="36">
        <f t="shared" si="53"/>
        <v>-3.84177462767002</v>
      </c>
      <c r="I701" s="36">
        <f t="shared" si="54"/>
        <v>14.759232289809121</v>
      </c>
    </row>
    <row r="702" spans="3:9" x14ac:dyDescent="0.25">
      <c r="C702" s="41">
        <v>2697.35</v>
      </c>
      <c r="D702" s="41">
        <v>10824.97</v>
      </c>
      <c r="E702" s="34">
        <f t="shared" si="50"/>
        <v>10421.052631579167</v>
      </c>
      <c r="F702" s="35">
        <f t="shared" si="51"/>
        <v>10821.600201036606</v>
      </c>
      <c r="G702" s="35">
        <f t="shared" si="52"/>
        <v>10735.273409859979</v>
      </c>
      <c r="H702" s="36">
        <f t="shared" si="53"/>
        <v>-3.3697989633928955</v>
      </c>
      <c r="I702" s="36">
        <f t="shared" si="54"/>
        <v>11.355545053683834</v>
      </c>
    </row>
    <row r="703" spans="3:9" x14ac:dyDescent="0.25">
      <c r="C703" s="41">
        <v>2700.4</v>
      </c>
      <c r="D703" s="41">
        <v>10840.81</v>
      </c>
      <c r="E703" s="34">
        <f t="shared" si="50"/>
        <v>10386.885245901116</v>
      </c>
      <c r="F703" s="35">
        <f t="shared" si="51"/>
        <v>10837.977172692881</v>
      </c>
      <c r="G703" s="35">
        <f t="shared" si="52"/>
        <v>10742.72306622949</v>
      </c>
      <c r="H703" s="36">
        <f t="shared" si="53"/>
        <v>-2.8328273071183503</v>
      </c>
      <c r="I703" s="36">
        <f t="shared" si="54"/>
        <v>8.0249105519554043</v>
      </c>
    </row>
    <row r="704" spans="3:9" x14ac:dyDescent="0.25">
      <c r="C704" s="41">
        <v>2703.44</v>
      </c>
      <c r="D704" s="41">
        <v>10856.64</v>
      </c>
      <c r="E704" s="34">
        <f t="shared" si="50"/>
        <v>10414.473684210603</v>
      </c>
      <c r="F704" s="35">
        <f t="shared" si="51"/>
        <v>10854.311758188169</v>
      </c>
      <c r="G704" s="35">
        <f t="shared" si="52"/>
        <v>10750.15344172456</v>
      </c>
      <c r="H704" s="36">
        <f t="shared" si="53"/>
        <v>-2.3282418118305941</v>
      </c>
      <c r="I704" s="36">
        <f t="shared" si="54"/>
        <v>5.4207099343562071</v>
      </c>
    </row>
    <row r="705" spans="3:9" x14ac:dyDescent="0.25">
      <c r="C705" s="41">
        <v>2706.49</v>
      </c>
      <c r="D705" s="41">
        <v>10872.48</v>
      </c>
      <c r="E705" s="34">
        <f t="shared" si="50"/>
        <v>10386.885245902664</v>
      </c>
      <c r="F705" s="35">
        <f t="shared" si="51"/>
        <v>10870.711429765603</v>
      </c>
      <c r="G705" s="35">
        <f t="shared" si="52"/>
        <v>10757.613423972125</v>
      </c>
      <c r="H705" s="36">
        <f t="shared" si="53"/>
        <v>-1.7685702343969751</v>
      </c>
      <c r="I705" s="36">
        <f t="shared" si="54"/>
        <v>3.1278406739949718</v>
      </c>
    </row>
    <row r="706" spans="3:9" x14ac:dyDescent="0.25">
      <c r="C706" s="41">
        <v>2709.53</v>
      </c>
      <c r="D706" s="41">
        <v>10888.32</v>
      </c>
      <c r="E706" s="34">
        <f t="shared" si="50"/>
        <v>10421.05263157761</v>
      </c>
      <c r="F706" s="35">
        <f t="shared" si="51"/>
        <v>10887.068656431116</v>
      </c>
      <c r="G706" s="35">
        <f t="shared" si="52"/>
        <v>10765.054098620272</v>
      </c>
      <c r="H706" s="36">
        <f t="shared" si="53"/>
        <v>-1.2513435688833852</v>
      </c>
      <c r="I706" s="36">
        <f t="shared" si="54"/>
        <v>1.5658607273858074</v>
      </c>
    </row>
    <row r="707" spans="3:9" x14ac:dyDescent="0.25">
      <c r="C707" s="41">
        <v>2712.58</v>
      </c>
      <c r="D707" s="41">
        <v>10904.16</v>
      </c>
      <c r="E707" s="34">
        <f t="shared" si="50"/>
        <v>10386.885245902664</v>
      </c>
      <c r="F707" s="35">
        <f t="shared" si="51"/>
        <v>10903.491059393802</v>
      </c>
      <c r="G707" s="35">
        <f t="shared" si="52"/>
        <v>10772.524421058471</v>
      </c>
      <c r="H707" s="36">
        <f t="shared" si="53"/>
        <v>-0.66894060619779339</v>
      </c>
      <c r="I707" s="36">
        <f t="shared" si="54"/>
        <v>0.44748153462027129</v>
      </c>
    </row>
    <row r="708" spans="3:9" x14ac:dyDescent="0.25">
      <c r="C708" s="41">
        <v>2715.63</v>
      </c>
      <c r="D708" s="41">
        <v>10920</v>
      </c>
      <c r="E708" s="34">
        <f t="shared" si="50"/>
        <v>10386.885245901116</v>
      </c>
      <c r="F708" s="35">
        <f t="shared" si="51"/>
        <v>10919.924858550528</v>
      </c>
      <c r="G708" s="35">
        <f t="shared" si="52"/>
        <v>10779.999927466657</v>
      </c>
      <c r="H708" s="36">
        <f t="shared" si="53"/>
        <v>-7.514144947163004E-2</v>
      </c>
      <c r="I708" s="36">
        <f t="shared" si="54"/>
        <v>5.6462374286975307E-3</v>
      </c>
    </row>
    <row r="709" spans="3:9" x14ac:dyDescent="0.25">
      <c r="C709" s="41">
        <v>2718.68</v>
      </c>
      <c r="D709" s="41">
        <v>10935.88</v>
      </c>
      <c r="E709" s="34">
        <f t="shared" si="50"/>
        <v>10413.114754098768</v>
      </c>
      <c r="F709" s="35">
        <f t="shared" si="51"/>
        <v>10936.370061809588</v>
      </c>
      <c r="G709" s="35">
        <f t="shared" si="52"/>
        <v>10787.480621442201</v>
      </c>
      <c r="H709" s="36">
        <f t="shared" si="53"/>
        <v>0.49006180958895129</v>
      </c>
      <c r="I709" s="36">
        <f t="shared" si="54"/>
        <v>0.24016057721759757</v>
      </c>
    </row>
    <row r="710" spans="3:9" x14ac:dyDescent="0.25">
      <c r="C710" s="41">
        <v>2721.73</v>
      </c>
      <c r="D710" s="41">
        <v>10951.76</v>
      </c>
      <c r="E710" s="34">
        <f t="shared" si="50"/>
        <v>10413.114754098408</v>
      </c>
      <c r="F710" s="35">
        <f t="shared" si="51"/>
        <v>10952.826677084768</v>
      </c>
      <c r="G710" s="35">
        <f t="shared" si="52"/>
        <v>10794.966506584973</v>
      </c>
      <c r="H710" s="36">
        <f t="shared" si="53"/>
        <v>1.0666770847674343</v>
      </c>
      <c r="I710" s="36">
        <f t="shared" si="54"/>
        <v>1.1378000031679523</v>
      </c>
    </row>
    <row r="711" spans="3:9" x14ac:dyDescent="0.25">
      <c r="C711" s="41">
        <v>2724.79</v>
      </c>
      <c r="D711" s="41">
        <v>10967.64</v>
      </c>
      <c r="E711" s="34">
        <f t="shared" si="50"/>
        <v>10379.084967319923</v>
      </c>
      <c r="F711" s="35">
        <f t="shared" si="51"/>
        <v>10969.348724644704</v>
      </c>
      <c r="G711" s="35">
        <f t="shared" si="52"/>
        <v>10802.482155962985</v>
      </c>
      <c r="H711" s="36">
        <f t="shared" si="53"/>
        <v>1.708724644704489</v>
      </c>
      <c r="I711" s="36">
        <f t="shared" si="54"/>
        <v>2.9197399114204825</v>
      </c>
    </row>
    <row r="712" spans="3:9" x14ac:dyDescent="0.25">
      <c r="C712" s="41">
        <v>2727.84</v>
      </c>
      <c r="D712" s="41">
        <v>10983.52</v>
      </c>
      <c r="E712" s="34">
        <f t="shared" si="50"/>
        <v>10413.114754098408</v>
      </c>
      <c r="F712" s="35">
        <f t="shared" si="51"/>
        <v>10985.828225196885</v>
      </c>
      <c r="G712" s="35">
        <f t="shared" si="52"/>
        <v>10809.978451299605</v>
      </c>
      <c r="H712" s="36">
        <f t="shared" si="53"/>
        <v>2.3082251968844503</v>
      </c>
      <c r="I712" s="36">
        <f t="shared" si="54"/>
        <v>5.3279035595322588</v>
      </c>
    </row>
    <row r="713" spans="3:9" x14ac:dyDescent="0.25">
      <c r="C713" s="41">
        <v>2730.9</v>
      </c>
      <c r="D713" s="41">
        <v>10999.4</v>
      </c>
      <c r="E713" s="34">
        <f t="shared" ref="E713:E776" si="55">IF(C713="","",2*(D713-D712)/((C713-C712)/1000))</f>
        <v>10379.084967319923</v>
      </c>
      <c r="F713" s="35">
        <f t="shared" ref="F713:F776" si="56">IF(C713="","",F$7+(F$9/F$10)*(EXP(F$10*(C713-F$8)/2000)-1))</f>
        <v>11002.373249026765</v>
      </c>
      <c r="G713" s="35">
        <f t="shared" ref="G713:G776" si="57">IF(E713="","",F$9+(F713-F$7)*F$10)</f>
        <v>10817.50455226289</v>
      </c>
      <c r="H713" s="36">
        <f t="shared" ref="H713:H776" si="58">IF(F713="","",F713-D713)</f>
        <v>2.9732490267651883</v>
      </c>
      <c r="I713" s="36">
        <f t="shared" ref="I713:I776" si="59">IF(H713="","",H713^2)</f>
        <v>8.8402097751601403</v>
      </c>
    </row>
    <row r="714" spans="3:9" x14ac:dyDescent="0.25">
      <c r="C714" s="41">
        <v>2733.95</v>
      </c>
      <c r="D714" s="41">
        <v>11015.29</v>
      </c>
      <c r="E714" s="34">
        <f t="shared" si="55"/>
        <v>10419.672131149286</v>
      </c>
      <c r="F714" s="35">
        <f t="shared" si="56"/>
        <v>11018.875666681197</v>
      </c>
      <c r="G714" s="35">
        <f t="shared" si="57"/>
        <v>10825.01127227022</v>
      </c>
      <c r="H714" s="36">
        <f t="shared" si="58"/>
        <v>3.5856666811960167</v>
      </c>
      <c r="I714" s="36">
        <f t="shared" si="59"/>
        <v>12.857005548639258</v>
      </c>
    </row>
    <row r="715" spans="3:9" x14ac:dyDescent="0.25">
      <c r="C715" s="41">
        <v>2736.9</v>
      </c>
      <c r="D715" s="41">
        <v>11031.17</v>
      </c>
      <c r="E715" s="34">
        <f t="shared" si="55"/>
        <v>10766.101694913716</v>
      </c>
      <c r="F715" s="35">
        <f t="shared" si="56"/>
        <v>11034.84791605455</v>
      </c>
      <c r="G715" s="35">
        <f t="shared" si="57"/>
        <v>10832.276826108679</v>
      </c>
      <c r="H715" s="36">
        <f t="shared" si="58"/>
        <v>3.6779160545502236</v>
      </c>
      <c r="I715" s="36">
        <f t="shared" si="59"/>
        <v>13.527066504318283</v>
      </c>
    </row>
    <row r="716" spans="3:9" x14ac:dyDescent="0.25">
      <c r="C716" s="41">
        <v>2739.8</v>
      </c>
      <c r="D716" s="41">
        <v>11047.05</v>
      </c>
      <c r="E716" s="34">
        <f t="shared" si="55"/>
        <v>10951.724137930139</v>
      </c>
      <c r="F716" s="35">
        <f t="shared" si="56"/>
        <v>11050.55989857528</v>
      </c>
      <c r="G716" s="35">
        <f t="shared" si="57"/>
        <v>10839.4239881799</v>
      </c>
      <c r="H716" s="36">
        <f t="shared" si="58"/>
        <v>3.5098985752811132</v>
      </c>
      <c r="I716" s="36">
        <f t="shared" si="59"/>
        <v>12.319388008760388</v>
      </c>
    </row>
    <row r="717" spans="3:9" x14ac:dyDescent="0.25">
      <c r="C717" s="41">
        <v>2742.71</v>
      </c>
      <c r="D717" s="41">
        <v>11062.93</v>
      </c>
      <c r="E717" s="34">
        <f t="shared" si="55"/>
        <v>10914.089347080284</v>
      </c>
      <c r="F717" s="35">
        <f t="shared" si="56"/>
        <v>11066.336480840537</v>
      </c>
      <c r="G717" s="35">
        <f t="shared" si="57"/>
        <v>10846.600535775404</v>
      </c>
      <c r="H717" s="36">
        <f t="shared" si="58"/>
        <v>3.4064808405364602</v>
      </c>
      <c r="I717" s="36">
        <f t="shared" si="59"/>
        <v>11.604111716941988</v>
      </c>
    </row>
    <row r="718" spans="3:9" x14ac:dyDescent="0.25">
      <c r="C718" s="41">
        <v>2745.61</v>
      </c>
      <c r="D718" s="41">
        <v>11078.81</v>
      </c>
      <c r="E718" s="34">
        <f t="shared" si="55"/>
        <v>10951.724137930139</v>
      </c>
      <c r="F718" s="35">
        <f t="shared" si="56"/>
        <v>11082.069239591372</v>
      </c>
      <c r="G718" s="35">
        <f t="shared" si="57"/>
        <v>10853.757148664405</v>
      </c>
      <c r="H718" s="36">
        <f t="shared" si="58"/>
        <v>3.2592395913725341</v>
      </c>
      <c r="I718" s="36">
        <f t="shared" si="59"/>
        <v>10.622642713970203</v>
      </c>
    </row>
    <row r="719" spans="3:9" x14ac:dyDescent="0.25">
      <c r="C719" s="41">
        <v>2748.51</v>
      </c>
      <c r="D719" s="41">
        <v>11094.7</v>
      </c>
      <c r="E719" s="34">
        <f t="shared" si="55"/>
        <v>10958.620689655681</v>
      </c>
      <c r="F719" s="35">
        <f t="shared" si="56"/>
        <v>11097.81237885394</v>
      </c>
      <c r="G719" s="35">
        <f t="shared" si="57"/>
        <v>10860.918483503654</v>
      </c>
      <c r="H719" s="36">
        <f t="shared" si="58"/>
        <v>3.1123788539389352</v>
      </c>
      <c r="I719" s="36">
        <f t="shared" si="59"/>
        <v>9.6869021304462404</v>
      </c>
    </row>
    <row r="720" spans="3:9" x14ac:dyDescent="0.25">
      <c r="C720" s="41">
        <v>2751.42</v>
      </c>
      <c r="D720" s="41">
        <v>11110.58</v>
      </c>
      <c r="E720" s="34">
        <f t="shared" si="55"/>
        <v>10914.089347079032</v>
      </c>
      <c r="F720" s="35">
        <f t="shared" si="56"/>
        <v>11113.620245961831</v>
      </c>
      <c r="G720" s="35">
        <f t="shared" si="57"/>
        <v>10868.109262138452</v>
      </c>
      <c r="H720" s="36">
        <f t="shared" si="58"/>
        <v>3.0402459618308058</v>
      </c>
      <c r="I720" s="36">
        <f t="shared" si="59"/>
        <v>9.2430955084285209</v>
      </c>
    </row>
    <row r="721" spans="3:9" x14ac:dyDescent="0.25">
      <c r="C721" s="41">
        <v>2754.33</v>
      </c>
      <c r="D721" s="41">
        <v>11126.51</v>
      </c>
      <c r="E721" s="34">
        <f t="shared" si="55"/>
        <v>10948.45360824817</v>
      </c>
      <c r="F721" s="35">
        <f t="shared" si="56"/>
        <v>11129.438579115778</v>
      </c>
      <c r="G721" s="35">
        <f t="shared" si="57"/>
        <v>10875.304801631872</v>
      </c>
      <c r="H721" s="36">
        <f t="shared" si="58"/>
        <v>2.9285791157781205</v>
      </c>
      <c r="I721" s="36">
        <f t="shared" si="59"/>
        <v>8.5765756373717572</v>
      </c>
    </row>
    <row r="722" spans="3:9" x14ac:dyDescent="0.25">
      <c r="C722" s="41">
        <v>2757.24</v>
      </c>
      <c r="D722" s="41">
        <v>11142.45</v>
      </c>
      <c r="E722" s="34">
        <f t="shared" si="55"/>
        <v>10955.326460481998</v>
      </c>
      <c r="F722" s="35">
        <f t="shared" si="56"/>
        <v>11145.267385245123</v>
      </c>
      <c r="G722" s="35">
        <f t="shared" si="57"/>
        <v>10882.505105135971</v>
      </c>
      <c r="H722" s="36">
        <f t="shared" si="58"/>
        <v>2.8173852451218409</v>
      </c>
      <c r="I722" s="36">
        <f t="shared" si="59"/>
        <v>7.9376596194302556</v>
      </c>
    </row>
    <row r="723" spans="3:9" x14ac:dyDescent="0.25">
      <c r="C723" s="41">
        <v>2760.16</v>
      </c>
      <c r="D723" s="41">
        <v>11158.4</v>
      </c>
      <c r="E723" s="34">
        <f t="shared" si="55"/>
        <v>10924.657534245556</v>
      </c>
      <c r="F723" s="35">
        <f t="shared" si="56"/>
        <v>11161.161119896595</v>
      </c>
      <c r="G723" s="35">
        <f t="shared" si="57"/>
        <v>10889.734943720705</v>
      </c>
      <c r="H723" s="36">
        <f t="shared" si="58"/>
        <v>2.7611198965951189</v>
      </c>
      <c r="I723" s="36">
        <f t="shared" si="59"/>
        <v>7.6237830833734401</v>
      </c>
    </row>
    <row r="724" spans="3:9" x14ac:dyDescent="0.25">
      <c r="C724" s="41">
        <v>2763.07</v>
      </c>
      <c r="D724" s="41">
        <v>11174.34</v>
      </c>
      <c r="E724" s="34">
        <f t="shared" si="55"/>
        <v>10955.326460480286</v>
      </c>
      <c r="F724" s="35">
        <f t="shared" si="56"/>
        <v>11177.010928832369</v>
      </c>
      <c r="G724" s="35">
        <f t="shared" si="57"/>
        <v>10896.944801109001</v>
      </c>
      <c r="H724" s="36">
        <f t="shared" si="58"/>
        <v>2.6709288323690998</v>
      </c>
      <c r="I724" s="36">
        <f t="shared" si="59"/>
        <v>7.1338608275805626</v>
      </c>
    </row>
    <row r="725" spans="3:9" x14ac:dyDescent="0.25">
      <c r="C725" s="41">
        <v>2765.99</v>
      </c>
      <c r="D725" s="41">
        <v>11190.28</v>
      </c>
      <c r="E725" s="34">
        <f t="shared" si="55"/>
        <v>10917.808219179858</v>
      </c>
      <c r="F725" s="35">
        <f t="shared" si="56"/>
        <v>11192.925752442126</v>
      </c>
      <c r="G725" s="35">
        <f t="shared" si="57"/>
        <v>10904.184232767211</v>
      </c>
      <c r="H725" s="36">
        <f t="shared" si="58"/>
        <v>2.6457524421257403</v>
      </c>
      <c r="I725" s="36">
        <f t="shared" si="59"/>
        <v>7.0000059850143188</v>
      </c>
    </row>
    <row r="726" spans="3:9" x14ac:dyDescent="0.25">
      <c r="C726" s="41">
        <v>2768.9</v>
      </c>
      <c r="D726" s="41">
        <v>11206.22</v>
      </c>
      <c r="E726" s="34">
        <f t="shared" si="55"/>
        <v>10955.326460479037</v>
      </c>
      <c r="F726" s="35">
        <f t="shared" si="56"/>
        <v>11208.796592052367</v>
      </c>
      <c r="G726" s="35">
        <f t="shared" si="57"/>
        <v>10911.403656716486</v>
      </c>
      <c r="H726" s="36">
        <f t="shared" si="58"/>
        <v>2.5765920523681416</v>
      </c>
      <c r="I726" s="36">
        <f t="shared" si="59"/>
        <v>6.6388266043266722</v>
      </c>
    </row>
    <row r="727" spans="3:9" x14ac:dyDescent="0.25">
      <c r="C727" s="41">
        <v>2771.82</v>
      </c>
      <c r="D727" s="41">
        <v>11222.16</v>
      </c>
      <c r="E727" s="34">
        <f t="shared" si="55"/>
        <v>10917.80821917816</v>
      </c>
      <c r="F727" s="35">
        <f t="shared" si="56"/>
        <v>11224.732532602779</v>
      </c>
      <c r="G727" s="35">
        <f t="shared" si="57"/>
        <v>10918.652694176963</v>
      </c>
      <c r="H727" s="36">
        <f t="shared" si="58"/>
        <v>2.572532602778665</v>
      </c>
      <c r="I727" s="36">
        <f t="shared" si="59"/>
        <v>6.6179239923591728</v>
      </c>
    </row>
    <row r="728" spans="3:9" x14ac:dyDescent="0.25">
      <c r="C728" s="41">
        <v>2774.73</v>
      </c>
      <c r="D728" s="41">
        <v>11238.11</v>
      </c>
      <c r="E728" s="34">
        <f t="shared" si="55"/>
        <v>10962.199312715824</v>
      </c>
      <c r="F728" s="35">
        <f t="shared" si="56"/>
        <v>11240.624430792503</v>
      </c>
      <c r="G728" s="35">
        <f t="shared" si="57"/>
        <v>10925.881697380817</v>
      </c>
      <c r="H728" s="36">
        <f t="shared" si="58"/>
        <v>2.5144307925020257</v>
      </c>
      <c r="I728" s="36">
        <f t="shared" si="59"/>
        <v>6.3223622102823649</v>
      </c>
    </row>
    <row r="729" spans="3:9" x14ac:dyDescent="0.25">
      <c r="C729" s="41">
        <v>2777.65</v>
      </c>
      <c r="D729" s="41">
        <v>11254.05</v>
      </c>
      <c r="E729" s="34">
        <f t="shared" si="55"/>
        <v>10917.808219176914</v>
      </c>
      <c r="F729" s="35">
        <f t="shared" si="56"/>
        <v>11256.581516303046</v>
      </c>
      <c r="G729" s="35">
        <f t="shared" si="57"/>
        <v>10933.140353389232</v>
      </c>
      <c r="H729" s="36">
        <f t="shared" si="58"/>
        <v>2.5315163030463737</v>
      </c>
      <c r="I729" s="36">
        <f t="shared" si="59"/>
        <v>6.4085747925895795</v>
      </c>
    </row>
    <row r="730" spans="3:9" x14ac:dyDescent="0.25">
      <c r="C730" s="41">
        <v>2780.56</v>
      </c>
      <c r="D730" s="41">
        <v>11269.99</v>
      </c>
      <c r="E730" s="34">
        <f t="shared" si="55"/>
        <v>10955.326460481998</v>
      </c>
      <c r="F730" s="35">
        <f t="shared" si="56"/>
        <v>11272.494501014309</v>
      </c>
      <c r="G730" s="35">
        <f t="shared" si="57"/>
        <v>10940.378948558122</v>
      </c>
      <c r="H730" s="36">
        <f t="shared" si="58"/>
        <v>2.504501014309426</v>
      </c>
      <c r="I730" s="36">
        <f t="shared" si="59"/>
        <v>6.2725253306769435</v>
      </c>
    </row>
    <row r="731" spans="3:9" x14ac:dyDescent="0.25">
      <c r="C731" s="41">
        <v>2783.47</v>
      </c>
      <c r="D731" s="41">
        <v>11285.93</v>
      </c>
      <c r="E731" s="34">
        <f t="shared" si="55"/>
        <v>10955.326460481998</v>
      </c>
      <c r="F731" s="35">
        <f t="shared" si="56"/>
        <v>11288.418021367719</v>
      </c>
      <c r="G731" s="35">
        <f t="shared" si="57"/>
        <v>10947.622336243923</v>
      </c>
      <c r="H731" s="36">
        <f t="shared" si="58"/>
        <v>2.4880213677188294</v>
      </c>
      <c r="I731" s="36">
        <f t="shared" si="59"/>
        <v>6.1902503262254749</v>
      </c>
    </row>
    <row r="732" spans="3:9" x14ac:dyDescent="0.25">
      <c r="C732" s="41">
        <v>2786.39</v>
      </c>
      <c r="D732" s="41">
        <v>11301.88</v>
      </c>
      <c r="E732" s="34">
        <f t="shared" si="55"/>
        <v>10924.657534245556</v>
      </c>
      <c r="F732" s="35">
        <f t="shared" si="56"/>
        <v>11304.406858753577</v>
      </c>
      <c r="G732" s="35">
        <f t="shared" si="57"/>
        <v>10954.895435738297</v>
      </c>
      <c r="H732" s="36">
        <f t="shared" si="58"/>
        <v>2.5268587535774714</v>
      </c>
      <c r="I732" s="36">
        <f t="shared" si="59"/>
        <v>6.3850151605310925</v>
      </c>
    </row>
    <row r="733" spans="3:9" x14ac:dyDescent="0.25">
      <c r="C733" s="41">
        <v>2789.31</v>
      </c>
      <c r="D733" s="41">
        <v>11317.86</v>
      </c>
      <c r="E733" s="34">
        <f t="shared" si="55"/>
        <v>10945.205479452728</v>
      </c>
      <c r="F733" s="35">
        <f t="shared" si="56"/>
        <v>11320.406318391606</v>
      </c>
      <c r="G733" s="35">
        <f t="shared" si="57"/>
        <v>10962.173367147276</v>
      </c>
      <c r="H733" s="36">
        <f t="shared" si="58"/>
        <v>2.5463183916053822</v>
      </c>
      <c r="I733" s="36">
        <f t="shared" si="59"/>
        <v>6.4837373514278207</v>
      </c>
    </row>
    <row r="734" spans="3:9" x14ac:dyDescent="0.25">
      <c r="C734" s="41">
        <v>2792.24</v>
      </c>
      <c r="D734" s="41">
        <v>11333.87</v>
      </c>
      <c r="E734" s="34">
        <f t="shared" si="55"/>
        <v>10928.327645051953</v>
      </c>
      <c r="F734" s="35">
        <f t="shared" si="56"/>
        <v>11336.471254681783</v>
      </c>
      <c r="G734" s="35">
        <f t="shared" si="57"/>
        <v>10969.481082973603</v>
      </c>
      <c r="H734" s="36">
        <f t="shared" si="58"/>
        <v>2.6012546817819384</v>
      </c>
      <c r="I734" s="36">
        <f t="shared" si="59"/>
        <v>6.7665259194924534</v>
      </c>
    </row>
    <row r="735" spans="3:9" x14ac:dyDescent="0.25">
      <c r="C735" s="41">
        <v>2795.16</v>
      </c>
      <c r="D735" s="41">
        <v>11349.88</v>
      </c>
      <c r="E735" s="34">
        <f t="shared" si="55"/>
        <v>10965.753424656164</v>
      </c>
      <c r="F735" s="35">
        <f t="shared" si="56"/>
        <v>11352.49201643772</v>
      </c>
      <c r="G735" s="35">
        <f t="shared" si="57"/>
        <v>10976.768704419403</v>
      </c>
      <c r="H735" s="36">
        <f t="shared" si="58"/>
        <v>2.6120164377207402</v>
      </c>
      <c r="I735" s="36">
        <f t="shared" si="59"/>
        <v>6.8226298709233459</v>
      </c>
    </row>
    <row r="736" spans="3:9" x14ac:dyDescent="0.25">
      <c r="C736" s="41">
        <v>2798.09</v>
      </c>
      <c r="D736" s="41">
        <v>11365.88</v>
      </c>
      <c r="E736" s="34">
        <f t="shared" si="55"/>
        <v>10921.501706483557</v>
      </c>
      <c r="F736" s="35">
        <f t="shared" si="56"/>
        <v>11368.578342023211</v>
      </c>
      <c r="G736" s="35">
        <f t="shared" si="57"/>
        <v>10984.086149938339</v>
      </c>
      <c r="H736" s="36">
        <f t="shared" si="58"/>
        <v>2.6983420232118078</v>
      </c>
      <c r="I736" s="36">
        <f t="shared" si="59"/>
        <v>7.2810496742307924</v>
      </c>
    </row>
    <row r="737" spans="3:9" x14ac:dyDescent="0.25">
      <c r="C737" s="41">
        <v>2801.02</v>
      </c>
      <c r="D737" s="41">
        <v>11381.89</v>
      </c>
      <c r="E737" s="34">
        <f t="shared" si="55"/>
        <v>10928.327645051953</v>
      </c>
      <c r="F737" s="35">
        <f t="shared" si="56"/>
        <v>11384.675391239141</v>
      </c>
      <c r="G737" s="35">
        <f t="shared" si="57"/>
        <v>10991.408473487445</v>
      </c>
      <c r="H737" s="36">
        <f t="shared" si="58"/>
        <v>2.7853912391419726</v>
      </c>
      <c r="I737" s="36">
        <f t="shared" si="59"/>
        <v>7.758404355088854</v>
      </c>
    </row>
    <row r="738" spans="3:9" x14ac:dyDescent="0.25">
      <c r="C738" s="41">
        <v>2803.94</v>
      </c>
      <c r="D738" s="41">
        <v>11397.9</v>
      </c>
      <c r="E738" s="34">
        <f t="shared" si="55"/>
        <v>10965.753424657411</v>
      </c>
      <c r="F738" s="35">
        <f t="shared" si="56"/>
        <v>11400.72817761837</v>
      </c>
      <c r="G738" s="35">
        <f t="shared" si="57"/>
        <v>10998.71066248846</v>
      </c>
      <c r="H738" s="36">
        <f t="shared" si="58"/>
        <v>2.8281776183703187</v>
      </c>
      <c r="I738" s="36">
        <f t="shared" si="59"/>
        <v>7.9985886410508078</v>
      </c>
    </row>
    <row r="739" spans="3:9" x14ac:dyDescent="0.25">
      <c r="C739" s="41">
        <v>2806.87</v>
      </c>
      <c r="D739" s="41">
        <v>11413.91</v>
      </c>
      <c r="E739" s="34">
        <f t="shared" si="55"/>
        <v>10928.327645051953</v>
      </c>
      <c r="F739" s="35">
        <f t="shared" si="56"/>
        <v>11416.846658885641</v>
      </c>
      <c r="G739" s="35">
        <f t="shared" si="57"/>
        <v>11006.042735179293</v>
      </c>
      <c r="H739" s="36">
        <f t="shared" si="58"/>
        <v>2.936658885641009</v>
      </c>
      <c r="I739" s="36">
        <f t="shared" si="59"/>
        <v>8.6239654106142929</v>
      </c>
    </row>
    <row r="740" spans="3:9" x14ac:dyDescent="0.25">
      <c r="C740" s="41">
        <v>2809.8</v>
      </c>
      <c r="D740" s="41">
        <v>11429.91</v>
      </c>
      <c r="E740" s="34">
        <f t="shared" si="55"/>
        <v>10921.501706483557</v>
      </c>
      <c r="F740" s="35">
        <f t="shared" si="56"/>
        <v>11432.975885219312</v>
      </c>
      <c r="G740" s="35">
        <f t="shared" si="57"/>
        <v>11013.379695651218</v>
      </c>
      <c r="H740" s="36">
        <f t="shared" si="58"/>
        <v>3.0658852193118946</v>
      </c>
      <c r="I740" s="36">
        <f t="shared" si="59"/>
        <v>9.3996521779951436</v>
      </c>
    </row>
    <row r="741" spans="3:9" x14ac:dyDescent="0.25">
      <c r="C741" s="41">
        <v>2812.72</v>
      </c>
      <c r="D741" s="41">
        <v>11445.92</v>
      </c>
      <c r="E741" s="34">
        <f t="shared" si="55"/>
        <v>10965.753424659117</v>
      </c>
      <c r="F741" s="35">
        <f t="shared" si="56"/>
        <v>11449.060760237286</v>
      </c>
      <c r="G741" s="35">
        <f t="shared" si="57"/>
        <v>11020.696481327188</v>
      </c>
      <c r="H741" s="36">
        <f t="shared" si="58"/>
        <v>3.1407602372855763</v>
      </c>
      <c r="I741" s="36">
        <f t="shared" si="59"/>
        <v>9.8643748681141492</v>
      </c>
    </row>
    <row r="742" spans="3:9" x14ac:dyDescent="0.25">
      <c r="C742" s="41">
        <v>2815.65</v>
      </c>
      <c r="D742" s="41">
        <v>11461.93</v>
      </c>
      <c r="E742" s="34">
        <f t="shared" si="55"/>
        <v>10928.327645050258</v>
      </c>
      <c r="F742" s="35">
        <f t="shared" si="56"/>
        <v>11465.211461463787</v>
      </c>
      <c r="G742" s="35">
        <f t="shared" si="57"/>
        <v>11028.043210428837</v>
      </c>
      <c r="H742" s="36">
        <f t="shared" si="58"/>
        <v>3.2814614637863997</v>
      </c>
      <c r="I742" s="36">
        <f t="shared" si="59"/>
        <v>10.76798933831518</v>
      </c>
    </row>
    <row r="743" spans="3:9" x14ac:dyDescent="0.25">
      <c r="C743" s="41">
        <v>2818.58</v>
      </c>
      <c r="D743" s="41">
        <v>11477.94</v>
      </c>
      <c r="E743" s="34">
        <f t="shared" si="55"/>
        <v>10928.327645051953</v>
      </c>
      <c r="F743" s="35">
        <f t="shared" si="56"/>
        <v>11481.372929235482</v>
      </c>
      <c r="G743" s="35">
        <f t="shared" si="57"/>
        <v>11035.394837081982</v>
      </c>
      <c r="H743" s="36">
        <f t="shared" si="58"/>
        <v>3.4329292354814243</v>
      </c>
      <c r="I743" s="36">
        <f t="shared" si="59"/>
        <v>11.785003135823077</v>
      </c>
    </row>
    <row r="744" spans="3:9" x14ac:dyDescent="0.25">
      <c r="C744" s="41">
        <v>2821.5</v>
      </c>
      <c r="D744" s="41">
        <v>11493.94</v>
      </c>
      <c r="E744" s="34">
        <f t="shared" si="55"/>
        <v>10958.904109588768</v>
      </c>
      <c r="F744" s="35">
        <f t="shared" si="56"/>
        <v>11497.489957035634</v>
      </c>
      <c r="G744" s="35">
        <f t="shared" si="57"/>
        <v>11042.726248610863</v>
      </c>
      <c r="H744" s="36">
        <f t="shared" si="58"/>
        <v>3.5499570356332697</v>
      </c>
      <c r="I744" s="36">
        <f t="shared" si="59"/>
        <v>12.602194954842151</v>
      </c>
    </row>
    <row r="745" spans="3:9" x14ac:dyDescent="0.25">
      <c r="C745" s="41">
        <v>2824.43</v>
      </c>
      <c r="D745" s="41">
        <v>11509.96</v>
      </c>
      <c r="E745" s="34">
        <f t="shared" si="55"/>
        <v>10935.153583617415</v>
      </c>
      <c r="F745" s="35">
        <f t="shared" si="56"/>
        <v>11513.672942627296</v>
      </c>
      <c r="G745" s="35">
        <f t="shared" si="57"/>
        <v>11050.087663420687</v>
      </c>
      <c r="H745" s="36">
        <f t="shared" si="58"/>
        <v>3.7129426272967976</v>
      </c>
      <c r="I745" s="36">
        <f t="shared" si="59"/>
        <v>13.785942953597646</v>
      </c>
    </row>
    <row r="746" spans="3:9" x14ac:dyDescent="0.25">
      <c r="C746" s="41">
        <v>2827.36</v>
      </c>
      <c r="D746" s="41">
        <v>11525.98</v>
      </c>
      <c r="E746" s="34">
        <f t="shared" si="55"/>
        <v>10935.153583616961</v>
      </c>
      <c r="F746" s="35">
        <f t="shared" si="56"/>
        <v>11529.866716285876</v>
      </c>
      <c r="G746" s="35">
        <f t="shared" si="57"/>
        <v>11057.453985571941</v>
      </c>
      <c r="H746" s="36">
        <f t="shared" si="58"/>
        <v>3.8867162858769007</v>
      </c>
      <c r="I746" s="36">
        <f t="shared" si="59"/>
        <v>15.106563486900729</v>
      </c>
    </row>
    <row r="747" spans="3:9" x14ac:dyDescent="0.25">
      <c r="C747" s="41">
        <v>2830.29</v>
      </c>
      <c r="D747" s="41">
        <v>11542.01</v>
      </c>
      <c r="E747" s="34">
        <f t="shared" si="55"/>
        <v>10941.979522185358</v>
      </c>
      <c r="F747" s="35">
        <f t="shared" si="56"/>
        <v>11546.071285203036</v>
      </c>
      <c r="G747" s="35">
        <f t="shared" si="57"/>
        <v>11064.825218336004</v>
      </c>
      <c r="H747" s="36">
        <f t="shared" si="58"/>
        <v>4.0612852030353679</v>
      </c>
      <c r="I747" s="36">
        <f t="shared" si="59"/>
        <v>16.494037500394029</v>
      </c>
    </row>
    <row r="748" spans="3:9" x14ac:dyDescent="0.25">
      <c r="C748" s="41">
        <v>2833.22</v>
      </c>
      <c r="D748" s="41">
        <v>11558.03</v>
      </c>
      <c r="E748" s="34">
        <f t="shared" si="55"/>
        <v>10935.153583618656</v>
      </c>
      <c r="F748" s="35">
        <f t="shared" si="56"/>
        <v>11562.286656575216</v>
      </c>
      <c r="G748" s="35">
        <f t="shared" si="57"/>
        <v>11072.20136498644</v>
      </c>
      <c r="H748" s="36">
        <f t="shared" si="58"/>
        <v>4.2566565752149472</v>
      </c>
      <c r="I748" s="36">
        <f t="shared" si="59"/>
        <v>18.119125199320642</v>
      </c>
    </row>
    <row r="749" spans="3:9" x14ac:dyDescent="0.25">
      <c r="C749" s="41">
        <v>2836.15</v>
      </c>
      <c r="D749" s="41">
        <v>11574.05</v>
      </c>
      <c r="E749" s="34">
        <f t="shared" si="55"/>
        <v>10935.153583615718</v>
      </c>
      <c r="F749" s="35">
        <f t="shared" si="56"/>
        <v>11578.512837603661</v>
      </c>
      <c r="G749" s="35">
        <f t="shared" si="57"/>
        <v>11079.582428798996</v>
      </c>
      <c r="H749" s="36">
        <f t="shared" si="58"/>
        <v>4.4628376036616828</v>
      </c>
      <c r="I749" s="36">
        <f t="shared" si="59"/>
        <v>19.916919476656751</v>
      </c>
    </row>
    <row r="750" spans="3:9" x14ac:dyDescent="0.25">
      <c r="C750" s="41">
        <v>2839.08</v>
      </c>
      <c r="D750" s="41">
        <v>11590.07</v>
      </c>
      <c r="E750" s="34">
        <f t="shared" si="55"/>
        <v>10935.153583618656</v>
      </c>
      <c r="F750" s="35">
        <f t="shared" si="56"/>
        <v>11594.749835494413</v>
      </c>
      <c r="G750" s="35">
        <f t="shared" si="57"/>
        <v>11086.968413051596</v>
      </c>
      <c r="H750" s="36">
        <f t="shared" si="58"/>
        <v>4.6798354944130551</v>
      </c>
      <c r="I750" s="36">
        <f t="shared" si="59"/>
        <v>21.900860254768283</v>
      </c>
    </row>
    <row r="751" spans="3:9" x14ac:dyDescent="0.25">
      <c r="C751" s="41">
        <v>2842.02</v>
      </c>
      <c r="D751" s="41">
        <v>11606.1</v>
      </c>
      <c r="E751" s="34">
        <f t="shared" si="55"/>
        <v>10904.761904762148</v>
      </c>
      <c r="F751" s="35">
        <f t="shared" si="56"/>
        <v>11611.053129318008</v>
      </c>
      <c r="G751" s="35">
        <f t="shared" si="57"/>
        <v>11094.384554400929</v>
      </c>
      <c r="H751" s="36">
        <f t="shared" si="58"/>
        <v>4.9531293180079956</v>
      </c>
      <c r="I751" s="36">
        <f t="shared" si="59"/>
        <v>24.533490040910351</v>
      </c>
    </row>
    <row r="752" spans="3:9" x14ac:dyDescent="0.25">
      <c r="C752" s="41">
        <v>2844.95</v>
      </c>
      <c r="D752" s="41">
        <v>11622.12</v>
      </c>
      <c r="E752" s="34">
        <f t="shared" si="55"/>
        <v>10935.153583618656</v>
      </c>
      <c r="F752" s="35">
        <f t="shared" si="56"/>
        <v>11627.311819549937</v>
      </c>
      <c r="G752" s="35">
        <f t="shared" si="57"/>
        <v>11101.780406197482</v>
      </c>
      <c r="H752" s="36">
        <f t="shared" si="58"/>
        <v>5.1918195499365538</v>
      </c>
      <c r="I752" s="36">
        <f t="shared" si="59"/>
        <v>26.954990239103399</v>
      </c>
    </row>
    <row r="753" spans="3:9" x14ac:dyDescent="0.25">
      <c r="C753" s="41">
        <v>2847.89</v>
      </c>
      <c r="D753" s="41">
        <v>11638.14</v>
      </c>
      <c r="E753" s="34">
        <f t="shared" si="55"/>
        <v>10897.959183672327</v>
      </c>
      <c r="F753" s="35">
        <f t="shared" si="56"/>
        <v>11643.636894284904</v>
      </c>
      <c r="G753" s="35">
        <f t="shared" si="57"/>
        <v>11109.206455380114</v>
      </c>
      <c r="H753" s="36">
        <f t="shared" si="58"/>
        <v>5.4968942849045561</v>
      </c>
      <c r="I753" s="36">
        <f t="shared" si="59"/>
        <v>30.215846779416371</v>
      </c>
    </row>
    <row r="754" spans="3:9" x14ac:dyDescent="0.25">
      <c r="C754" s="41">
        <v>2850.82</v>
      </c>
      <c r="D754" s="41">
        <v>11654.17</v>
      </c>
      <c r="E754" s="34">
        <f t="shared" si="55"/>
        <v>10941.979522183661</v>
      </c>
      <c r="F754" s="35">
        <f t="shared" si="56"/>
        <v>11659.917305838602</v>
      </c>
      <c r="G754" s="35">
        <f t="shared" si="57"/>
        <v>11116.612187903489</v>
      </c>
      <c r="H754" s="36">
        <f t="shared" si="58"/>
        <v>5.7473058386021876</v>
      </c>
      <c r="I754" s="36">
        <f t="shared" si="59"/>
        <v>33.031524402430797</v>
      </c>
    </row>
    <row r="755" spans="3:9" x14ac:dyDescent="0.25">
      <c r="C755" s="41">
        <v>2853.76</v>
      </c>
      <c r="D755" s="41">
        <v>11670.19</v>
      </c>
      <c r="E755" s="34">
        <f t="shared" si="55"/>
        <v>10897.959183673564</v>
      </c>
      <c r="F755" s="35">
        <f t="shared" si="56"/>
        <v>11676.264190583846</v>
      </c>
      <c r="G755" s="35">
        <f t="shared" si="57"/>
        <v>11124.048158156107</v>
      </c>
      <c r="H755" s="36">
        <f t="shared" si="58"/>
        <v>6.0741905838458479</v>
      </c>
      <c r="I755" s="36">
        <f t="shared" si="59"/>
        <v>36.895791248881565</v>
      </c>
    </row>
    <row r="756" spans="3:9" x14ac:dyDescent="0.25">
      <c r="C756" s="41">
        <v>2856.69</v>
      </c>
      <c r="D756" s="41">
        <v>11686.21</v>
      </c>
      <c r="E756" s="34">
        <f t="shared" si="55"/>
        <v>10935.153583617415</v>
      </c>
      <c r="F756" s="35">
        <f t="shared" si="56"/>
        <v>11692.566352478605</v>
      </c>
      <c r="G756" s="35">
        <f t="shared" si="57"/>
        <v>11131.463784606773</v>
      </c>
      <c r="H756" s="36">
        <f t="shared" si="58"/>
        <v>6.3563524786059133</v>
      </c>
      <c r="I756" s="36">
        <f t="shared" si="59"/>
        <v>40.40321683227954</v>
      </c>
    </row>
    <row r="757" spans="3:9" x14ac:dyDescent="0.25">
      <c r="C757" s="41">
        <v>2859.63</v>
      </c>
      <c r="D757" s="41">
        <v>11702.24</v>
      </c>
      <c r="E757" s="34">
        <f t="shared" si="55"/>
        <v>10904.761904762148</v>
      </c>
      <c r="F757" s="35">
        <f t="shared" si="56"/>
        <v>11708.935076371921</v>
      </c>
      <c r="G757" s="35">
        <f t="shared" si="57"/>
        <v>11138.909689183756</v>
      </c>
      <c r="H757" s="36">
        <f t="shared" si="58"/>
        <v>6.6950763719214592</v>
      </c>
      <c r="I757" s="36">
        <f t="shared" si="59"/>
        <v>44.824047625861006</v>
      </c>
    </row>
    <row r="758" spans="3:9" x14ac:dyDescent="0.25">
      <c r="C758" s="41">
        <v>2862.56</v>
      </c>
      <c r="D758" s="41">
        <v>11718.26</v>
      </c>
      <c r="E758" s="34">
        <f t="shared" si="55"/>
        <v>10935.153583618656</v>
      </c>
      <c r="F758" s="35">
        <f t="shared" si="56"/>
        <v>11725.25901766581</v>
      </c>
      <c r="G758" s="35">
        <f t="shared" si="57"/>
        <v>11146.335222779824</v>
      </c>
      <c r="H758" s="36">
        <f t="shared" si="58"/>
        <v>6.9990176658102428</v>
      </c>
      <c r="I758" s="36">
        <f t="shared" si="59"/>
        <v>48.986248286323857</v>
      </c>
    </row>
    <row r="759" spans="3:9" x14ac:dyDescent="0.25">
      <c r="C759" s="41">
        <v>2865.5</v>
      </c>
      <c r="D759" s="41">
        <v>11734.28</v>
      </c>
      <c r="E759" s="34">
        <f t="shared" si="55"/>
        <v>10897.959183673564</v>
      </c>
      <c r="F759" s="35">
        <f t="shared" si="56"/>
        <v>11741.649609883907</v>
      </c>
      <c r="G759" s="35">
        <f t="shared" si="57"/>
        <v>11153.791074953251</v>
      </c>
      <c r="H759" s="36">
        <f t="shared" si="58"/>
        <v>7.3696098839063779</v>
      </c>
      <c r="I759" s="36">
        <f t="shared" si="59"/>
        <v>54.311149840970579</v>
      </c>
    </row>
    <row r="760" spans="3:9" x14ac:dyDescent="0.25">
      <c r="C760" s="41">
        <v>2868.43</v>
      </c>
      <c r="D760" s="41">
        <v>11750.31</v>
      </c>
      <c r="E760" s="34">
        <f t="shared" si="55"/>
        <v>10941.979522184116</v>
      </c>
      <c r="F760" s="35">
        <f t="shared" si="56"/>
        <v>11757.995359673827</v>
      </c>
      <c r="G760" s="35">
        <f t="shared" si="57"/>
        <v>11161.226528930496</v>
      </c>
      <c r="H760" s="36">
        <f t="shared" si="58"/>
        <v>7.6853596738274064</v>
      </c>
      <c r="I760" s="36">
        <f t="shared" si="59"/>
        <v>59.064753316092499</v>
      </c>
    </row>
    <row r="761" spans="3:9" x14ac:dyDescent="0.25">
      <c r="C761" s="41">
        <v>2871.37</v>
      </c>
      <c r="D761" s="41">
        <v>11766.33</v>
      </c>
      <c r="E761" s="34">
        <f t="shared" si="55"/>
        <v>10897.959183673564</v>
      </c>
      <c r="F761" s="35">
        <f t="shared" si="56"/>
        <v>11774.407849432397</v>
      </c>
      <c r="G761" s="35">
        <f t="shared" si="57"/>
        <v>11168.692341990178</v>
      </c>
      <c r="H761" s="36">
        <f t="shared" si="58"/>
        <v>8.0778494323967607</v>
      </c>
      <c r="I761" s="36">
        <f t="shared" si="59"/>
        <v>65.251651452472672</v>
      </c>
    </row>
    <row r="762" spans="3:9" x14ac:dyDescent="0.25">
      <c r="C762" s="41">
        <v>2874.3</v>
      </c>
      <c r="D762" s="41">
        <v>11782.35</v>
      </c>
      <c r="E762" s="34">
        <f t="shared" si="55"/>
        <v>10935.153583616961</v>
      </c>
      <c r="F762" s="35">
        <f t="shared" si="56"/>
        <v>11790.775436854105</v>
      </c>
      <c r="G762" s="35">
        <f t="shared" si="57"/>
        <v>11176.137729602051</v>
      </c>
      <c r="H762" s="36">
        <f t="shared" si="58"/>
        <v>8.4254368541041913</v>
      </c>
      <c r="I762" s="36">
        <f t="shared" si="59"/>
        <v>70.987986182497139</v>
      </c>
    </row>
    <row r="763" spans="3:9" x14ac:dyDescent="0.25">
      <c r="C763" s="41">
        <v>2877.23</v>
      </c>
      <c r="D763" s="41">
        <v>11798.38</v>
      </c>
      <c r="E763" s="34">
        <f t="shared" si="55"/>
        <v>10941.979522184116</v>
      </c>
      <c r="F763" s="35">
        <f t="shared" si="56"/>
        <v>11807.153935403889</v>
      </c>
      <c r="G763" s="35">
        <f t="shared" si="57"/>
        <v>11183.588080534157</v>
      </c>
      <c r="H763" s="36">
        <f t="shared" si="58"/>
        <v>8.7739354038894817</v>
      </c>
      <c r="I763" s="36">
        <f t="shared" si="59"/>
        <v>76.981942471625288</v>
      </c>
    </row>
    <row r="764" spans="3:9" x14ac:dyDescent="0.25">
      <c r="C764" s="41">
        <v>2880.17</v>
      </c>
      <c r="D764" s="41">
        <v>11814.4</v>
      </c>
      <c r="E764" s="34">
        <f t="shared" si="55"/>
        <v>10897.959183673564</v>
      </c>
      <c r="F764" s="35">
        <f t="shared" si="56"/>
        <v>11823.599307636066</v>
      </c>
      <c r="G764" s="35">
        <f t="shared" si="57"/>
        <v>11191.068851373218</v>
      </c>
      <c r="H764" s="36">
        <f t="shared" si="58"/>
        <v>9.1993076360668056</v>
      </c>
      <c r="I764" s="36">
        <f t="shared" si="59"/>
        <v>84.627260982997043</v>
      </c>
    </row>
    <row r="765" spans="3:9" x14ac:dyDescent="0.25">
      <c r="C765" s="41">
        <v>2883.1</v>
      </c>
      <c r="D765" s="41">
        <v>11830.42</v>
      </c>
      <c r="E765" s="34">
        <f t="shared" si="55"/>
        <v>10935.153583618656</v>
      </c>
      <c r="F765" s="35">
        <f t="shared" si="56"/>
        <v>11839.999687569396</v>
      </c>
      <c r="G765" s="35">
        <f t="shared" si="57"/>
        <v>11198.529155842018</v>
      </c>
      <c r="H765" s="36">
        <f t="shared" si="58"/>
        <v>9.5796875693959009</v>
      </c>
      <c r="I765" s="36">
        <f t="shared" si="59"/>
        <v>91.770413927238337</v>
      </c>
    </row>
    <row r="766" spans="3:9" x14ac:dyDescent="0.25">
      <c r="C766" s="41">
        <v>2886.04</v>
      </c>
      <c r="D766" s="41">
        <v>11846.44</v>
      </c>
      <c r="E766" s="34">
        <f t="shared" si="55"/>
        <v>10897.959183673564</v>
      </c>
      <c r="F766" s="35">
        <f t="shared" si="56"/>
        <v>11856.467030527177</v>
      </c>
      <c r="G766" s="35">
        <f t="shared" si="57"/>
        <v>11206.019920858231</v>
      </c>
      <c r="H766" s="36">
        <f t="shared" si="58"/>
        <v>10.027030527176976</v>
      </c>
      <c r="I766" s="36">
        <f t="shared" si="59"/>
        <v>100.54134119293899</v>
      </c>
    </row>
    <row r="767" spans="3:9" x14ac:dyDescent="0.25">
      <c r="C767" s="41">
        <v>2888.97</v>
      </c>
      <c r="D767" s="41">
        <v>11862.47</v>
      </c>
      <c r="E767" s="34">
        <f t="shared" si="55"/>
        <v>10941.979522184116</v>
      </c>
      <c r="F767" s="35">
        <f t="shared" si="56"/>
        <v>11872.889321077202</v>
      </c>
      <c r="G767" s="35">
        <f t="shared" si="57"/>
        <v>11213.490192161476</v>
      </c>
      <c r="H767" s="36">
        <f t="shared" si="58"/>
        <v>10.419321077202767</v>
      </c>
      <c r="I767" s="36">
        <f t="shared" si="59"/>
        <v>108.56225170984183</v>
      </c>
    </row>
    <row r="768" spans="3:9" x14ac:dyDescent="0.25">
      <c r="C768" s="41">
        <v>2891.91</v>
      </c>
      <c r="D768" s="41">
        <v>11878.49</v>
      </c>
      <c r="E768" s="34">
        <f t="shared" si="55"/>
        <v>10897.959183673564</v>
      </c>
      <c r="F768" s="35">
        <f t="shared" si="56"/>
        <v>11889.378664113083</v>
      </c>
      <c r="G768" s="35">
        <f t="shared" si="57"/>
        <v>11220.990964706882</v>
      </c>
      <c r="H768" s="36">
        <f t="shared" si="58"/>
        <v>10.888664113082996</v>
      </c>
      <c r="I768" s="36">
        <f t="shared" si="59"/>
        <v>118.5630061675415</v>
      </c>
    </row>
    <row r="769" spans="3:9" x14ac:dyDescent="0.25">
      <c r="C769" s="41">
        <v>2894.84</v>
      </c>
      <c r="D769" s="41">
        <v>11894.51</v>
      </c>
      <c r="E769" s="34">
        <f t="shared" si="55"/>
        <v>10935.153583616961</v>
      </c>
      <c r="F769" s="35">
        <f t="shared" si="56"/>
        <v>11905.822894551997</v>
      </c>
      <c r="G769" s="35">
        <f t="shared" si="57"/>
        <v>11228.471216160087</v>
      </c>
      <c r="H769" s="36">
        <f t="shared" si="58"/>
        <v>11.312894551996578</v>
      </c>
      <c r="I769" s="36">
        <f t="shared" si="59"/>
        <v>127.98158314459386</v>
      </c>
    </row>
    <row r="770" spans="3:9" x14ac:dyDescent="0.25">
      <c r="C770" s="41">
        <v>2897.78</v>
      </c>
      <c r="D770" s="41">
        <v>11910.54</v>
      </c>
      <c r="E770" s="34">
        <f t="shared" si="55"/>
        <v>10904.761904762148</v>
      </c>
      <c r="F770" s="35">
        <f t="shared" si="56"/>
        <v>11922.334267057699</v>
      </c>
      <c r="G770" s="35">
        <f t="shared" si="57"/>
        <v>11235.98200960457</v>
      </c>
      <c r="H770" s="36">
        <f t="shared" si="58"/>
        <v>11.794267057697652</v>
      </c>
      <c r="I770" s="36">
        <f t="shared" si="59"/>
        <v>139.10473542829203</v>
      </c>
    </row>
    <row r="771" spans="3:9" x14ac:dyDescent="0.25">
      <c r="C771" s="41">
        <v>2900.71</v>
      </c>
      <c r="D771" s="41">
        <v>11926.56</v>
      </c>
      <c r="E771" s="34">
        <f t="shared" si="55"/>
        <v>10935.153583617415</v>
      </c>
      <c r="F771" s="35">
        <f t="shared" si="56"/>
        <v>11938.800466696799</v>
      </c>
      <c r="G771" s="35">
        <f t="shared" si="57"/>
        <v>11243.472254541035</v>
      </c>
      <c r="H771" s="36">
        <f t="shared" si="58"/>
        <v>12.240466696799558</v>
      </c>
      <c r="I771" s="36">
        <f t="shared" si="59"/>
        <v>149.82902495545909</v>
      </c>
    </row>
    <row r="772" spans="3:9" x14ac:dyDescent="0.25">
      <c r="C772" s="41">
        <v>2903.65</v>
      </c>
      <c r="D772" s="41">
        <v>11942.58</v>
      </c>
      <c r="E772" s="34">
        <f t="shared" si="55"/>
        <v>10897.959183673564</v>
      </c>
      <c r="F772" s="35">
        <f t="shared" si="56"/>
        <v>11955.333898103298</v>
      </c>
      <c r="G772" s="35">
        <f t="shared" si="57"/>
        <v>11250.993082272338</v>
      </c>
      <c r="H772" s="36">
        <f t="shared" si="58"/>
        <v>12.753898103297615</v>
      </c>
      <c r="I772" s="36">
        <f t="shared" si="59"/>
        <v>162.66191682929852</v>
      </c>
    </row>
    <row r="773" spans="3:9" x14ac:dyDescent="0.25">
      <c r="C773" s="41">
        <v>2906.58</v>
      </c>
      <c r="D773" s="41">
        <v>11958.61</v>
      </c>
      <c r="E773" s="34">
        <f t="shared" si="55"/>
        <v>10941.979522185358</v>
      </c>
      <c r="F773" s="35">
        <f t="shared" si="56"/>
        <v>11971.82209629305</v>
      </c>
      <c r="G773" s="35">
        <f t="shared" si="57"/>
        <v>11258.493334043182</v>
      </c>
      <c r="H773" s="36">
        <f t="shared" si="58"/>
        <v>13.212096293049399</v>
      </c>
      <c r="I773" s="36">
        <f t="shared" si="59"/>
        <v>174.55948845680967</v>
      </c>
    </row>
    <row r="774" spans="3:9" x14ac:dyDescent="0.25">
      <c r="C774" s="41">
        <v>2909.52</v>
      </c>
      <c r="D774" s="41">
        <v>11974.63</v>
      </c>
      <c r="E774" s="34">
        <f t="shared" si="55"/>
        <v>10897.959183672327</v>
      </c>
      <c r="F774" s="35">
        <f t="shared" si="56"/>
        <v>11988.377616070647</v>
      </c>
      <c r="G774" s="35">
        <f t="shared" si="57"/>
        <v>11266.024209466934</v>
      </c>
      <c r="H774" s="36">
        <f t="shared" si="58"/>
        <v>13.747616070648291</v>
      </c>
      <c r="I774" s="36">
        <f t="shared" si="59"/>
        <v>188.99694762594717</v>
      </c>
    </row>
    <row r="775" spans="3:9" x14ac:dyDescent="0.25">
      <c r="C775" s="41">
        <v>2912.45</v>
      </c>
      <c r="D775" s="41">
        <v>11990.65</v>
      </c>
      <c r="E775" s="34">
        <f t="shared" si="55"/>
        <v>10935.153583618656</v>
      </c>
      <c r="F775" s="35">
        <f t="shared" si="56"/>
        <v>12004.887842200722</v>
      </c>
      <c r="G775" s="35">
        <f t="shared" si="57"/>
        <v>11273.534481441107</v>
      </c>
      <c r="H775" s="36">
        <f t="shared" si="58"/>
        <v>14.237842200722298</v>
      </c>
      <c r="I775" s="36">
        <f t="shared" si="59"/>
        <v>202.71615053266876</v>
      </c>
    </row>
    <row r="776" spans="3:9" x14ac:dyDescent="0.25">
      <c r="C776" s="41">
        <v>2915.38</v>
      </c>
      <c r="D776" s="41">
        <v>12006.68</v>
      </c>
      <c r="E776" s="34">
        <f t="shared" si="55"/>
        <v>10941.979522183661</v>
      </c>
      <c r="F776" s="35">
        <f t="shared" si="56"/>
        <v>12021.409074546149</v>
      </c>
      <c r="G776" s="35">
        <f t="shared" si="57"/>
        <v>11281.04975998939</v>
      </c>
      <c r="H776" s="36">
        <f t="shared" si="58"/>
        <v>14.729074546148695</v>
      </c>
      <c r="I776" s="36">
        <f t="shared" si="59"/>
        <v>216.94563698600538</v>
      </c>
    </row>
    <row r="777" spans="3:9" x14ac:dyDescent="0.25">
      <c r="C777" s="41">
        <v>2918.32</v>
      </c>
      <c r="D777" s="41">
        <v>12022.7</v>
      </c>
      <c r="E777" s="34">
        <f t="shared" ref="E777:E840" si="60">IF(C777="","",2*(D777-D776)/((C777-C776)/1000))</f>
        <v>10897.959183673564</v>
      </c>
      <c r="F777" s="35">
        <f t="shared" ref="F777:F840" si="61">IF(C777="","",F$7+(F$9/F$10)*(EXP(F$10*(C777-F$8)/2000)-1))</f>
        <v>12037.997763358431</v>
      </c>
      <c r="G777" s="35">
        <f t="shared" ref="G777:G840" si="62">IF(E777="","",F$9+(F777-F$7)*F$10)</f>
        <v>11288.595723545168</v>
      </c>
      <c r="H777" s="36">
        <f t="shared" ref="H777:H840" si="63">IF(F777="","",F777-D777)</f>
        <v>15.297763358430529</v>
      </c>
      <c r="I777" s="36">
        <f t="shared" ref="I777:I840" si="64">IF(H777="","",H777^2)</f>
        <v>234.0215637705397</v>
      </c>
    </row>
    <row r="778" spans="3:9" x14ac:dyDescent="0.25">
      <c r="C778" s="41">
        <v>2921.25</v>
      </c>
      <c r="D778" s="41">
        <v>12038.72</v>
      </c>
      <c r="E778" s="34">
        <f t="shared" si="60"/>
        <v>10935.153583617415</v>
      </c>
      <c r="F778" s="35">
        <f t="shared" si="61"/>
        <v>12054.541067777222</v>
      </c>
      <c r="G778" s="35">
        <f t="shared" si="62"/>
        <v>11296.121042372288</v>
      </c>
      <c r="H778" s="36">
        <f t="shared" si="63"/>
        <v>15.821067777222197</v>
      </c>
      <c r="I778" s="36">
        <f t="shared" si="64"/>
        <v>250.30618561145852</v>
      </c>
    </row>
    <row r="779" spans="3:9" x14ac:dyDescent="0.25">
      <c r="C779" s="41">
        <v>2924.19</v>
      </c>
      <c r="D779" s="41">
        <v>12054.74</v>
      </c>
      <c r="E779" s="34">
        <f t="shared" si="60"/>
        <v>10897.959183673564</v>
      </c>
      <c r="F779" s="35">
        <f t="shared" si="61"/>
        <v>12071.151918783515</v>
      </c>
      <c r="G779" s="35">
        <f t="shared" si="62"/>
        <v>11303.677087201526</v>
      </c>
      <c r="H779" s="36">
        <f t="shared" si="63"/>
        <v>16.411918783514921</v>
      </c>
      <c r="I779" s="36">
        <f t="shared" si="64"/>
        <v>269.35107815668988</v>
      </c>
    </row>
    <row r="780" spans="3:9" x14ac:dyDescent="0.25">
      <c r="C780" s="41">
        <v>2927.12</v>
      </c>
      <c r="D780" s="41">
        <v>12070.77</v>
      </c>
      <c r="E780" s="34">
        <f t="shared" si="60"/>
        <v>10941.979522185358</v>
      </c>
      <c r="F780" s="35">
        <f t="shared" si="61"/>
        <v>12087.717324763582</v>
      </c>
      <c r="G780" s="35">
        <f t="shared" si="62"/>
        <v>11311.212459721124</v>
      </c>
      <c r="H780" s="36">
        <f t="shared" si="63"/>
        <v>16.947324763581491</v>
      </c>
      <c r="I780" s="36">
        <f t="shared" si="64"/>
        <v>287.21181664230244</v>
      </c>
    </row>
    <row r="781" spans="3:9" x14ac:dyDescent="0.25">
      <c r="C781" s="41">
        <v>2930.06</v>
      </c>
      <c r="D781" s="41">
        <v>12086.79</v>
      </c>
      <c r="E781" s="34">
        <f t="shared" si="60"/>
        <v>10897.959183673564</v>
      </c>
      <c r="F781" s="35">
        <f t="shared" si="61"/>
        <v>12104.350367572182</v>
      </c>
      <c r="G781" s="35">
        <f t="shared" si="62"/>
        <v>11318.778599292229</v>
      </c>
      <c r="H781" s="36">
        <f t="shared" si="63"/>
        <v>17.560367572181349</v>
      </c>
      <c r="I781" s="36">
        <f t="shared" si="64"/>
        <v>308.36650927011829</v>
      </c>
    </row>
    <row r="782" spans="3:9" x14ac:dyDescent="0.25">
      <c r="C782" s="41">
        <v>2932.99</v>
      </c>
      <c r="D782" s="41">
        <v>12102.81</v>
      </c>
      <c r="E782" s="34">
        <f t="shared" si="60"/>
        <v>10935.153583617415</v>
      </c>
      <c r="F782" s="35">
        <f t="shared" si="61"/>
        <v>12120.937904640808</v>
      </c>
      <c r="G782" s="35">
        <f t="shared" si="62"/>
        <v>11326.324038935854</v>
      </c>
      <c r="H782" s="36">
        <f t="shared" si="63"/>
        <v>18.127904640808993</v>
      </c>
      <c r="I782" s="36">
        <f t="shared" si="64"/>
        <v>328.62092666626421</v>
      </c>
    </row>
    <row r="783" spans="3:9" x14ac:dyDescent="0.25">
      <c r="C783" s="41">
        <v>2935.81</v>
      </c>
      <c r="D783" s="41">
        <v>12118.84</v>
      </c>
      <c r="E783" s="34">
        <f t="shared" si="60"/>
        <v>11368.794326240941</v>
      </c>
      <c r="F783" s="35">
        <f t="shared" si="61"/>
        <v>12136.913144162432</v>
      </c>
      <c r="G783" s="35">
        <f t="shared" si="62"/>
        <v>11333.590952951126</v>
      </c>
      <c r="H783" s="36">
        <f t="shared" si="63"/>
        <v>18.073144162432072</v>
      </c>
      <c r="I783" s="36">
        <f t="shared" si="64"/>
        <v>326.63853991605248</v>
      </c>
    </row>
    <row r="784" spans="3:9" x14ac:dyDescent="0.25">
      <c r="C784" s="41">
        <v>2938.43</v>
      </c>
      <c r="D784" s="41">
        <v>12134.86</v>
      </c>
      <c r="E784" s="34">
        <f t="shared" si="60"/>
        <v>12229.00763358863</v>
      </c>
      <c r="F784" s="35">
        <f t="shared" si="61"/>
        <v>12151.76457286014</v>
      </c>
      <c r="G784" s="35">
        <f t="shared" si="62"/>
        <v>11340.346661070815</v>
      </c>
      <c r="H784" s="36">
        <f t="shared" si="63"/>
        <v>16.904572860139524</v>
      </c>
      <c r="I784" s="36">
        <f t="shared" si="64"/>
        <v>285.76458358376578</v>
      </c>
    </row>
    <row r="785" spans="3:9" x14ac:dyDescent="0.25">
      <c r="C785" s="41">
        <v>2941.05</v>
      </c>
      <c r="D785" s="41">
        <v>12150.88</v>
      </c>
      <c r="E785" s="34">
        <f t="shared" si="60"/>
        <v>12229.007633585117</v>
      </c>
      <c r="F785" s="35">
        <f t="shared" si="61"/>
        <v>12166.624854172866</v>
      </c>
      <c r="G785" s="35">
        <f t="shared" si="62"/>
        <v>11347.10639612181</v>
      </c>
      <c r="H785" s="36">
        <f t="shared" si="63"/>
        <v>15.744854172866326</v>
      </c>
      <c r="I785" s="36">
        <f t="shared" si="64"/>
        <v>247.90043292482616</v>
      </c>
    </row>
    <row r="786" spans="3:9" x14ac:dyDescent="0.25">
      <c r="C786" s="41">
        <v>2943.67</v>
      </c>
      <c r="D786" s="41">
        <v>12166.91</v>
      </c>
      <c r="E786" s="34">
        <f t="shared" si="60"/>
        <v>12236.641221375057</v>
      </c>
      <c r="F786" s="35">
        <f t="shared" si="61"/>
        <v>12181.493993377459</v>
      </c>
      <c r="G786" s="35">
        <f t="shared" si="62"/>
        <v>11353.870160504473</v>
      </c>
      <c r="H786" s="36">
        <f t="shared" si="63"/>
        <v>14.583993377458683</v>
      </c>
      <c r="I786" s="36">
        <f t="shared" si="64"/>
        <v>212.69286283375871</v>
      </c>
    </row>
    <row r="787" spans="3:9" x14ac:dyDescent="0.25">
      <c r="C787" s="41">
        <v>2946.28</v>
      </c>
      <c r="D787" s="41">
        <v>12182.93</v>
      </c>
      <c r="E787" s="34">
        <f t="shared" si="60"/>
        <v>12275.862068965253</v>
      </c>
      <c r="F787" s="35">
        <f t="shared" si="61"/>
        <v>12196.315192628725</v>
      </c>
      <c r="G787" s="35">
        <f t="shared" si="62"/>
        <v>11360.612117669898</v>
      </c>
      <c r="H787" s="36">
        <f t="shared" si="63"/>
        <v>13.385192628724326</v>
      </c>
      <c r="I787" s="36">
        <f t="shared" si="64"/>
        <v>179.16338170805602</v>
      </c>
    </row>
    <row r="788" spans="3:9" x14ac:dyDescent="0.25">
      <c r="C788" s="41">
        <v>2948.9</v>
      </c>
      <c r="D788" s="41">
        <v>12198.95</v>
      </c>
      <c r="E788" s="34">
        <f t="shared" si="60"/>
        <v>12229.00763358863</v>
      </c>
      <c r="F788" s="35">
        <f t="shared" si="61"/>
        <v>12211.202029601076</v>
      </c>
      <c r="G788" s="35">
        <f t="shared" si="62"/>
        <v>11367.383932520686</v>
      </c>
      <c r="H788" s="36">
        <f t="shared" si="63"/>
        <v>12.252029601075265</v>
      </c>
      <c r="I788" s="36">
        <f t="shared" si="64"/>
        <v>150.11222934562451</v>
      </c>
    </row>
    <row r="789" spans="3:9" x14ac:dyDescent="0.25">
      <c r="C789" s="41">
        <v>2951.52</v>
      </c>
      <c r="D789" s="41">
        <v>12214.98</v>
      </c>
      <c r="E789" s="34">
        <f t="shared" si="60"/>
        <v>12236.641221373668</v>
      </c>
      <c r="F789" s="35">
        <f t="shared" si="61"/>
        <v>12226.097740294545</v>
      </c>
      <c r="G789" s="35">
        <f t="shared" si="62"/>
        <v>11374.159783903653</v>
      </c>
      <c r="H789" s="36">
        <f t="shared" si="63"/>
        <v>11.117740294545001</v>
      </c>
      <c r="I789" s="36">
        <f t="shared" si="64"/>
        <v>123.60414925694957</v>
      </c>
    </row>
    <row r="790" spans="3:9" x14ac:dyDescent="0.25">
      <c r="C790" s="41">
        <v>2954.14</v>
      </c>
      <c r="D790" s="41">
        <v>12231</v>
      </c>
      <c r="E790" s="34">
        <f t="shared" si="60"/>
        <v>12229.00763358863</v>
      </c>
      <c r="F790" s="35">
        <f t="shared" si="61"/>
        <v>12241.002329998573</v>
      </c>
      <c r="G790" s="35">
        <f t="shared" si="62"/>
        <v>11380.93967422489</v>
      </c>
      <c r="H790" s="36">
        <f t="shared" si="63"/>
        <v>10.002329998573259</v>
      </c>
      <c r="I790" s="36">
        <f t="shared" si="64"/>
        <v>100.04660540035853</v>
      </c>
    </row>
    <row r="791" spans="3:9" x14ac:dyDescent="0.25">
      <c r="C791" s="41">
        <v>2956.76</v>
      </c>
      <c r="D791" s="41">
        <v>12247.02</v>
      </c>
      <c r="E791" s="34">
        <f t="shared" si="60"/>
        <v>12229.007633586507</v>
      </c>
      <c r="F791" s="35">
        <f t="shared" si="61"/>
        <v>12255.915804005737</v>
      </c>
      <c r="G791" s="35">
        <f t="shared" si="62"/>
        <v>11387.723605891915</v>
      </c>
      <c r="H791" s="36">
        <f t="shared" si="63"/>
        <v>8.8958040057368635</v>
      </c>
      <c r="I791" s="36">
        <f t="shared" si="64"/>
        <v>79.135328908484027</v>
      </c>
    </row>
    <row r="792" spans="3:9" x14ac:dyDescent="0.25">
      <c r="C792" s="41">
        <v>2959.38</v>
      </c>
      <c r="D792" s="41">
        <v>12263.04</v>
      </c>
      <c r="E792" s="34">
        <f t="shared" si="60"/>
        <v>12229.00763358863</v>
      </c>
      <c r="F792" s="35">
        <f t="shared" si="61"/>
        <v>12270.838167611784</v>
      </c>
      <c r="G792" s="35">
        <f t="shared" si="62"/>
        <v>11394.511581313693</v>
      </c>
      <c r="H792" s="36">
        <f t="shared" si="63"/>
        <v>7.7981676117833558</v>
      </c>
      <c r="I792" s="36">
        <f t="shared" si="64"/>
        <v>60.811418101466927</v>
      </c>
    </row>
    <row r="793" spans="3:9" x14ac:dyDescent="0.25">
      <c r="C793" s="41">
        <v>2961.99</v>
      </c>
      <c r="D793" s="41">
        <v>12279.07</v>
      </c>
      <c r="E793" s="34">
        <f t="shared" si="60"/>
        <v>12283.524904215208</v>
      </c>
      <c r="F793" s="35">
        <f t="shared" si="61"/>
        <v>12285.712419662417</v>
      </c>
      <c r="G793" s="35">
        <f t="shared" si="62"/>
        <v>11401.277671458829</v>
      </c>
      <c r="H793" s="36">
        <f t="shared" si="63"/>
        <v>6.6424196624175238</v>
      </c>
      <c r="I793" s="36">
        <f t="shared" si="64"/>
        <v>44.121738971670929</v>
      </c>
    </row>
    <row r="794" spans="3:9" x14ac:dyDescent="0.25">
      <c r="C794" s="41">
        <v>2964.61</v>
      </c>
      <c r="D794" s="41">
        <v>12295.09</v>
      </c>
      <c r="E794" s="34">
        <f t="shared" si="60"/>
        <v>12229.007633586507</v>
      </c>
      <c r="F794" s="35">
        <f t="shared" si="61"/>
        <v>12300.652544385766</v>
      </c>
      <c r="G794" s="35">
        <f t="shared" si="62"/>
        <v>11408.073726165556</v>
      </c>
      <c r="H794" s="36">
        <f t="shared" si="63"/>
        <v>5.5625443857661594</v>
      </c>
      <c r="I794" s="36">
        <f t="shared" si="64"/>
        <v>30.94190004361862</v>
      </c>
    </row>
    <row r="795" spans="3:9" x14ac:dyDescent="0.25">
      <c r="C795" s="41">
        <v>2967.23</v>
      </c>
      <c r="D795" s="41">
        <v>12311.11</v>
      </c>
      <c r="E795" s="34">
        <f t="shared" si="60"/>
        <v>12229.00763358863</v>
      </c>
      <c r="F795" s="35">
        <f t="shared" si="61"/>
        <v>12315.601574593902</v>
      </c>
      <c r="G795" s="35">
        <f t="shared" si="62"/>
        <v>11414.873831853311</v>
      </c>
      <c r="H795" s="36">
        <f t="shared" si="63"/>
        <v>4.4915745939015324</v>
      </c>
      <c r="I795" s="36">
        <f t="shared" si="64"/>
        <v>20.174242332581716</v>
      </c>
    </row>
    <row r="796" spans="3:9" x14ac:dyDescent="0.25">
      <c r="C796" s="41">
        <v>2969.85</v>
      </c>
      <c r="D796" s="41">
        <v>12327.14</v>
      </c>
      <c r="E796" s="34">
        <f t="shared" si="60"/>
        <v>12236.641221373668</v>
      </c>
      <c r="F796" s="35">
        <f t="shared" si="61"/>
        <v>12330.559515595203</v>
      </c>
      <c r="G796" s="35">
        <f t="shared" si="62"/>
        <v>11421.6779909368</v>
      </c>
      <c r="H796" s="36">
        <f t="shared" si="63"/>
        <v>3.4195155952038476</v>
      </c>
      <c r="I796" s="36">
        <f t="shared" si="64"/>
        <v>11.693086905842325</v>
      </c>
    </row>
    <row r="797" spans="3:9" x14ac:dyDescent="0.25">
      <c r="C797" s="41">
        <v>2972.47</v>
      </c>
      <c r="D797" s="41">
        <v>12343.16</v>
      </c>
      <c r="E797" s="34">
        <f t="shared" si="60"/>
        <v>12229.00763358863</v>
      </c>
      <c r="F797" s="35">
        <f t="shared" si="61"/>
        <v>12345.526372701193</v>
      </c>
      <c r="G797" s="35">
        <f t="shared" si="62"/>
        <v>11428.486205832161</v>
      </c>
      <c r="H797" s="36">
        <f t="shared" si="63"/>
        <v>2.3663727011935407</v>
      </c>
      <c r="I797" s="36">
        <f t="shared" si="64"/>
        <v>5.5997197609540139</v>
      </c>
    </row>
    <row r="798" spans="3:9" x14ac:dyDescent="0.25">
      <c r="C798" s="41">
        <v>2975.08</v>
      </c>
      <c r="D798" s="41">
        <v>12359.18</v>
      </c>
      <c r="E798" s="34">
        <f t="shared" si="60"/>
        <v>12275.862068965253</v>
      </c>
      <c r="F798" s="35">
        <f t="shared" si="61"/>
        <v>12360.444974799202</v>
      </c>
      <c r="G798" s="35">
        <f t="shared" si="62"/>
        <v>11435.272470196309</v>
      </c>
      <c r="H798" s="36">
        <f t="shared" si="63"/>
        <v>1.2649747992018092</v>
      </c>
      <c r="I798" s="36">
        <f t="shared" si="64"/>
        <v>1.6001612426156575</v>
      </c>
    </row>
    <row r="799" spans="3:9" x14ac:dyDescent="0.25">
      <c r="C799" s="41">
        <v>2977.7</v>
      </c>
      <c r="D799" s="41">
        <v>12375.21</v>
      </c>
      <c r="E799" s="34">
        <f t="shared" si="60"/>
        <v>12236.641221373668</v>
      </c>
      <c r="F799" s="35">
        <f t="shared" si="61"/>
        <v>12375.429645980208</v>
      </c>
      <c r="G799" s="35">
        <f t="shared" si="62"/>
        <v>11442.088788466348</v>
      </c>
      <c r="H799" s="36">
        <f t="shared" si="63"/>
        <v>0.2196459802089521</v>
      </c>
      <c r="I799" s="36">
        <f t="shared" si="64"/>
        <v>4.8244356621951374E-2</v>
      </c>
    </row>
    <row r="800" spans="3:9" x14ac:dyDescent="0.25">
      <c r="C800" s="41">
        <v>2980.32</v>
      </c>
      <c r="D800" s="41">
        <v>12391.23</v>
      </c>
      <c r="E800" s="34">
        <f t="shared" si="60"/>
        <v>12229.007633586507</v>
      </c>
      <c r="F800" s="35">
        <f t="shared" si="61"/>
        <v>12390.423249199188</v>
      </c>
      <c r="G800" s="35">
        <f t="shared" si="62"/>
        <v>11448.90916979609</v>
      </c>
      <c r="H800" s="36">
        <f t="shared" si="63"/>
        <v>-0.80675080081164197</v>
      </c>
      <c r="I800" s="36">
        <f t="shared" si="64"/>
        <v>0.65084685461022562</v>
      </c>
    </row>
    <row r="801" spans="3:9" x14ac:dyDescent="0.25">
      <c r="C801" s="41">
        <v>2982.94</v>
      </c>
      <c r="D801" s="41">
        <v>12407.25</v>
      </c>
      <c r="E801" s="34">
        <f t="shared" si="60"/>
        <v>12229.00763358863</v>
      </c>
      <c r="F801" s="35">
        <f t="shared" si="61"/>
        <v>12405.425789780333</v>
      </c>
      <c r="G801" s="35">
        <f t="shared" si="62"/>
        <v>11455.733616607435</v>
      </c>
      <c r="H801" s="36">
        <f t="shared" si="63"/>
        <v>-1.8242102196672931</v>
      </c>
      <c r="I801" s="36">
        <f t="shared" si="64"/>
        <v>3.327742925538594</v>
      </c>
    </row>
    <row r="802" spans="3:9" x14ac:dyDescent="0.25">
      <c r="C802" s="41">
        <v>2985.56</v>
      </c>
      <c r="D802" s="41">
        <v>12423.27</v>
      </c>
      <c r="E802" s="34">
        <f t="shared" si="60"/>
        <v>12229.00763358863</v>
      </c>
      <c r="F802" s="35">
        <f t="shared" si="61"/>
        <v>12420.437273051017</v>
      </c>
      <c r="G802" s="35">
        <f t="shared" si="62"/>
        <v>11462.562131323732</v>
      </c>
      <c r="H802" s="36">
        <f t="shared" si="63"/>
        <v>-2.8327269489836908</v>
      </c>
      <c r="I802" s="36">
        <f t="shared" si="64"/>
        <v>8.0243419674984491</v>
      </c>
    </row>
    <row r="803" spans="3:9" x14ac:dyDescent="0.25">
      <c r="C803" s="41">
        <v>2988.17</v>
      </c>
      <c r="D803" s="41">
        <v>12439.3</v>
      </c>
      <c r="E803" s="34">
        <f t="shared" si="60"/>
        <v>12283.524904213067</v>
      </c>
      <c r="F803" s="35">
        <f t="shared" si="61"/>
        <v>12435.400357433415</v>
      </c>
      <c r="G803" s="35">
        <f t="shared" si="62"/>
        <v>11469.368630059664</v>
      </c>
      <c r="H803" s="36">
        <f t="shared" si="63"/>
        <v>-3.8996425665845891</v>
      </c>
      <c r="I803" s="36">
        <f t="shared" si="64"/>
        <v>15.207212147118442</v>
      </c>
    </row>
    <row r="804" spans="3:9" x14ac:dyDescent="0.25">
      <c r="C804" s="41">
        <v>2990.79</v>
      </c>
      <c r="D804" s="41">
        <v>12455.32</v>
      </c>
      <c r="E804" s="34">
        <f t="shared" si="60"/>
        <v>12229.00763358863</v>
      </c>
      <c r="F804" s="35">
        <f t="shared" si="61"/>
        <v>12450.429707894727</v>
      </c>
      <c r="G804" s="35">
        <f t="shared" si="62"/>
        <v>11476.205272312189</v>
      </c>
      <c r="H804" s="36">
        <f t="shared" si="63"/>
        <v>-4.8902921052722377</v>
      </c>
      <c r="I804" s="36">
        <f t="shared" si="64"/>
        <v>23.914956874887974</v>
      </c>
    </row>
    <row r="805" spans="3:9" x14ac:dyDescent="0.25">
      <c r="C805" s="41">
        <v>2993.41</v>
      </c>
      <c r="D805" s="41">
        <v>12471.34</v>
      </c>
      <c r="E805" s="34">
        <f t="shared" si="60"/>
        <v>12229.00763358863</v>
      </c>
      <c r="F805" s="35">
        <f t="shared" si="61"/>
        <v>12465.468017026365</v>
      </c>
      <c r="G805" s="35">
        <f t="shared" si="62"/>
        <v>11483.045989739105</v>
      </c>
      <c r="H805" s="36">
        <f t="shared" si="63"/>
        <v>-5.8719829736346583</v>
      </c>
      <c r="I805" s="36">
        <f t="shared" si="64"/>
        <v>34.480184042655324</v>
      </c>
    </row>
    <row r="806" spans="3:9" x14ac:dyDescent="0.25">
      <c r="C806" s="41">
        <v>2996.03</v>
      </c>
      <c r="D806" s="41">
        <v>12487.37</v>
      </c>
      <c r="E806" s="34">
        <f t="shared" si="60"/>
        <v>12236.641221372931</v>
      </c>
      <c r="F806" s="35">
        <f t="shared" si="61"/>
        <v>12480.515290168396</v>
      </c>
      <c r="G806" s="35">
        <f t="shared" si="62"/>
        <v>11489.89078476953</v>
      </c>
      <c r="H806" s="36">
        <f t="shared" si="63"/>
        <v>-6.8547098316048505</v>
      </c>
      <c r="I806" s="36">
        <f t="shared" si="64"/>
        <v>46.987046875500198</v>
      </c>
    </row>
    <row r="807" spans="3:9" x14ac:dyDescent="0.25">
      <c r="C807" s="41">
        <v>2998.65</v>
      </c>
      <c r="D807" s="41">
        <v>12503.39</v>
      </c>
      <c r="E807" s="34">
        <f t="shared" si="60"/>
        <v>12229.007633587242</v>
      </c>
      <c r="F807" s="35">
        <f t="shared" si="61"/>
        <v>12495.571532664075</v>
      </c>
      <c r="G807" s="35">
        <f t="shared" si="62"/>
        <v>11496.739659834037</v>
      </c>
      <c r="H807" s="36">
        <f t="shared" si="63"/>
        <v>-7.8184673359246517</v>
      </c>
      <c r="I807" s="36">
        <f t="shared" si="64"/>
        <v>61.128431482920718</v>
      </c>
    </row>
    <row r="808" spans="3:9" x14ac:dyDescent="0.25">
      <c r="C808" s="41">
        <v>3001.27</v>
      </c>
      <c r="D808" s="41">
        <v>12519.41</v>
      </c>
      <c r="E808" s="34">
        <f t="shared" si="60"/>
        <v>12229.00763358863</v>
      </c>
      <c r="F808" s="35">
        <f t="shared" si="61"/>
        <v>12510.636749859837</v>
      </c>
      <c r="G808" s="35">
        <f t="shared" si="62"/>
        <v>11503.592617364648</v>
      </c>
      <c r="H808" s="36">
        <f t="shared" si="63"/>
        <v>-8.7732501401624177</v>
      </c>
      <c r="I808" s="36">
        <f t="shared" si="64"/>
        <v>76.969918021859883</v>
      </c>
    </row>
    <row r="809" spans="3:9" x14ac:dyDescent="0.25">
      <c r="C809" s="41">
        <v>3003.88</v>
      </c>
      <c r="D809" s="41">
        <v>12535.44</v>
      </c>
      <c r="E809" s="34">
        <f t="shared" si="60"/>
        <v>12283.524904214462</v>
      </c>
      <c r="F809" s="35">
        <f t="shared" si="61"/>
        <v>12525.653394922461</v>
      </c>
      <c r="G809" s="35">
        <f t="shared" si="62"/>
        <v>11510.423480108224</v>
      </c>
      <c r="H809" s="36">
        <f t="shared" si="63"/>
        <v>-9.7866050775392068</v>
      </c>
      <c r="I809" s="36">
        <f t="shared" si="64"/>
        <v>95.777638943716184</v>
      </c>
    </row>
    <row r="810" spans="3:9" x14ac:dyDescent="0.25">
      <c r="C810" s="41">
        <v>3006.5</v>
      </c>
      <c r="D810" s="41">
        <v>12551.46</v>
      </c>
      <c r="E810" s="34">
        <f t="shared" si="60"/>
        <v>12229.007633587242</v>
      </c>
      <c r="F810" s="35">
        <f t="shared" si="61"/>
        <v>12540.736543264842</v>
      </c>
      <c r="G810" s="35">
        <f t="shared" si="62"/>
        <v>11517.284594267752</v>
      </c>
      <c r="H810" s="36">
        <f t="shared" si="63"/>
        <v>-10.723456735157015</v>
      </c>
      <c r="I810" s="36">
        <f t="shared" si="64"/>
        <v>114.99252435078435</v>
      </c>
    </row>
    <row r="811" spans="3:9" x14ac:dyDescent="0.25">
      <c r="C811" s="41">
        <v>3009.12</v>
      </c>
      <c r="D811" s="41">
        <v>12567.48</v>
      </c>
      <c r="E811" s="34">
        <f t="shared" si="60"/>
        <v>12229.00763358863</v>
      </c>
      <c r="F811" s="35">
        <f t="shared" si="61"/>
        <v>12555.828682345302</v>
      </c>
      <c r="G811" s="35">
        <f t="shared" si="62"/>
        <v>11524.149798188844</v>
      </c>
      <c r="H811" s="36">
        <f t="shared" si="63"/>
        <v>-11.651317654697777</v>
      </c>
      <c r="I811" s="36">
        <f t="shared" si="64"/>
        <v>135.75320309067212</v>
      </c>
    </row>
    <row r="812" spans="3:9" x14ac:dyDescent="0.25">
      <c r="C812" s="41">
        <v>3011.74</v>
      </c>
      <c r="D812" s="41">
        <v>12583.51</v>
      </c>
      <c r="E812" s="34">
        <f t="shared" si="60"/>
        <v>12236.641221375057</v>
      </c>
      <c r="F812" s="35">
        <f t="shared" si="61"/>
        <v>12570.929817523023</v>
      </c>
      <c r="G812" s="35">
        <f t="shared" si="62"/>
        <v>11531.019094309317</v>
      </c>
      <c r="H812" s="36">
        <f t="shared" si="63"/>
        <v>-12.580182476976915</v>
      </c>
      <c r="I812" s="36">
        <f t="shared" si="64"/>
        <v>158.26099115403704</v>
      </c>
    </row>
    <row r="813" spans="3:9" x14ac:dyDescent="0.25">
      <c r="C813" s="41">
        <v>3014.36</v>
      </c>
      <c r="D813" s="41">
        <v>12599.53</v>
      </c>
      <c r="E813" s="34">
        <f t="shared" si="60"/>
        <v>12229.007633586507</v>
      </c>
      <c r="F813" s="35">
        <f t="shared" si="61"/>
        <v>12586.039954160384</v>
      </c>
      <c r="G813" s="35">
        <f t="shared" si="62"/>
        <v>11537.892485068442</v>
      </c>
      <c r="H813" s="36">
        <f t="shared" si="63"/>
        <v>-13.490045839616869</v>
      </c>
      <c r="I813" s="36">
        <f t="shared" si="64"/>
        <v>181.98133675496439</v>
      </c>
    </row>
    <row r="814" spans="3:9" x14ac:dyDescent="0.25">
      <c r="C814" s="41">
        <v>3016.97</v>
      </c>
      <c r="D814" s="41">
        <v>12615.55</v>
      </c>
      <c r="E814" s="34">
        <f t="shared" si="60"/>
        <v>12275.862068965998</v>
      </c>
      <c r="F814" s="35">
        <f t="shared" si="61"/>
        <v>12601.101373838741</v>
      </c>
      <c r="G814" s="35">
        <f t="shared" si="62"/>
        <v>11544.743715161261</v>
      </c>
      <c r="H814" s="36">
        <f t="shared" si="63"/>
        <v>-14.448626161258289</v>
      </c>
      <c r="I814" s="36">
        <f t="shared" si="64"/>
        <v>208.76279794779745</v>
      </c>
    </row>
    <row r="815" spans="3:9" x14ac:dyDescent="0.25">
      <c r="C815" s="41">
        <v>3019.59</v>
      </c>
      <c r="D815" s="41">
        <v>12631.57</v>
      </c>
      <c r="E815" s="34">
        <f t="shared" si="60"/>
        <v>12229.007633586507</v>
      </c>
      <c r="F815" s="35">
        <f t="shared" si="61"/>
        <v>12616.229495087411</v>
      </c>
      <c r="G815" s="35">
        <f t="shared" si="62"/>
        <v>11551.625286869647</v>
      </c>
      <c r="H815" s="36">
        <f t="shared" si="63"/>
        <v>-15.340504912588585</v>
      </c>
      <c r="I815" s="36">
        <f t="shared" si="64"/>
        <v>235.33109097315452</v>
      </c>
    </row>
    <row r="816" spans="3:9" x14ac:dyDescent="0.25">
      <c r="C816" s="41">
        <v>3022.21</v>
      </c>
      <c r="D816" s="41">
        <v>12647.6</v>
      </c>
      <c r="E816" s="34">
        <f t="shared" si="60"/>
        <v>12236.641221375057</v>
      </c>
      <c r="F816" s="35">
        <f t="shared" si="61"/>
        <v>12631.366633881527</v>
      </c>
      <c r="G816" s="35">
        <f t="shared" si="62"/>
        <v>11558.510960533895</v>
      </c>
      <c r="H816" s="36">
        <f t="shared" si="63"/>
        <v>-16.233366118472986</v>
      </c>
      <c r="I816" s="36">
        <f t="shared" si="64"/>
        <v>263.52217553638673</v>
      </c>
    </row>
    <row r="817" spans="3:9" x14ac:dyDescent="0.25">
      <c r="C817" s="41">
        <v>3024.83</v>
      </c>
      <c r="D817" s="41">
        <v>12663.62</v>
      </c>
      <c r="E817" s="34">
        <f t="shared" si="60"/>
        <v>12229.00763358863</v>
      </c>
      <c r="F817" s="35">
        <f t="shared" si="61"/>
        <v>12646.512795596262</v>
      </c>
      <c r="G817" s="35">
        <f t="shared" si="62"/>
        <v>11565.400738599094</v>
      </c>
      <c r="H817" s="36">
        <f t="shared" si="63"/>
        <v>-17.107204403739161</v>
      </c>
      <c r="I817" s="36">
        <f t="shared" si="64"/>
        <v>292.65644251131255</v>
      </c>
    </row>
    <row r="818" spans="3:9" x14ac:dyDescent="0.25">
      <c r="C818" s="41">
        <v>3027.45</v>
      </c>
      <c r="D818" s="41">
        <v>12679.64</v>
      </c>
      <c r="E818" s="34">
        <f t="shared" si="60"/>
        <v>12229.007633587242</v>
      </c>
      <c r="F818" s="35">
        <f t="shared" si="61"/>
        <v>12661.667985609982</v>
      </c>
      <c r="G818" s="35">
        <f t="shared" si="62"/>
        <v>11572.294623511789</v>
      </c>
      <c r="H818" s="36">
        <f t="shared" si="63"/>
        <v>-17.972014390017648</v>
      </c>
      <c r="I818" s="36">
        <f t="shared" si="64"/>
        <v>322.99330123500141</v>
      </c>
    </row>
    <row r="819" spans="3:9" x14ac:dyDescent="0.25">
      <c r="C819" s="41">
        <v>3030.07</v>
      </c>
      <c r="D819" s="41">
        <v>12695.67</v>
      </c>
      <c r="E819" s="34">
        <f t="shared" si="60"/>
        <v>12236.641221372931</v>
      </c>
      <c r="F819" s="35">
        <f t="shared" si="61"/>
        <v>12676.832209304261</v>
      </c>
      <c r="G819" s="35">
        <f t="shared" si="62"/>
        <v>11579.192617719984</v>
      </c>
      <c r="H819" s="36">
        <f t="shared" si="63"/>
        <v>-18.837790695739386</v>
      </c>
      <c r="I819" s="36">
        <f t="shared" si="64"/>
        <v>354.86235829648541</v>
      </c>
    </row>
    <row r="820" spans="3:9" x14ac:dyDescent="0.25">
      <c r="C820" s="41">
        <v>3032.68</v>
      </c>
      <c r="D820" s="41">
        <v>12711.69</v>
      </c>
      <c r="E820" s="34">
        <f t="shared" si="60"/>
        <v>12275.862068967392</v>
      </c>
      <c r="F820" s="35">
        <f t="shared" si="61"/>
        <v>12691.947541656129</v>
      </c>
      <c r="G820" s="35">
        <f t="shared" si="62"/>
        <v>11586.06837193729</v>
      </c>
      <c r="H820" s="36">
        <f t="shared" si="63"/>
        <v>-19.742458343871476</v>
      </c>
      <c r="I820" s="36">
        <f t="shared" si="64"/>
        <v>389.76466145950047</v>
      </c>
    </row>
    <row r="821" spans="3:9" x14ac:dyDescent="0.25">
      <c r="C821" s="41">
        <v>3035.33</v>
      </c>
      <c r="D821" s="41">
        <v>12727.71</v>
      </c>
      <c r="E821" s="34">
        <f t="shared" si="60"/>
        <v>12090.56603773439</v>
      </c>
      <c r="F821" s="35">
        <f t="shared" si="61"/>
        <v>12707.303709549926</v>
      </c>
      <c r="G821" s="35">
        <f t="shared" si="62"/>
        <v>11593.05367888917</v>
      </c>
      <c r="H821" s="36">
        <f t="shared" si="63"/>
        <v>-20.406290450073357</v>
      </c>
      <c r="I821" s="36">
        <f t="shared" si="64"/>
        <v>416.41668993275505</v>
      </c>
    </row>
    <row r="822" spans="3:9" x14ac:dyDescent="0.25">
      <c r="C822" s="41">
        <v>3038.12</v>
      </c>
      <c r="D822" s="41">
        <v>12743.74</v>
      </c>
      <c r="E822" s="34">
        <f t="shared" si="60"/>
        <v>11491.039426523917</v>
      </c>
      <c r="F822" s="35">
        <f t="shared" si="61"/>
        <v>12723.481151717118</v>
      </c>
      <c r="G822" s="35">
        <f t="shared" si="62"/>
        <v>11600.412572072393</v>
      </c>
      <c r="H822" s="36">
        <f t="shared" si="63"/>
        <v>-20.258848282881445</v>
      </c>
      <c r="I822" s="36">
        <f t="shared" si="64"/>
        <v>410.42093374880847</v>
      </c>
    </row>
    <row r="823" spans="3:9" x14ac:dyDescent="0.25">
      <c r="C823" s="41">
        <v>3040.9</v>
      </c>
      <c r="D823" s="41">
        <v>12759.76</v>
      </c>
      <c r="E823" s="34">
        <f t="shared" si="60"/>
        <v>11525.179856114592</v>
      </c>
      <c r="F823" s="35">
        <f t="shared" si="61"/>
        <v>12739.61082398343</v>
      </c>
      <c r="G823" s="35">
        <f t="shared" si="62"/>
        <v>11607.749735392863</v>
      </c>
      <c r="H823" s="36">
        <f t="shared" si="63"/>
        <v>-20.149176016569982</v>
      </c>
      <c r="I823" s="36">
        <f t="shared" si="64"/>
        <v>405.98929414671898</v>
      </c>
    </row>
    <row r="824" spans="3:9" x14ac:dyDescent="0.25">
      <c r="C824" s="41">
        <v>3043.69</v>
      </c>
      <c r="D824" s="41">
        <v>12775.78</v>
      </c>
      <c r="E824" s="34">
        <f t="shared" si="60"/>
        <v>11483.870967742399</v>
      </c>
      <c r="F824" s="35">
        <f t="shared" si="61"/>
        <v>12755.808773655441</v>
      </c>
      <c r="G824" s="35">
        <f t="shared" si="62"/>
        <v>11615.117957154478</v>
      </c>
      <c r="H824" s="36">
        <f t="shared" si="63"/>
        <v>-19.971226344559909</v>
      </c>
      <c r="I824" s="36">
        <f t="shared" si="64"/>
        <v>398.84988170564372</v>
      </c>
    </row>
    <row r="825" spans="3:9" x14ac:dyDescent="0.25">
      <c r="C825" s="41">
        <v>3046.48</v>
      </c>
      <c r="D825" s="41">
        <v>12791.8</v>
      </c>
      <c r="E825" s="34">
        <f t="shared" si="60"/>
        <v>11483.870967741095</v>
      </c>
      <c r="F825" s="35">
        <f t="shared" si="61"/>
        <v>12772.017005258745</v>
      </c>
      <c r="G825" s="35">
        <f t="shared" si="62"/>
        <v>11622.490856023469</v>
      </c>
      <c r="H825" s="36">
        <f t="shared" si="63"/>
        <v>-19.782994741253788</v>
      </c>
      <c r="I825" s="36">
        <f t="shared" si="64"/>
        <v>391.366880932475</v>
      </c>
    </row>
    <row r="826" spans="3:9" x14ac:dyDescent="0.25">
      <c r="C826" s="41">
        <v>3049.26</v>
      </c>
      <c r="D826" s="41">
        <v>12807.83</v>
      </c>
      <c r="E826" s="34">
        <f t="shared" si="60"/>
        <v>11532.374100719066</v>
      </c>
      <c r="F826" s="35">
        <f t="shared" si="61"/>
        <v>12788.177376043939</v>
      </c>
      <c r="G826" s="35">
        <f t="shared" si="62"/>
        <v>11629.841983672726</v>
      </c>
      <c r="H826" s="36">
        <f t="shared" si="63"/>
        <v>-19.652623956060779</v>
      </c>
      <c r="I826" s="36">
        <f t="shared" si="64"/>
        <v>386.22562835833401</v>
      </c>
    </row>
    <row r="827" spans="3:9" x14ac:dyDescent="0.25">
      <c r="C827" s="41">
        <v>3052.05</v>
      </c>
      <c r="D827" s="41">
        <v>12823.85</v>
      </c>
      <c r="E827" s="34">
        <f t="shared" si="60"/>
        <v>11483.870967742399</v>
      </c>
      <c r="F827" s="35">
        <f t="shared" si="61"/>
        <v>12804.406154182614</v>
      </c>
      <c r="G827" s="35">
        <f t="shared" si="62"/>
        <v>11637.224228874562</v>
      </c>
      <c r="H827" s="36">
        <f t="shared" si="63"/>
        <v>-19.443845817386318</v>
      </c>
      <c r="I827" s="36">
        <f t="shared" si="64"/>
        <v>378.06314017029143</v>
      </c>
    </row>
    <row r="828" spans="3:9" x14ac:dyDescent="0.25">
      <c r="C828" s="41">
        <v>3054.84</v>
      </c>
      <c r="D828" s="41">
        <v>12839.87</v>
      </c>
      <c r="E828" s="34">
        <f t="shared" si="60"/>
        <v>11483.870967742399</v>
      </c>
      <c r="F828" s="35">
        <f t="shared" si="61"/>
        <v>12820.645233821486</v>
      </c>
      <c r="G828" s="35">
        <f t="shared" si="62"/>
        <v>11644.611160085398</v>
      </c>
      <c r="H828" s="36">
        <f t="shared" si="63"/>
        <v>-19.224766178514983</v>
      </c>
      <c r="I828" s="36">
        <f t="shared" si="64"/>
        <v>369.59163461857361</v>
      </c>
    </row>
    <row r="829" spans="3:9" x14ac:dyDescent="0.25">
      <c r="C829" s="41">
        <v>3057.62</v>
      </c>
      <c r="D829" s="41">
        <v>12855.9</v>
      </c>
      <c r="E829" s="34">
        <f t="shared" si="60"/>
        <v>11532.374100719644</v>
      </c>
      <c r="F829" s="35">
        <f t="shared" si="61"/>
        <v>12836.836361551979</v>
      </c>
      <c r="G829" s="35">
        <f t="shared" si="62"/>
        <v>11651.976278640805</v>
      </c>
      <c r="H829" s="36">
        <f t="shared" si="63"/>
        <v>-19.063638448020356</v>
      </c>
      <c r="I829" s="36">
        <f t="shared" si="64"/>
        <v>363.42231087683996</v>
      </c>
    </row>
    <row r="830" spans="3:9" x14ac:dyDescent="0.25">
      <c r="C830" s="41">
        <v>3060.41</v>
      </c>
      <c r="D830" s="41">
        <v>12871.92</v>
      </c>
      <c r="E830" s="34">
        <f t="shared" si="60"/>
        <v>11483.870967742399</v>
      </c>
      <c r="F830" s="35">
        <f t="shared" si="61"/>
        <v>12853.096026831065</v>
      </c>
      <c r="G830" s="35">
        <f t="shared" si="62"/>
        <v>11659.372573972734</v>
      </c>
      <c r="H830" s="36">
        <f t="shared" si="63"/>
        <v>-18.823973168935481</v>
      </c>
      <c r="I830" s="36">
        <f t="shared" si="64"/>
        <v>354.34196586480289</v>
      </c>
    </row>
    <row r="831" spans="3:9" x14ac:dyDescent="0.25">
      <c r="C831" s="41">
        <v>3063.2</v>
      </c>
      <c r="D831" s="41">
        <v>12887.94</v>
      </c>
      <c r="E831" s="34">
        <f t="shared" si="60"/>
        <v>11483.870967742399</v>
      </c>
      <c r="F831" s="35">
        <f t="shared" si="61"/>
        <v>12869.366013216502</v>
      </c>
      <c r="G831" s="35">
        <f t="shared" si="62"/>
        <v>11666.773564232228</v>
      </c>
      <c r="H831" s="36">
        <f t="shared" si="63"/>
        <v>-18.573986783498185</v>
      </c>
      <c r="I831" s="36">
        <f t="shared" si="64"/>
        <v>344.99298503356528</v>
      </c>
    </row>
    <row r="832" spans="3:9" x14ac:dyDescent="0.25">
      <c r="C832" s="41">
        <v>3065.98</v>
      </c>
      <c r="D832" s="41">
        <v>12903.97</v>
      </c>
      <c r="E832" s="34">
        <f t="shared" si="60"/>
        <v>11532.374100717756</v>
      </c>
      <c r="F832" s="35">
        <f t="shared" si="61"/>
        <v>12885.587956429919</v>
      </c>
      <c r="G832" s="35">
        <f t="shared" si="62"/>
        <v>11674.152700321734</v>
      </c>
      <c r="H832" s="36">
        <f t="shared" si="63"/>
        <v>-18.382043570079986</v>
      </c>
      <c r="I832" s="36">
        <f t="shared" si="64"/>
        <v>337.89952581231898</v>
      </c>
    </row>
    <row r="833" spans="3:9" x14ac:dyDescent="0.25">
      <c r="C833" s="41">
        <v>3068.77</v>
      </c>
      <c r="D833" s="41">
        <v>12919.99</v>
      </c>
      <c r="E833" s="34">
        <f t="shared" si="60"/>
        <v>11483.870967742399</v>
      </c>
      <c r="F833" s="35">
        <f t="shared" si="61"/>
        <v>12901.878567634829</v>
      </c>
      <c r="G833" s="35">
        <f t="shared" si="62"/>
        <v>11681.563072524423</v>
      </c>
      <c r="H833" s="36">
        <f t="shared" si="63"/>
        <v>-18.111432365170913</v>
      </c>
      <c r="I833" s="36">
        <f t="shared" si="64"/>
        <v>328.02398231816045</v>
      </c>
    </row>
    <row r="834" spans="3:9" x14ac:dyDescent="0.25">
      <c r="C834" s="41">
        <v>3071.56</v>
      </c>
      <c r="D834" s="41">
        <v>12936.01</v>
      </c>
      <c r="E834" s="34">
        <f t="shared" si="60"/>
        <v>11483.870967742399</v>
      </c>
      <c r="F834" s="35">
        <f t="shared" si="61"/>
        <v>12918.179519589559</v>
      </c>
      <c r="G834" s="35">
        <f t="shared" si="62"/>
        <v>11688.978148590217</v>
      </c>
      <c r="H834" s="36">
        <f t="shared" si="63"/>
        <v>-17.830480410440941</v>
      </c>
      <c r="I834" s="36">
        <f t="shared" si="64"/>
        <v>317.92603166711814</v>
      </c>
    </row>
    <row r="835" spans="3:9" x14ac:dyDescent="0.25">
      <c r="C835" s="41">
        <v>3074.34</v>
      </c>
      <c r="D835" s="41">
        <v>12952.04</v>
      </c>
      <c r="E835" s="34">
        <f t="shared" si="60"/>
        <v>11532.374100719066</v>
      </c>
      <c r="F835" s="35">
        <f t="shared" si="61"/>
        <v>12934.432336934928</v>
      </c>
      <c r="G835" s="35">
        <f t="shared" si="62"/>
        <v>11696.371328892448</v>
      </c>
      <c r="H835" s="36">
        <f t="shared" si="63"/>
        <v>-17.607663065073211</v>
      </c>
      <c r="I835" s="36">
        <f t="shared" si="64"/>
        <v>310.02979861314333</v>
      </c>
    </row>
    <row r="836" spans="3:9" x14ac:dyDescent="0.25">
      <c r="C836" s="41">
        <v>3077.13</v>
      </c>
      <c r="D836" s="41">
        <v>12968.06</v>
      </c>
      <c r="E836" s="34">
        <f t="shared" si="60"/>
        <v>11483.870967741095</v>
      </c>
      <c r="F836" s="35">
        <f t="shared" si="61"/>
        <v>12950.753952962959</v>
      </c>
      <c r="G836" s="35">
        <f t="shared" si="62"/>
        <v>11703.795804757458</v>
      </c>
      <c r="H836" s="36">
        <f t="shared" si="63"/>
        <v>-17.306047037040116</v>
      </c>
      <c r="I836" s="36">
        <f t="shared" si="64"/>
        <v>299.49926404824498</v>
      </c>
    </row>
    <row r="837" spans="3:9" x14ac:dyDescent="0.25">
      <c r="C837" s="41">
        <v>3079.92</v>
      </c>
      <c r="D837" s="41">
        <v>12984.08</v>
      </c>
      <c r="E837" s="34">
        <f t="shared" si="60"/>
        <v>11483.870967742399</v>
      </c>
      <c r="F837" s="35">
        <f t="shared" si="61"/>
        <v>12967.085929421666</v>
      </c>
      <c r="G837" s="35">
        <f t="shared" si="62"/>
        <v>11711.224993438116</v>
      </c>
      <c r="H837" s="36">
        <f t="shared" si="63"/>
        <v>-16.994070578333776</v>
      </c>
      <c r="I837" s="36">
        <f t="shared" si="64"/>
        <v>288.79843482138966</v>
      </c>
    </row>
    <row r="838" spans="3:9" x14ac:dyDescent="0.25">
      <c r="C838" s="41">
        <v>3082.7</v>
      </c>
      <c r="D838" s="41">
        <v>13000.1</v>
      </c>
      <c r="E838" s="34">
        <f t="shared" si="60"/>
        <v>11525.179856116478</v>
      </c>
      <c r="F838" s="35">
        <f t="shared" si="61"/>
        <v>12983.369679659641</v>
      </c>
      <c r="G838" s="35">
        <f t="shared" si="62"/>
        <v>11718.632244682478</v>
      </c>
      <c r="H838" s="36">
        <f t="shared" si="63"/>
        <v>-16.730320340358958</v>
      </c>
      <c r="I838" s="36">
        <f t="shared" si="64"/>
        <v>279.90361869102867</v>
      </c>
    </row>
    <row r="839" spans="3:9" x14ac:dyDescent="0.25">
      <c r="C839" s="41">
        <v>3085.49</v>
      </c>
      <c r="D839" s="41">
        <v>13016.13</v>
      </c>
      <c r="E839" s="34">
        <f t="shared" si="60"/>
        <v>11491.039426522613</v>
      </c>
      <c r="F839" s="35">
        <f t="shared" si="61"/>
        <v>12999.722359520187</v>
      </c>
      <c r="G839" s="35">
        <f t="shared" si="62"/>
        <v>11726.070851052356</v>
      </c>
      <c r="H839" s="36">
        <f t="shared" si="63"/>
        <v>-16.407640479812471</v>
      </c>
      <c r="I839" s="36">
        <f t="shared" si="64"/>
        <v>269.21066611478085</v>
      </c>
    </row>
    <row r="840" spans="3:9" x14ac:dyDescent="0.25">
      <c r="C840" s="41">
        <v>3088.28</v>
      </c>
      <c r="D840" s="41">
        <v>13032.15</v>
      </c>
      <c r="E840" s="34">
        <f t="shared" si="60"/>
        <v>11483.870967740526</v>
      </c>
      <c r="F840" s="35">
        <f t="shared" si="61"/>
        <v>13016.085419529712</v>
      </c>
      <c r="G840" s="35">
        <f t="shared" si="62"/>
        <v>11733.514179207468</v>
      </c>
      <c r="H840" s="36">
        <f t="shared" si="63"/>
        <v>-16.064580470287183</v>
      </c>
      <c r="I840" s="36">
        <f t="shared" si="64"/>
        <v>258.07074568633237</v>
      </c>
    </row>
    <row r="841" spans="3:9" x14ac:dyDescent="0.25">
      <c r="C841" s="41">
        <v>3091.06</v>
      </c>
      <c r="D841" s="41">
        <v>13048.17</v>
      </c>
      <c r="E841" s="34">
        <f t="shared" ref="E841:E904" si="65">IF(C841="","",2*(D841-D840)/((C841-C840)/1000))</f>
        <v>11525.179856116478</v>
      </c>
      <c r="F841" s="35">
        <f t="shared" ref="F841:F904" si="66">IF(C841="","",F$7+(F$9/F$10)*(EXP(F$10*(C841-F$8)/2000)-1))</f>
        <v>13032.400161532796</v>
      </c>
      <c r="G841" s="35">
        <f t="shared" ref="G841:G904" si="67">IF(E841="","",F$9+(F841-F$7)*F$10)</f>
        <v>11740.935528174243</v>
      </c>
      <c r="H841" s="36">
        <f t="shared" ref="H841:H904" si="68">IF(F841="","",F841-D841)</f>
        <v>-15.769838467203954</v>
      </c>
      <c r="I841" s="36">
        <f t="shared" ref="I841:I904" si="69">IF(H841="","",H841^2)</f>
        <v>248.68780528170555</v>
      </c>
    </row>
    <row r="842" spans="3:9" x14ac:dyDescent="0.25">
      <c r="C842" s="41">
        <v>3093.85</v>
      </c>
      <c r="D842" s="41">
        <v>13064.2</v>
      </c>
      <c r="E842" s="34">
        <f t="shared" si="65"/>
        <v>11491.039426523917</v>
      </c>
      <c r="F842" s="35">
        <f t="shared" si="66"/>
        <v>13048.783964347555</v>
      </c>
      <c r="G842" s="35">
        <f t="shared" si="67"/>
        <v>11748.388291942629</v>
      </c>
      <c r="H842" s="36">
        <f t="shared" si="68"/>
        <v>-15.416035652446226</v>
      </c>
      <c r="I842" s="36">
        <f t="shared" si="69"/>
        <v>237.65415523749314</v>
      </c>
    </row>
    <row r="843" spans="3:9" x14ac:dyDescent="0.25">
      <c r="C843" s="41">
        <v>3096.64</v>
      </c>
      <c r="D843" s="41">
        <v>13080.22</v>
      </c>
      <c r="E843" s="34">
        <f t="shared" si="65"/>
        <v>11483.870967741095</v>
      </c>
      <c r="F843" s="35">
        <f t="shared" si="66"/>
        <v>13065.178167067124</v>
      </c>
      <c r="G843" s="35">
        <f t="shared" si="67"/>
        <v>11755.8457864829</v>
      </c>
      <c r="H843" s="36">
        <f t="shared" si="68"/>
        <v>-15.041832932874968</v>
      </c>
      <c r="I843" s="36">
        <f t="shared" si="69"/>
        <v>226.25673798052196</v>
      </c>
    </row>
    <row r="844" spans="3:9" x14ac:dyDescent="0.25">
      <c r="C844" s="41">
        <v>3099.42</v>
      </c>
      <c r="D844" s="41">
        <v>13096.24</v>
      </c>
      <c r="E844" s="34">
        <f t="shared" si="65"/>
        <v>11525.179856114592</v>
      </c>
      <c r="F844" s="35">
        <f t="shared" si="66"/>
        <v>13081.523959819857</v>
      </c>
      <c r="G844" s="35">
        <f t="shared" si="67"/>
        <v>11763.281260003332</v>
      </c>
      <c r="H844" s="36">
        <f t="shared" si="68"/>
        <v>-14.716040180142954</v>
      </c>
      <c r="I844" s="36">
        <f t="shared" si="69"/>
        <v>216.56183858358187</v>
      </c>
    </row>
    <row r="845" spans="3:9" x14ac:dyDescent="0.25">
      <c r="C845" s="41">
        <v>3102.21</v>
      </c>
      <c r="D845" s="41">
        <v>13112.27</v>
      </c>
      <c r="E845" s="34">
        <f t="shared" si="65"/>
        <v>11491.039426523917</v>
      </c>
      <c r="F845" s="35">
        <f t="shared" si="66"/>
        <v>13097.938944823049</v>
      </c>
      <c r="G845" s="35">
        <f t="shared" si="67"/>
        <v>11770.748208115047</v>
      </c>
      <c r="H845" s="36">
        <f t="shared" si="68"/>
        <v>-14.33105517695185</v>
      </c>
      <c r="I845" s="36">
        <f t="shared" si="69"/>
        <v>205.37914248483841</v>
      </c>
    </row>
    <row r="846" spans="3:9" x14ac:dyDescent="0.25">
      <c r="C846" s="41">
        <v>3105</v>
      </c>
      <c r="D846" s="41">
        <v>13128.29</v>
      </c>
      <c r="E846" s="34">
        <f t="shared" si="65"/>
        <v>11483.870967742399</v>
      </c>
      <c r="F846" s="35">
        <f t="shared" si="66"/>
        <v>13114.364349524494</v>
      </c>
      <c r="G846" s="35">
        <f t="shared" si="67"/>
        <v>11778.219896002411</v>
      </c>
      <c r="H846" s="36">
        <f t="shared" si="68"/>
        <v>-13.9256504755067</v>
      </c>
      <c r="I846" s="36">
        <f t="shared" si="69"/>
        <v>193.92374116597998</v>
      </c>
    </row>
    <row r="847" spans="3:9" x14ac:dyDescent="0.25">
      <c r="C847" s="41">
        <v>3107.78</v>
      </c>
      <c r="D847" s="41">
        <v>13144.31</v>
      </c>
      <c r="E847" s="34">
        <f t="shared" si="65"/>
        <v>11525.179856113284</v>
      </c>
      <c r="F847" s="35">
        <f t="shared" si="66"/>
        <v>13130.741252123671</v>
      </c>
      <c r="G847" s="35">
        <f t="shared" si="67"/>
        <v>11785.669520958807</v>
      </c>
      <c r="H847" s="36">
        <f t="shared" si="68"/>
        <v>-13.568747876328416</v>
      </c>
      <c r="I847" s="36">
        <f t="shared" si="69"/>
        <v>184.11091893136691</v>
      </c>
    </row>
    <row r="848" spans="3:9" x14ac:dyDescent="0.25">
      <c r="C848" s="41">
        <v>3110.57</v>
      </c>
      <c r="D848" s="41">
        <v>13160.33</v>
      </c>
      <c r="E848" s="34">
        <f t="shared" si="65"/>
        <v>11483.870967742399</v>
      </c>
      <c r="F848" s="35">
        <f t="shared" si="66"/>
        <v>13147.18747866225</v>
      </c>
      <c r="G848" s="35">
        <f t="shared" si="67"/>
        <v>11793.150680409955</v>
      </c>
      <c r="H848" s="36">
        <f t="shared" si="68"/>
        <v>-13.142521337749713</v>
      </c>
      <c r="I848" s="36">
        <f t="shared" si="69"/>
        <v>172.7258671132065</v>
      </c>
    </row>
    <row r="849" spans="3:9" x14ac:dyDescent="0.25">
      <c r="C849" s="41">
        <v>3113.36</v>
      </c>
      <c r="D849" s="41">
        <v>13176.36</v>
      </c>
      <c r="E849" s="34">
        <f t="shared" si="65"/>
        <v>11491.039426523917</v>
      </c>
      <c r="F849" s="35">
        <f t="shared" si="66"/>
        <v>13163.644144730206</v>
      </c>
      <c r="G849" s="35">
        <f t="shared" si="67"/>
        <v>11800.636588657655</v>
      </c>
      <c r="H849" s="36">
        <f t="shared" si="68"/>
        <v>-12.715855269794702</v>
      </c>
      <c r="I849" s="36">
        <f t="shared" si="69"/>
        <v>161.69297524236569</v>
      </c>
    </row>
    <row r="850" spans="3:9" x14ac:dyDescent="0.25">
      <c r="C850" s="41">
        <v>3116.14</v>
      </c>
      <c r="D850" s="41">
        <v>13192.38</v>
      </c>
      <c r="E850" s="34">
        <f t="shared" si="65"/>
        <v>11525.17985611517</v>
      </c>
      <c r="F850" s="35">
        <f t="shared" si="66"/>
        <v>13180.052216385096</v>
      </c>
      <c r="G850" s="35">
        <f t="shared" si="67"/>
        <v>11808.100391983491</v>
      </c>
      <c r="H850" s="36">
        <f t="shared" si="68"/>
        <v>-12.327783614902728</v>
      </c>
      <c r="I850" s="36">
        <f t="shared" si="69"/>
        <v>151.97424885586418</v>
      </c>
    </row>
    <row r="851" spans="3:9" x14ac:dyDescent="0.25">
      <c r="C851" s="41">
        <v>3118.93</v>
      </c>
      <c r="D851" s="41">
        <v>13208.4</v>
      </c>
      <c r="E851" s="34">
        <f t="shared" si="65"/>
        <v>11483.870967742399</v>
      </c>
      <c r="F851" s="35">
        <f t="shared" si="66"/>
        <v>13196.529743918982</v>
      </c>
      <c r="G851" s="35">
        <f t="shared" si="67"/>
        <v>11815.59578982156</v>
      </c>
      <c r="H851" s="36">
        <f t="shared" si="68"/>
        <v>-11.870256081017942</v>
      </c>
      <c r="I851" s="36">
        <f t="shared" si="69"/>
        <v>140.90297942894344</v>
      </c>
    </row>
    <row r="852" spans="3:9" x14ac:dyDescent="0.25">
      <c r="C852" s="41">
        <v>3121.72</v>
      </c>
      <c r="D852" s="41">
        <v>13224.43</v>
      </c>
      <c r="E852" s="34">
        <f t="shared" si="65"/>
        <v>11491.039426523917</v>
      </c>
      <c r="F852" s="35">
        <f t="shared" si="66"/>
        <v>13213.017730851087</v>
      </c>
      <c r="G852" s="35">
        <f t="shared" si="67"/>
        <v>11823.095945494242</v>
      </c>
      <c r="H852" s="36">
        <f t="shared" si="68"/>
        <v>-11.412269148913765</v>
      </c>
      <c r="I852" s="36">
        <f t="shared" si="69"/>
        <v>130.23988712724892</v>
      </c>
    </row>
    <row r="853" spans="3:9" x14ac:dyDescent="0.25">
      <c r="C853" s="41">
        <v>3124.5</v>
      </c>
      <c r="D853" s="41">
        <v>13240.45</v>
      </c>
      <c r="E853" s="34">
        <f t="shared" si="65"/>
        <v>11525.179856114592</v>
      </c>
      <c r="F853" s="35">
        <f t="shared" si="66"/>
        <v>13229.457030883665</v>
      </c>
      <c r="G853" s="35">
        <f t="shared" si="67"/>
        <v>11830.573954174257</v>
      </c>
      <c r="H853" s="36">
        <f t="shared" si="68"/>
        <v>-10.992969116336099</v>
      </c>
      <c r="I853" s="36">
        <f t="shared" si="69"/>
        <v>120.84536999271926</v>
      </c>
    </row>
    <row r="854" spans="3:9" x14ac:dyDescent="0.25">
      <c r="C854" s="41">
        <v>3127.29</v>
      </c>
      <c r="D854" s="41">
        <v>13256.47</v>
      </c>
      <c r="E854" s="34">
        <f t="shared" si="65"/>
        <v>11483.870967741095</v>
      </c>
      <c r="F854" s="35">
        <f t="shared" si="66"/>
        <v>13245.965918985932</v>
      </c>
      <c r="G854" s="35">
        <f t="shared" si="67"/>
        <v>11838.083617498211</v>
      </c>
      <c r="H854" s="36">
        <f t="shared" si="68"/>
        <v>-10.504081014067197</v>
      </c>
      <c r="I854" s="36">
        <f t="shared" si="69"/>
        <v>110.33571795008694</v>
      </c>
    </row>
    <row r="855" spans="3:9" x14ac:dyDescent="0.25">
      <c r="C855" s="41">
        <v>3130.08</v>
      </c>
      <c r="D855" s="41">
        <v>13272.5</v>
      </c>
      <c r="E855" s="34">
        <f t="shared" si="65"/>
        <v>11491.039426523917</v>
      </c>
      <c r="F855" s="35">
        <f t="shared" si="66"/>
        <v>13262.485286393094</v>
      </c>
      <c r="G855" s="35">
        <f t="shared" si="67"/>
        <v>11845.598047712047</v>
      </c>
      <c r="H855" s="36">
        <f t="shared" si="68"/>
        <v>-10.014713606906298</v>
      </c>
      <c r="I855" s="36">
        <f t="shared" si="69"/>
        <v>100.29448862835416</v>
      </c>
    </row>
    <row r="856" spans="3:9" x14ac:dyDescent="0.25">
      <c r="C856" s="41">
        <v>3132.86</v>
      </c>
      <c r="D856" s="41">
        <v>13288.52</v>
      </c>
      <c r="E856" s="34">
        <f t="shared" si="65"/>
        <v>11525.179856114592</v>
      </c>
      <c r="F856" s="35">
        <f t="shared" si="66"/>
        <v>13278.955874238218</v>
      </c>
      <c r="G856" s="35">
        <f t="shared" si="67"/>
        <v>11853.090288782329</v>
      </c>
      <c r="H856" s="36">
        <f t="shared" si="68"/>
        <v>-9.5641257617826341</v>
      </c>
      <c r="I856" s="36">
        <f t="shared" si="69"/>
        <v>91.472501587194245</v>
      </c>
    </row>
    <row r="857" spans="3:9" x14ac:dyDescent="0.25">
      <c r="C857" s="41">
        <v>3135.69</v>
      </c>
      <c r="D857" s="41">
        <v>13304.54</v>
      </c>
      <c r="E857" s="34">
        <f t="shared" si="65"/>
        <v>11321.55477031862</v>
      </c>
      <c r="F857" s="35">
        <f t="shared" si="66"/>
        <v>13295.733395959265</v>
      </c>
      <c r="G857" s="35">
        <f t="shared" si="67"/>
        <v>11860.722149798949</v>
      </c>
      <c r="H857" s="36">
        <f t="shared" si="68"/>
        <v>-8.8066040407356923</v>
      </c>
      <c r="I857" s="36">
        <f t="shared" si="69"/>
        <v>77.556274730302221</v>
      </c>
    </row>
    <row r="858" spans="3:9" x14ac:dyDescent="0.25">
      <c r="C858" s="41">
        <v>3138.6</v>
      </c>
      <c r="D858" s="41">
        <v>13320.57</v>
      </c>
      <c r="E858" s="34">
        <f t="shared" si="65"/>
        <v>11017.182130583942</v>
      </c>
      <c r="F858" s="35">
        <f t="shared" si="66"/>
        <v>13312.996458915904</v>
      </c>
      <c r="G858" s="35">
        <f t="shared" si="67"/>
        <v>11868.574876762843</v>
      </c>
      <c r="H858" s="36">
        <f t="shared" si="68"/>
        <v>-7.5735410840952682</v>
      </c>
      <c r="I858" s="36">
        <f t="shared" si="69"/>
        <v>57.358524552478933</v>
      </c>
    </row>
    <row r="859" spans="3:9" x14ac:dyDescent="0.25">
      <c r="C859" s="41">
        <v>3141.51</v>
      </c>
      <c r="D859" s="41">
        <v>13336.59</v>
      </c>
      <c r="E859" s="34">
        <f t="shared" si="65"/>
        <v>11010.309278349647</v>
      </c>
      <c r="F859" s="35">
        <f t="shared" si="66"/>
        <v>13330.270951372222</v>
      </c>
      <c r="G859" s="35">
        <f t="shared" si="67"/>
        <v>11876.432802846994</v>
      </c>
      <c r="H859" s="36">
        <f t="shared" si="68"/>
        <v>-6.3190486277781019</v>
      </c>
      <c r="I859" s="36">
        <f t="shared" si="69"/>
        <v>39.930375560224313</v>
      </c>
    </row>
    <row r="860" spans="3:9" x14ac:dyDescent="0.25">
      <c r="C860" s="41">
        <v>3144.43</v>
      </c>
      <c r="D860" s="41">
        <v>13352.61</v>
      </c>
      <c r="E860" s="34">
        <f t="shared" si="65"/>
        <v>10972.602739727761</v>
      </c>
      <c r="F860" s="35">
        <f t="shared" si="66"/>
        <v>13347.616302442666</v>
      </c>
      <c r="G860" s="35">
        <f t="shared" si="67"/>
        <v>11884.322961528058</v>
      </c>
      <c r="H860" s="36">
        <f t="shared" si="68"/>
        <v>-4.993697557334599</v>
      </c>
      <c r="I860" s="36">
        <f t="shared" si="69"/>
        <v>24.937015294129541</v>
      </c>
    </row>
    <row r="861" spans="3:9" x14ac:dyDescent="0.25">
      <c r="C861" s="41">
        <v>3147.34</v>
      </c>
      <c r="D861" s="41">
        <v>13368.63</v>
      </c>
      <c r="E861" s="34">
        <f t="shared" si="65"/>
        <v>11010.309278348395</v>
      </c>
      <c r="F861" s="35">
        <f t="shared" si="66"/>
        <v>13364.913715946732</v>
      </c>
      <c r="G861" s="35">
        <f t="shared" si="67"/>
        <v>11892.191314077672</v>
      </c>
      <c r="H861" s="36">
        <f t="shared" si="68"/>
        <v>-3.7162840532673727</v>
      </c>
      <c r="I861" s="36">
        <f t="shared" si="69"/>
        <v>13.810767164569372</v>
      </c>
    </row>
    <row r="862" spans="3:9" x14ac:dyDescent="0.25">
      <c r="C862" s="41">
        <v>3150.25</v>
      </c>
      <c r="D862" s="41">
        <v>13384.66</v>
      </c>
      <c r="E862" s="34">
        <f t="shared" si="65"/>
        <v>11017.182130585194</v>
      </c>
      <c r="F862" s="35">
        <f t="shared" si="66"/>
        <v>13382.222581693226</v>
      </c>
      <c r="G862" s="35">
        <f t="shared" si="67"/>
        <v>11900.064876092903</v>
      </c>
      <c r="H862" s="36">
        <f t="shared" si="68"/>
        <v>-2.4374183067739068</v>
      </c>
      <c r="I862" s="36">
        <f t="shared" si="69"/>
        <v>5.941008002196579</v>
      </c>
    </row>
    <row r="863" spans="3:9" x14ac:dyDescent="0.25">
      <c r="C863" s="41">
        <v>3153.17</v>
      </c>
      <c r="D863" s="41">
        <v>13400.68</v>
      </c>
      <c r="E863" s="34">
        <f t="shared" si="65"/>
        <v>10972.602739726053</v>
      </c>
      <c r="F863" s="35">
        <f t="shared" si="66"/>
        <v>13399.602447050387</v>
      </c>
      <c r="G863" s="35">
        <f t="shared" si="67"/>
        <v>11907.970734842411</v>
      </c>
      <c r="H863" s="36">
        <f t="shared" si="68"/>
        <v>-1.0775529496131639</v>
      </c>
      <c r="I863" s="36">
        <f t="shared" si="69"/>
        <v>1.1611203592200299</v>
      </c>
    </row>
    <row r="864" spans="3:9" x14ac:dyDescent="0.25">
      <c r="C864" s="41">
        <v>3156.08</v>
      </c>
      <c r="D864" s="41">
        <v>13416.7</v>
      </c>
      <c r="E864" s="34">
        <f t="shared" si="65"/>
        <v>11010.309278351366</v>
      </c>
      <c r="F864" s="35">
        <f t="shared" si="66"/>
        <v>13416.934279453602</v>
      </c>
      <c r="G864" s="35">
        <f t="shared" si="67"/>
        <v>11915.854744069991</v>
      </c>
      <c r="H864" s="36">
        <f t="shared" si="68"/>
        <v>0.23427945360162994</v>
      </c>
      <c r="I864" s="36">
        <f t="shared" si="69"/>
        <v>5.4886862379878276E-2</v>
      </c>
    </row>
    <row r="865" spans="3:9" x14ac:dyDescent="0.25">
      <c r="C865" s="41">
        <v>3158.99</v>
      </c>
      <c r="D865" s="41">
        <v>13432.73</v>
      </c>
      <c r="E865" s="34">
        <f t="shared" si="65"/>
        <v>11017.182130583942</v>
      </c>
      <c r="F865" s="35">
        <f t="shared" si="66"/>
        <v>13434.27758688725</v>
      </c>
      <c r="G865" s="35">
        <f t="shared" si="67"/>
        <v>11923.743973129134</v>
      </c>
      <c r="H865" s="36">
        <f t="shared" si="68"/>
        <v>1.5475868872508727</v>
      </c>
      <c r="I865" s="36">
        <f t="shared" si="69"/>
        <v>2.3950251735908452</v>
      </c>
    </row>
    <row r="866" spans="3:9" x14ac:dyDescent="0.25">
      <c r="C866" s="41">
        <v>3161.91</v>
      </c>
      <c r="D866" s="41">
        <v>13448.75</v>
      </c>
      <c r="E866" s="34">
        <f t="shared" si="65"/>
        <v>10972.602739726053</v>
      </c>
      <c r="F866" s="35">
        <f t="shared" si="66"/>
        <v>13451.692035208673</v>
      </c>
      <c r="G866" s="35">
        <f t="shared" si="67"/>
        <v>11931.665563187542</v>
      </c>
      <c r="H866" s="36">
        <f t="shared" si="68"/>
        <v>2.942035208672678</v>
      </c>
      <c r="I866" s="36">
        <f t="shared" si="69"/>
        <v>8.6555711690696882</v>
      </c>
    </row>
    <row r="867" spans="3:9" x14ac:dyDescent="0.25">
      <c r="C867" s="41">
        <v>3164.82</v>
      </c>
      <c r="D867" s="41">
        <v>13464.77</v>
      </c>
      <c r="E867" s="34">
        <f t="shared" si="65"/>
        <v>11010.309278349647</v>
      </c>
      <c r="F867" s="35">
        <f t="shared" si="66"/>
        <v>13469.058354998768</v>
      </c>
      <c r="G867" s="35">
        <f t="shared" si="67"/>
        <v>11939.565260247204</v>
      </c>
      <c r="H867" s="36">
        <f t="shared" si="68"/>
        <v>4.2883549987673177</v>
      </c>
      <c r="I867" s="36">
        <f t="shared" si="69"/>
        <v>18.389988595452643</v>
      </c>
    </row>
    <row r="868" spans="3:9" x14ac:dyDescent="0.25">
      <c r="C868" s="41">
        <v>3167.73</v>
      </c>
      <c r="D868" s="41">
        <v>13480.8</v>
      </c>
      <c r="E868" s="34">
        <f t="shared" si="65"/>
        <v>11017.182130583942</v>
      </c>
      <c r="F868" s="35">
        <f t="shared" si="66"/>
        <v>13486.436172652651</v>
      </c>
      <c r="G868" s="35">
        <f t="shared" si="67"/>
        <v>11947.470187525001</v>
      </c>
      <c r="H868" s="36">
        <f t="shared" si="68"/>
        <v>5.6361726526520215</v>
      </c>
      <c r="I868" s="36">
        <f t="shared" si="69"/>
        <v>31.766442170502525</v>
      </c>
    </row>
    <row r="869" spans="3:9" x14ac:dyDescent="0.25">
      <c r="C869" s="41">
        <v>3170.65</v>
      </c>
      <c r="D869" s="41">
        <v>13496.82</v>
      </c>
      <c r="E869" s="34">
        <f t="shared" si="65"/>
        <v>10972.602739726053</v>
      </c>
      <c r="F869" s="35">
        <f t="shared" si="66"/>
        <v>13503.885272752525</v>
      </c>
      <c r="G869" s="35">
        <f t="shared" si="67"/>
        <v>11955.407540194927</v>
      </c>
      <c r="H869" s="36">
        <f t="shared" si="68"/>
        <v>7.0652727525248338</v>
      </c>
      <c r="I869" s="36">
        <f t="shared" si="69"/>
        <v>49.918079067569842</v>
      </c>
    </row>
    <row r="870" spans="3:9" x14ac:dyDescent="0.25">
      <c r="C870" s="41">
        <v>3173.56</v>
      </c>
      <c r="D870" s="41">
        <v>13512.84</v>
      </c>
      <c r="E870" s="34">
        <f t="shared" si="65"/>
        <v>11010.309278351366</v>
      </c>
      <c r="F870" s="35">
        <f t="shared" si="66"/>
        <v>13521.28614855351</v>
      </c>
      <c r="G870" s="35">
        <f t="shared" si="67"/>
        <v>11963.322956302776</v>
      </c>
      <c r="H870" s="36">
        <f t="shared" si="68"/>
        <v>8.4461485535102838</v>
      </c>
      <c r="I870" s="36">
        <f t="shared" si="69"/>
        <v>71.337425387963862</v>
      </c>
    </row>
    <row r="871" spans="3:9" x14ac:dyDescent="0.25">
      <c r="C871" s="41">
        <v>3176.47</v>
      </c>
      <c r="D871" s="41">
        <v>13528.87</v>
      </c>
      <c r="E871" s="34">
        <f t="shared" si="65"/>
        <v>11017.182130585194</v>
      </c>
      <c r="F871" s="35">
        <f t="shared" si="66"/>
        <v>13538.698545097064</v>
      </c>
      <c r="G871" s="35">
        <f t="shared" si="67"/>
        <v>11971.243613036</v>
      </c>
      <c r="H871" s="36">
        <f t="shared" si="68"/>
        <v>9.8285450970633974</v>
      </c>
      <c r="I871" s="36">
        <f t="shared" si="69"/>
        <v>96.600298725008955</v>
      </c>
    </row>
    <row r="872" spans="3:9" x14ac:dyDescent="0.25">
      <c r="C872" s="41">
        <v>3179.38</v>
      </c>
      <c r="D872" s="41">
        <v>13544.89</v>
      </c>
      <c r="E872" s="34">
        <f t="shared" si="65"/>
        <v>11010.309278348395</v>
      </c>
      <c r="F872" s="35">
        <f t="shared" si="66"/>
        <v>13556.122470010832</v>
      </c>
      <c r="G872" s="35">
        <f t="shared" si="67"/>
        <v>11979.169513864314</v>
      </c>
      <c r="H872" s="36">
        <f t="shared" si="68"/>
        <v>11.232470010832913</v>
      </c>
      <c r="I872" s="36">
        <f t="shared" si="69"/>
        <v>126.16838254426072</v>
      </c>
    </row>
    <row r="873" spans="3:9" x14ac:dyDescent="0.25">
      <c r="C873" s="41">
        <v>3182.3</v>
      </c>
      <c r="D873" s="41">
        <v>13560.91</v>
      </c>
      <c r="E873" s="34">
        <f t="shared" si="65"/>
        <v>10972.602739726053</v>
      </c>
      <c r="F873" s="35">
        <f t="shared" si="66"/>
        <v>13573.617866498958</v>
      </c>
      <c r="G873" s="35">
        <f t="shared" si="67"/>
        <v>11987.127926116613</v>
      </c>
      <c r="H873" s="36">
        <f t="shared" si="68"/>
        <v>12.707866498958538</v>
      </c>
      <c r="I873" s="36">
        <f t="shared" si="69"/>
        <v>161.48987095535273</v>
      </c>
    </row>
    <row r="874" spans="3:9" x14ac:dyDescent="0.25">
      <c r="C874" s="41">
        <v>3185.21</v>
      </c>
      <c r="D874" s="41">
        <v>13576.93</v>
      </c>
      <c r="E874" s="34">
        <f t="shared" si="65"/>
        <v>11010.309278351366</v>
      </c>
      <c r="F874" s="35">
        <f t="shared" si="66"/>
        <v>13591.064910738274</v>
      </c>
      <c r="G874" s="35">
        <f t="shared" si="67"/>
        <v>11995.064343604197</v>
      </c>
      <c r="H874" s="36">
        <f t="shared" si="68"/>
        <v>14.134910738273902</v>
      </c>
      <c r="I874" s="36">
        <f t="shared" si="69"/>
        <v>199.79570157897086</v>
      </c>
    </row>
    <row r="875" spans="3:9" x14ac:dyDescent="0.25">
      <c r="C875" s="41">
        <v>3188.12</v>
      </c>
      <c r="D875" s="41">
        <v>13592.96</v>
      </c>
      <c r="E875" s="34">
        <f t="shared" si="65"/>
        <v>11017.182130583942</v>
      </c>
      <c r="F875" s="35">
        <f t="shared" si="66"/>
        <v>13608.523506287289</v>
      </c>
      <c r="G875" s="35">
        <f t="shared" si="67"/>
        <v>12003.006015621721</v>
      </c>
      <c r="H875" s="36">
        <f t="shared" si="68"/>
        <v>15.563506287289783</v>
      </c>
      <c r="I875" s="36">
        <f t="shared" si="69"/>
        <v>242.22272795450863</v>
      </c>
    </row>
    <row r="876" spans="3:9" x14ac:dyDescent="0.25">
      <c r="C876" s="41">
        <v>3191.04</v>
      </c>
      <c r="D876" s="41">
        <v>13608.98</v>
      </c>
      <c r="E876" s="34">
        <f t="shared" si="65"/>
        <v>10972.602739726053</v>
      </c>
      <c r="F876" s="35">
        <f t="shared" si="66"/>
        <v>13626.053715626889</v>
      </c>
      <c r="G876" s="35">
        <f t="shared" si="67"/>
        <v>12010.980263755413</v>
      </c>
      <c r="H876" s="36">
        <f t="shared" si="68"/>
        <v>17.07371562688968</v>
      </c>
      <c r="I876" s="36">
        <f t="shared" si="69"/>
        <v>291.51176530789684</v>
      </c>
    </row>
    <row r="877" spans="3:9" x14ac:dyDescent="0.25">
      <c r="C877" s="41">
        <v>3193.95</v>
      </c>
      <c r="D877" s="41">
        <v>13625</v>
      </c>
      <c r="E877" s="34">
        <f t="shared" si="65"/>
        <v>11010.309278351366</v>
      </c>
      <c r="F877" s="35">
        <f t="shared" si="66"/>
        <v>13643.535476504972</v>
      </c>
      <c r="G877" s="35">
        <f t="shared" si="67"/>
        <v>12018.932473358571</v>
      </c>
      <c r="H877" s="36">
        <f t="shared" si="68"/>
        <v>18.535476504972394</v>
      </c>
      <c r="I877" s="36">
        <f t="shared" si="69"/>
        <v>343.56388926638363</v>
      </c>
    </row>
    <row r="878" spans="3:9" x14ac:dyDescent="0.25">
      <c r="C878" s="41">
        <v>3196.86</v>
      </c>
      <c r="D878" s="41">
        <v>13641.03</v>
      </c>
      <c r="E878" s="34">
        <f t="shared" si="65"/>
        <v>11017.182130583473</v>
      </c>
      <c r="F878" s="35">
        <f t="shared" si="66"/>
        <v>13661.028811677888</v>
      </c>
      <c r="G878" s="35">
        <f t="shared" si="67"/>
        <v>12026.889947947282</v>
      </c>
      <c r="H878" s="36">
        <f t="shared" si="68"/>
        <v>19.998811677887716</v>
      </c>
      <c r="I878" s="36">
        <f t="shared" si="69"/>
        <v>399.95246852761807</v>
      </c>
    </row>
    <row r="879" spans="3:9" x14ac:dyDescent="0.25">
      <c r="C879" s="41">
        <v>3199.78</v>
      </c>
      <c r="D879" s="41">
        <v>13657.05</v>
      </c>
      <c r="E879" s="34">
        <f t="shared" si="65"/>
        <v>10972.602739724807</v>
      </c>
      <c r="F879" s="35">
        <f t="shared" si="66"/>
        <v>13678.593903140596</v>
      </c>
      <c r="G879" s="35">
        <f t="shared" si="67"/>
        <v>12034.880063473071</v>
      </c>
      <c r="H879" s="36">
        <f t="shared" si="68"/>
        <v>21.54390314059674</v>
      </c>
      <c r="I879" s="36">
        <f t="shared" si="69"/>
        <v>464.13976253141408</v>
      </c>
    </row>
    <row r="880" spans="3:9" x14ac:dyDescent="0.25">
      <c r="C880" s="41">
        <v>3202.69</v>
      </c>
      <c r="D880" s="41">
        <v>13673.07</v>
      </c>
      <c r="E880" s="34">
        <f t="shared" si="65"/>
        <v>11010.309278351366</v>
      </c>
      <c r="F880" s="35">
        <f t="shared" si="66"/>
        <v>13696.110449737622</v>
      </c>
      <c r="G880" s="35">
        <f t="shared" si="67"/>
        <v>12042.848096615409</v>
      </c>
      <c r="H880" s="36">
        <f t="shared" si="68"/>
        <v>23.040449737622112</v>
      </c>
      <c r="I880" s="36">
        <f t="shared" si="69"/>
        <v>530.86232411189087</v>
      </c>
    </row>
    <row r="881" spans="3:9" x14ac:dyDescent="0.25">
      <c r="C881" s="41">
        <v>3205.6</v>
      </c>
      <c r="D881" s="41">
        <v>13689.1</v>
      </c>
      <c r="E881" s="34">
        <f t="shared" si="65"/>
        <v>11017.182130585194</v>
      </c>
      <c r="F881" s="35">
        <f t="shared" si="66"/>
        <v>13713.638593660346</v>
      </c>
      <c r="G881" s="35">
        <f t="shared" si="67"/>
        <v>12050.821405219725</v>
      </c>
      <c r="H881" s="36">
        <f t="shared" si="68"/>
        <v>24.538593660345214</v>
      </c>
      <c r="I881" s="36">
        <f t="shared" si="69"/>
        <v>602.14257882753429</v>
      </c>
    </row>
    <row r="882" spans="3:9" x14ac:dyDescent="0.25">
      <c r="C882" s="41">
        <v>3208.52</v>
      </c>
      <c r="D882" s="41">
        <v>13705.12</v>
      </c>
      <c r="E882" s="34">
        <f t="shared" si="65"/>
        <v>10972.602739726053</v>
      </c>
      <c r="F882" s="35">
        <f t="shared" si="66"/>
        <v>13731.238636655635</v>
      </c>
      <c r="G882" s="35">
        <f t="shared" si="67"/>
        <v>12058.827419711009</v>
      </c>
      <c r="H882" s="36">
        <f t="shared" si="68"/>
        <v>26.118636655633964</v>
      </c>
      <c r="I882" s="36">
        <f t="shared" si="69"/>
        <v>682.18318074902606</v>
      </c>
    </row>
    <row r="883" spans="3:9" x14ac:dyDescent="0.25">
      <c r="C883" s="41">
        <v>3211.43</v>
      </c>
      <c r="D883" s="41">
        <v>13721.14</v>
      </c>
      <c r="E883" s="34">
        <f t="shared" si="65"/>
        <v>11010.309278350116</v>
      </c>
      <c r="F883" s="35">
        <f t="shared" si="66"/>
        <v>13748.790038189249</v>
      </c>
      <c r="G883" s="35">
        <f t="shared" si="67"/>
        <v>12066.811307878674</v>
      </c>
      <c r="H883" s="36">
        <f t="shared" si="68"/>
        <v>27.650038189249244</v>
      </c>
      <c r="I883" s="36">
        <f t="shared" si="69"/>
        <v>764.52461186694165</v>
      </c>
    </row>
    <row r="884" spans="3:9" x14ac:dyDescent="0.25">
      <c r="C884" s="41">
        <v>3214.34</v>
      </c>
      <c r="D884" s="41">
        <v>13737.16</v>
      </c>
      <c r="E884" s="34">
        <f t="shared" si="65"/>
        <v>11010.309278349647</v>
      </c>
      <c r="F884" s="35">
        <f t="shared" si="66"/>
        <v>13766.353060125255</v>
      </c>
      <c r="G884" s="35">
        <f t="shared" si="67"/>
        <v>12074.800482005581</v>
      </c>
      <c r="H884" s="36">
        <f t="shared" si="68"/>
        <v>29.193060125255215</v>
      </c>
      <c r="I884" s="36">
        <f t="shared" si="69"/>
        <v>852.23475947676604</v>
      </c>
    </row>
    <row r="885" spans="3:9" x14ac:dyDescent="0.25">
      <c r="C885" s="41">
        <v>3217.26</v>
      </c>
      <c r="D885" s="41">
        <v>13753.19</v>
      </c>
      <c r="E885" s="34">
        <f t="shared" si="65"/>
        <v>10979.452054794696</v>
      </c>
      <c r="F885" s="35">
        <f t="shared" si="66"/>
        <v>13783.988124200701</v>
      </c>
      <c r="G885" s="35">
        <f t="shared" si="67"/>
        <v>12082.822427098588</v>
      </c>
      <c r="H885" s="36">
        <f t="shared" si="68"/>
        <v>30.79812420070084</v>
      </c>
      <c r="I885" s="36">
        <f t="shared" si="69"/>
        <v>948.52445428179476</v>
      </c>
    </row>
    <row r="886" spans="3:9" x14ac:dyDescent="0.25">
      <c r="C886" s="41">
        <v>3220.17</v>
      </c>
      <c r="D886" s="41">
        <v>13769.21</v>
      </c>
      <c r="E886" s="34">
        <f t="shared" si="65"/>
        <v>11010.309278350116</v>
      </c>
      <c r="F886" s="35">
        <f t="shared" si="66"/>
        <v>13801.574450026274</v>
      </c>
      <c r="G886" s="35">
        <f t="shared" si="67"/>
        <v>12090.822201840369</v>
      </c>
      <c r="H886" s="36">
        <f t="shared" si="68"/>
        <v>32.364450026274426</v>
      </c>
      <c r="I886" s="36">
        <f t="shared" si="69"/>
        <v>1047.4576255032148</v>
      </c>
    </row>
    <row r="887" spans="3:9" x14ac:dyDescent="0.25">
      <c r="C887" s="41">
        <v>3223.08</v>
      </c>
      <c r="D887" s="41">
        <v>13785.23</v>
      </c>
      <c r="E887" s="34">
        <f t="shared" si="65"/>
        <v>11010.309278351366</v>
      </c>
      <c r="F887" s="35">
        <f t="shared" si="66"/>
        <v>13819.172419376846</v>
      </c>
      <c r="G887" s="35">
        <f t="shared" si="67"/>
        <v>12098.827273059545</v>
      </c>
      <c r="H887" s="36">
        <f t="shared" si="68"/>
        <v>33.942419376846374</v>
      </c>
      <c r="I887" s="36">
        <f t="shared" si="69"/>
        <v>1152.0878331537162</v>
      </c>
    </row>
    <row r="888" spans="3:9" x14ac:dyDescent="0.25">
      <c r="C888" s="41">
        <v>3226</v>
      </c>
      <c r="D888" s="41">
        <v>13801.26</v>
      </c>
      <c r="E888" s="34">
        <f t="shared" si="65"/>
        <v>10979.452054794696</v>
      </c>
      <c r="F888" s="35">
        <f t="shared" si="66"/>
        <v>13836.842574218424</v>
      </c>
      <c r="G888" s="35">
        <f t="shared" si="67"/>
        <v>12106.865180453455</v>
      </c>
      <c r="H888" s="36">
        <f t="shared" si="68"/>
        <v>35.58257421842427</v>
      </c>
      <c r="I888" s="36">
        <f t="shared" si="69"/>
        <v>1266.1195880096716</v>
      </c>
    </row>
    <row r="889" spans="3:9" x14ac:dyDescent="0.25">
      <c r="C889" s="41">
        <v>3228.91</v>
      </c>
      <c r="D889" s="41">
        <v>13817.28</v>
      </c>
      <c r="E889" s="34">
        <f t="shared" si="65"/>
        <v>11010.309278351366</v>
      </c>
      <c r="F889" s="35">
        <f t="shared" si="66"/>
        <v>13854.463893829328</v>
      </c>
      <c r="G889" s="35">
        <f t="shared" si="67"/>
        <v>12114.880873380922</v>
      </c>
      <c r="H889" s="36">
        <f t="shared" si="68"/>
        <v>37.183893829327644</v>
      </c>
      <c r="I889" s="36">
        <f t="shared" si="69"/>
        <v>1382.6419603107104</v>
      </c>
    </row>
    <row r="890" spans="3:9" x14ac:dyDescent="0.25">
      <c r="C890" s="41">
        <v>3231.82</v>
      </c>
      <c r="D890" s="41">
        <v>13833.3</v>
      </c>
      <c r="E890" s="34">
        <f t="shared" si="65"/>
        <v>11010.309278348395</v>
      </c>
      <c r="F890" s="35">
        <f t="shared" si="66"/>
        <v>13872.096880133869</v>
      </c>
      <c r="G890" s="35">
        <f t="shared" si="67"/>
        <v>12122.901873324874</v>
      </c>
      <c r="H890" s="36">
        <f t="shared" si="68"/>
        <v>38.796880133870218</v>
      </c>
      <c r="I890" s="36">
        <f t="shared" si="69"/>
        <v>1505.1979081218935</v>
      </c>
    </row>
    <row r="891" spans="3:9" x14ac:dyDescent="0.25">
      <c r="C891" s="41">
        <v>3234.74</v>
      </c>
      <c r="D891" s="41">
        <v>13849.33</v>
      </c>
      <c r="E891" s="34">
        <f t="shared" si="65"/>
        <v>10979.452054796404</v>
      </c>
      <c r="F891" s="35">
        <f t="shared" si="66"/>
        <v>13889.802195566204</v>
      </c>
      <c r="G891" s="35">
        <f t="shared" si="67"/>
        <v>12130.955774781933</v>
      </c>
      <c r="H891" s="36">
        <f t="shared" si="68"/>
        <v>40.472195566204391</v>
      </c>
      <c r="I891" s="36">
        <f t="shared" si="69"/>
        <v>1637.9986139490943</v>
      </c>
    </row>
    <row r="892" spans="3:9" x14ac:dyDescent="0.25">
      <c r="C892" s="41">
        <v>3237.51</v>
      </c>
      <c r="D892" s="41">
        <v>13865.35</v>
      </c>
      <c r="E892" s="34">
        <f t="shared" si="65"/>
        <v>11566.787003608601</v>
      </c>
      <c r="F892" s="35">
        <f t="shared" si="66"/>
        <v>13906.608863003275</v>
      </c>
      <c r="G892" s="35">
        <f t="shared" si="67"/>
        <v>12138.600893778937</v>
      </c>
      <c r="H892" s="36">
        <f t="shared" si="68"/>
        <v>41.25886300327511</v>
      </c>
      <c r="I892" s="36">
        <f t="shared" si="69"/>
        <v>1702.2937763230236</v>
      </c>
    </row>
    <row r="893" spans="3:9" x14ac:dyDescent="0.25">
      <c r="C893" s="41">
        <v>3240.28</v>
      </c>
      <c r="D893" s="41">
        <v>13881.37</v>
      </c>
      <c r="E893" s="34">
        <f t="shared" si="65"/>
        <v>11566.7870036105</v>
      </c>
      <c r="F893" s="35">
        <f t="shared" si="66"/>
        <v>13923.426122266321</v>
      </c>
      <c r="G893" s="35">
        <f t="shared" si="67"/>
        <v>12146.250830850095</v>
      </c>
      <c r="H893" s="36">
        <f t="shared" si="68"/>
        <v>42.056122266320017</v>
      </c>
      <c r="I893" s="36">
        <f t="shared" si="69"/>
        <v>1768.7174200796583</v>
      </c>
    </row>
    <row r="894" spans="3:9" x14ac:dyDescent="0.25">
      <c r="C894" s="41">
        <v>3243.05</v>
      </c>
      <c r="D894" s="41">
        <v>13897.4</v>
      </c>
      <c r="E894" s="34">
        <f t="shared" si="65"/>
        <v>11574.007220215843</v>
      </c>
      <c r="F894" s="35">
        <f t="shared" si="66"/>
        <v>13940.253980030475</v>
      </c>
      <c r="G894" s="35">
        <f t="shared" si="67"/>
        <v>12153.905589031832</v>
      </c>
      <c r="H894" s="36">
        <f t="shared" si="68"/>
        <v>42.853980030475213</v>
      </c>
      <c r="I894" s="36">
        <f t="shared" si="69"/>
        <v>1836.4636044523684</v>
      </c>
    </row>
    <row r="895" spans="3:9" x14ac:dyDescent="0.25">
      <c r="C895" s="41">
        <v>3245.82</v>
      </c>
      <c r="D895" s="41">
        <v>13913.42</v>
      </c>
      <c r="E895" s="34">
        <f t="shared" si="65"/>
        <v>11566.7870036105</v>
      </c>
      <c r="F895" s="35">
        <f t="shared" si="66"/>
        <v>13957.092442975087</v>
      </c>
      <c r="G895" s="35">
        <f t="shared" si="67"/>
        <v>12161.56517136249</v>
      </c>
      <c r="H895" s="36">
        <f t="shared" si="68"/>
        <v>43.672442975086597</v>
      </c>
      <c r="I895" s="36">
        <f t="shared" si="69"/>
        <v>1907.2822754121905</v>
      </c>
    </row>
    <row r="896" spans="3:9" x14ac:dyDescent="0.25">
      <c r="C896" s="41">
        <v>3248.59</v>
      </c>
      <c r="D896" s="41">
        <v>13929.44</v>
      </c>
      <c r="E896" s="34">
        <f t="shared" si="65"/>
        <v>11566.7870036105</v>
      </c>
      <c r="F896" s="35">
        <f t="shared" si="66"/>
        <v>13973.941517783702</v>
      </c>
      <c r="G896" s="35">
        <f t="shared" si="67"/>
        <v>12169.22958088232</v>
      </c>
      <c r="H896" s="36">
        <f t="shared" si="68"/>
        <v>44.501517783701274</v>
      </c>
      <c r="I896" s="36">
        <f t="shared" si="69"/>
        <v>1980.3850850530807</v>
      </c>
    </row>
    <row r="897" spans="3:9" x14ac:dyDescent="0.25">
      <c r="C897" s="41">
        <v>3251.36</v>
      </c>
      <c r="D897" s="41">
        <v>13945.46</v>
      </c>
      <c r="E897" s="34">
        <f t="shared" si="65"/>
        <v>11566.787003609186</v>
      </c>
      <c r="F897" s="35">
        <f t="shared" si="66"/>
        <v>13990.801211144086</v>
      </c>
      <c r="G897" s="35">
        <f t="shared" si="67"/>
        <v>12176.898820633494</v>
      </c>
      <c r="H897" s="36">
        <f t="shared" si="68"/>
        <v>45.341211144086628</v>
      </c>
      <c r="I897" s="36">
        <f t="shared" si="69"/>
        <v>2055.8254280126453</v>
      </c>
    </row>
    <row r="898" spans="3:9" x14ac:dyDescent="0.25">
      <c r="C898" s="41">
        <v>3254.12</v>
      </c>
      <c r="D898" s="41">
        <v>13961.49</v>
      </c>
      <c r="E898" s="34">
        <f t="shared" si="65"/>
        <v>11615.942028986978</v>
      </c>
      <c r="F898" s="35">
        <f t="shared" si="66"/>
        <v>14007.610606953032</v>
      </c>
      <c r="G898" s="35">
        <f t="shared" si="67"/>
        <v>12184.545180728875</v>
      </c>
      <c r="H898" s="36">
        <f t="shared" si="68"/>
        <v>46.12060695303262</v>
      </c>
      <c r="I898" s="36">
        <f t="shared" si="69"/>
        <v>2127.1103857161211</v>
      </c>
    </row>
    <row r="899" spans="3:9" x14ac:dyDescent="0.25">
      <c r="C899" s="41">
        <v>3256.89</v>
      </c>
      <c r="D899" s="41">
        <v>13977.51</v>
      </c>
      <c r="E899" s="34">
        <f t="shared" si="65"/>
        <v>11566.7870036105</v>
      </c>
      <c r="F899" s="35">
        <f t="shared" si="66"/>
        <v>14024.491519102607</v>
      </c>
      <c r="G899" s="35">
        <f t="shared" si="67"/>
        <v>12192.224072611796</v>
      </c>
      <c r="H899" s="36">
        <f t="shared" si="68"/>
        <v>46.981519102606399</v>
      </c>
      <c r="I899" s="36">
        <f t="shared" si="69"/>
        <v>2207.26313718857</v>
      </c>
    </row>
    <row r="900" spans="3:9" x14ac:dyDescent="0.25">
      <c r="C900" s="41">
        <v>3259.66</v>
      </c>
      <c r="D900" s="41">
        <v>13993.53</v>
      </c>
      <c r="E900" s="34">
        <f t="shared" si="65"/>
        <v>11566.7870036105</v>
      </c>
      <c r="F900" s="35">
        <f t="shared" si="66"/>
        <v>14041.383069868336</v>
      </c>
      <c r="G900" s="35">
        <f t="shared" si="67"/>
        <v>12199.907803853073</v>
      </c>
      <c r="H900" s="36">
        <f t="shared" si="68"/>
        <v>47.853069868335297</v>
      </c>
      <c r="I900" s="36">
        <f t="shared" si="69"/>
        <v>2289.9162958237794</v>
      </c>
    </row>
    <row r="901" spans="3:9" x14ac:dyDescent="0.25">
      <c r="C901" s="41">
        <v>3262.43</v>
      </c>
      <c r="D901" s="41">
        <v>14009.56</v>
      </c>
      <c r="E901" s="34">
        <f t="shared" si="65"/>
        <v>11574.007220215843</v>
      </c>
      <c r="F901" s="35">
        <f t="shared" si="66"/>
        <v>14058.285265954857</v>
      </c>
      <c r="G901" s="35">
        <f t="shared" si="67"/>
        <v>12207.596377502548</v>
      </c>
      <c r="H901" s="36">
        <f t="shared" si="68"/>
        <v>48.725265954857605</v>
      </c>
      <c r="I901" s="36">
        <f t="shared" si="69"/>
        <v>2374.1515423716055</v>
      </c>
    </row>
    <row r="902" spans="3:9" x14ac:dyDescent="0.25">
      <c r="C902" s="41">
        <v>3265.2</v>
      </c>
      <c r="D902" s="41">
        <v>14025.58</v>
      </c>
      <c r="E902" s="34">
        <f t="shared" si="65"/>
        <v>11566.7870036105</v>
      </c>
      <c r="F902" s="35">
        <f t="shared" si="66"/>
        <v>14075.198114071007</v>
      </c>
      <c r="G902" s="35">
        <f t="shared" si="67"/>
        <v>12215.289796611982</v>
      </c>
      <c r="H902" s="36">
        <f t="shared" si="68"/>
        <v>49.618114071006858</v>
      </c>
      <c r="I902" s="36">
        <f t="shared" si="69"/>
        <v>2461.9572439634485</v>
      </c>
    </row>
    <row r="903" spans="3:9" x14ac:dyDescent="0.25">
      <c r="C903" s="41">
        <v>3267.97</v>
      </c>
      <c r="D903" s="41">
        <v>14041.6</v>
      </c>
      <c r="E903" s="34">
        <f t="shared" si="65"/>
        <v>11566.7870036105</v>
      </c>
      <c r="F903" s="35">
        <f t="shared" si="66"/>
        <v>14092.121620929865</v>
      </c>
      <c r="G903" s="35">
        <f t="shared" si="67"/>
        <v>12222.988064235058</v>
      </c>
      <c r="H903" s="36">
        <f t="shared" si="68"/>
        <v>50.521620929865094</v>
      </c>
      <c r="I903" s="36">
        <f t="shared" si="69"/>
        <v>2552.4341813809829</v>
      </c>
    </row>
    <row r="904" spans="3:9" x14ac:dyDescent="0.25">
      <c r="C904" s="41">
        <v>3270.74</v>
      </c>
      <c r="D904" s="41">
        <v>14057.63</v>
      </c>
      <c r="E904" s="34">
        <f t="shared" si="65"/>
        <v>11574.007220215843</v>
      </c>
      <c r="F904" s="35">
        <f t="shared" si="66"/>
        <v>14109.055793248746</v>
      </c>
      <c r="G904" s="35">
        <f t="shared" si="67"/>
        <v>12230.691183427389</v>
      </c>
      <c r="H904" s="36">
        <f t="shared" si="68"/>
        <v>51.425793248747141</v>
      </c>
      <c r="I904" s="36">
        <f t="shared" si="69"/>
        <v>2644.6122112628868</v>
      </c>
    </row>
    <row r="905" spans="3:9" x14ac:dyDescent="0.25">
      <c r="C905" s="41">
        <v>3273.5</v>
      </c>
      <c r="D905" s="41">
        <v>14073.65</v>
      </c>
      <c r="E905" s="34">
        <f t="shared" ref="E905:E926" si="70">IF(C905="","",2*(D905-D904)/((C905-C904)/1000))</f>
        <v>11608.69565217331</v>
      </c>
      <c r="F905" s="35">
        <f t="shared" ref="F905:F926" si="71">IF(C905="","",F$7+(F$9/F$10)*(EXP(F$10*(C905-F$8)/2000)-1))</f>
        <v>14125.939445822984</v>
      </c>
      <c r="G905" s="35">
        <f t="shared" ref="G905:G926" si="72">IF(E905="","",F$9+(F905-F$7)*F$10)</f>
        <v>12238.371321891333</v>
      </c>
      <c r="H905" s="36">
        <f t="shared" ref="H905:H926" si="73">IF(F905="","",F905-D905)</f>
        <v>52.289445822983907</v>
      </c>
      <c r="I905" s="36">
        <f t="shared" ref="I905:I926" si="74">IF(H905="","",H905^2)</f>
        <v>2734.1861444747692</v>
      </c>
    </row>
    <row r="906" spans="3:9" x14ac:dyDescent="0.25">
      <c r="C906" s="41">
        <v>3276.27</v>
      </c>
      <c r="D906" s="41">
        <v>14089.67</v>
      </c>
      <c r="E906" s="34">
        <f t="shared" si="70"/>
        <v>11566.7870036105</v>
      </c>
      <c r="F906" s="35">
        <f t="shared" si="71"/>
        <v>14142.894930666645</v>
      </c>
      <c r="G906" s="35">
        <f t="shared" si="72"/>
        <v>12246.084135854428</v>
      </c>
      <c r="H906" s="36">
        <f t="shared" si="73"/>
        <v>53.224930666645378</v>
      </c>
      <c r="I906" s="36">
        <f t="shared" si="74"/>
        <v>2832.8932444692077</v>
      </c>
    </row>
    <row r="907" spans="3:9" x14ac:dyDescent="0.25">
      <c r="C907" s="41">
        <v>3279.04</v>
      </c>
      <c r="D907" s="41">
        <v>14105.69</v>
      </c>
      <c r="E907" s="34">
        <f t="shared" si="70"/>
        <v>11566.7870036105</v>
      </c>
      <c r="F907" s="35">
        <f t="shared" si="71"/>
        <v>14159.861101123341</v>
      </c>
      <c r="G907" s="35">
        <f t="shared" si="72"/>
        <v>12253.8018105541</v>
      </c>
      <c r="H907" s="36">
        <f t="shared" si="73"/>
        <v>54.171101123340122</v>
      </c>
      <c r="I907" s="36">
        <f t="shared" si="74"/>
        <v>2934.5081969151415</v>
      </c>
    </row>
    <row r="908" spans="3:9" x14ac:dyDescent="0.25">
      <c r="C908" s="41">
        <v>3281.81</v>
      </c>
      <c r="D908" s="41">
        <v>14121.72</v>
      </c>
      <c r="E908" s="34">
        <f t="shared" si="70"/>
        <v>11574.007220215843</v>
      </c>
      <c r="F908" s="35">
        <f t="shared" si="71"/>
        <v>14176.837963927328</v>
      </c>
      <c r="G908" s="35">
        <f t="shared" si="72"/>
        <v>12261.524349053674</v>
      </c>
      <c r="H908" s="36">
        <f t="shared" si="73"/>
        <v>55.117963927328674</v>
      </c>
      <c r="I908" s="36">
        <f t="shared" si="74"/>
        <v>3037.9899474943049</v>
      </c>
    </row>
    <row r="909" spans="3:9" x14ac:dyDescent="0.25">
      <c r="C909" s="41">
        <v>3284.58</v>
      </c>
      <c r="D909" s="41">
        <v>14137.74</v>
      </c>
      <c r="E909" s="34">
        <f t="shared" si="70"/>
        <v>11566.7870036105</v>
      </c>
      <c r="F909" s="35">
        <f t="shared" si="71"/>
        <v>14193.825525817088</v>
      </c>
      <c r="G909" s="35">
        <f t="shared" si="72"/>
        <v>12269.25175441839</v>
      </c>
      <c r="H909" s="36">
        <f t="shared" si="73"/>
        <v>56.085525817088637</v>
      </c>
      <c r="I909" s="36">
        <f t="shared" si="74"/>
        <v>3145.5862061793159</v>
      </c>
    </row>
    <row r="910" spans="3:9" x14ac:dyDescent="0.25">
      <c r="C910" s="41">
        <v>3287.35</v>
      </c>
      <c r="D910" s="41">
        <v>14153.76</v>
      </c>
      <c r="E910" s="34">
        <f t="shared" si="70"/>
        <v>11566.7870036105</v>
      </c>
      <c r="F910" s="35">
        <f t="shared" si="71"/>
        <v>14210.823793535355</v>
      </c>
      <c r="G910" s="35">
        <f t="shared" si="72"/>
        <v>12276.984029715422</v>
      </c>
      <c r="H910" s="36">
        <f t="shared" si="73"/>
        <v>57.063793535355217</v>
      </c>
      <c r="I910" s="36">
        <f t="shared" si="74"/>
        <v>3256.2765326456479</v>
      </c>
    </row>
    <row r="911" spans="3:9" x14ac:dyDescent="0.25">
      <c r="C911" s="41">
        <v>3290.12</v>
      </c>
      <c r="D911" s="41">
        <v>14169.79</v>
      </c>
      <c r="E911" s="34">
        <f t="shared" si="70"/>
        <v>11574.007220217156</v>
      </c>
      <c r="F911" s="35">
        <f t="shared" si="71"/>
        <v>14227.832773829101</v>
      </c>
      <c r="G911" s="35">
        <f t="shared" si="72"/>
        <v>12284.721178013875</v>
      </c>
      <c r="H911" s="36">
        <f t="shared" si="73"/>
        <v>58.042773829100042</v>
      </c>
      <c r="I911" s="36">
        <f t="shared" si="74"/>
        <v>3368.9635937760609</v>
      </c>
    </row>
    <row r="912" spans="3:9" x14ac:dyDescent="0.25">
      <c r="C912" s="41">
        <v>3292.88</v>
      </c>
      <c r="D912" s="41">
        <v>14185.81</v>
      </c>
      <c r="E912" s="34">
        <f t="shared" si="70"/>
        <v>11608.695652171993</v>
      </c>
      <c r="F912" s="35">
        <f t="shared" si="71"/>
        <v>14244.791011203459</v>
      </c>
      <c r="G912" s="35">
        <f t="shared" si="72"/>
        <v>12292.435244064856</v>
      </c>
      <c r="H912" s="36">
        <f t="shared" si="73"/>
        <v>58.981011203459275</v>
      </c>
      <c r="I912" s="36">
        <f t="shared" si="74"/>
        <v>3478.7596825825885</v>
      </c>
    </row>
    <row r="913" spans="3:9" x14ac:dyDescent="0.25">
      <c r="C913" s="41">
        <v>3295.65</v>
      </c>
      <c r="D913" s="41">
        <v>14201.83</v>
      </c>
      <c r="E913" s="34">
        <f t="shared" si="70"/>
        <v>11566.7870036105</v>
      </c>
      <c r="F913" s="35">
        <f t="shared" si="71"/>
        <v>14261.82139817166</v>
      </c>
      <c r="G913" s="35">
        <f t="shared" si="72"/>
        <v>12300.182129961448</v>
      </c>
      <c r="H913" s="36">
        <f t="shared" si="73"/>
        <v>59.991398171659966</v>
      </c>
      <c r="I913" s="36">
        <f t="shared" si="74"/>
        <v>3598.9678545906468</v>
      </c>
    </row>
    <row r="914" spans="3:9" x14ac:dyDescent="0.25">
      <c r="C914" s="41">
        <v>3298.42</v>
      </c>
      <c r="D914" s="41">
        <v>14217.86</v>
      </c>
      <c r="E914" s="34">
        <f t="shared" si="70"/>
        <v>11574.007220217156</v>
      </c>
      <c r="F914" s="35">
        <f t="shared" si="71"/>
        <v>14278.862517957403</v>
      </c>
      <c r="G914" s="35">
        <f t="shared" si="72"/>
        <v>12307.933898067291</v>
      </c>
      <c r="H914" s="36">
        <f t="shared" si="73"/>
        <v>61.002517957402233</v>
      </c>
      <c r="I914" s="36">
        <f t="shared" si="74"/>
        <v>3721.3071971431818</v>
      </c>
    </row>
    <row r="915" spans="3:9" x14ac:dyDescent="0.25">
      <c r="C915" s="41">
        <v>3301.19</v>
      </c>
      <c r="D915" s="41">
        <v>14233.88</v>
      </c>
      <c r="E915" s="34">
        <f t="shared" si="70"/>
        <v>11566.787003609186</v>
      </c>
      <c r="F915" s="35">
        <f t="shared" si="71"/>
        <v>14295.91437732468</v>
      </c>
      <c r="G915" s="35">
        <f t="shared" si="72"/>
        <v>12315.690551459236</v>
      </c>
      <c r="H915" s="36">
        <f t="shared" si="73"/>
        <v>62.034377324680463</v>
      </c>
      <c r="I915" s="36">
        <f t="shared" si="74"/>
        <v>3848.2639700608297</v>
      </c>
    </row>
    <row r="916" spans="3:9" x14ac:dyDescent="0.25">
      <c r="C916" s="41">
        <v>3303.96</v>
      </c>
      <c r="D916" s="41">
        <v>14249.9</v>
      </c>
      <c r="E916" s="34">
        <f t="shared" si="70"/>
        <v>11566.7870036105</v>
      </c>
      <c r="F916" s="35">
        <f t="shared" si="71"/>
        <v>14312.976983041741</v>
      </c>
      <c r="G916" s="35">
        <f t="shared" si="72"/>
        <v>12323.452093216063</v>
      </c>
      <c r="H916" s="36">
        <f t="shared" si="73"/>
        <v>63.076983041741187</v>
      </c>
      <c r="I916" s="36">
        <f t="shared" si="74"/>
        <v>3978.7057896481051</v>
      </c>
    </row>
    <row r="917" spans="3:9" x14ac:dyDescent="0.25">
      <c r="C917" s="41">
        <v>3306.73</v>
      </c>
      <c r="D917" s="41">
        <v>14265.93</v>
      </c>
      <c r="E917" s="34">
        <f t="shared" si="70"/>
        <v>11574.007220217156</v>
      </c>
      <c r="F917" s="35">
        <f t="shared" si="71"/>
        <v>14330.050341881106</v>
      </c>
      <c r="G917" s="35">
        <f t="shared" si="72"/>
        <v>12331.218526418495</v>
      </c>
      <c r="H917" s="36">
        <f t="shared" si="73"/>
        <v>64.12034188110556</v>
      </c>
      <c r="I917" s="36">
        <f t="shared" si="74"/>
        <v>4111.4182429498596</v>
      </c>
    </row>
    <row r="918" spans="3:9" x14ac:dyDescent="0.25">
      <c r="C918" s="41">
        <v>3309.5</v>
      </c>
      <c r="D918" s="41">
        <v>14281.95</v>
      </c>
      <c r="E918" s="34">
        <f t="shared" si="70"/>
        <v>11566.7870036105</v>
      </c>
      <c r="F918" s="35">
        <f t="shared" si="71"/>
        <v>14347.13446061956</v>
      </c>
      <c r="G918" s="35">
        <f t="shared" si="72"/>
        <v>12338.9898541492</v>
      </c>
      <c r="H918" s="36">
        <f t="shared" si="73"/>
        <v>65.184460619559104</v>
      </c>
      <c r="I918" s="36">
        <f t="shared" si="74"/>
        <v>4249.0139062628514</v>
      </c>
    </row>
    <row r="919" spans="3:9" x14ac:dyDescent="0.25">
      <c r="C919" s="41">
        <v>3312.26</v>
      </c>
      <c r="D919" s="41">
        <v>14297.97</v>
      </c>
      <c r="E919" s="34">
        <f t="shared" si="70"/>
        <v>11608.695652171993</v>
      </c>
      <c r="F919" s="35">
        <f t="shared" si="71"/>
        <v>14364.16761227797</v>
      </c>
      <c r="G919" s="35">
        <f t="shared" si="72"/>
        <v>12346.737997664872</v>
      </c>
      <c r="H919" s="36">
        <f t="shared" si="73"/>
        <v>66.19761227797062</v>
      </c>
      <c r="I919" s="36">
        <f t="shared" si="74"/>
        <v>4382.1238713045268</v>
      </c>
    </row>
    <row r="920" spans="3:9" x14ac:dyDescent="0.25">
      <c r="C920" s="41">
        <v>3315.02</v>
      </c>
      <c r="D920" s="41">
        <v>14313.99</v>
      </c>
      <c r="E920" s="34">
        <f t="shared" si="70"/>
        <v>11608.695652175224</v>
      </c>
      <c r="F920" s="35">
        <f t="shared" si="71"/>
        <v>14381.211459731179</v>
      </c>
      <c r="G920" s="35">
        <f t="shared" si="72"/>
        <v>12354.491006548666</v>
      </c>
      <c r="H920" s="36">
        <f t="shared" si="73"/>
        <v>67.221459731179493</v>
      </c>
      <c r="I920" s="36">
        <f t="shared" si="74"/>
        <v>4518.7246483905865</v>
      </c>
    </row>
    <row r="921" spans="3:9" x14ac:dyDescent="0.25">
      <c r="C921" s="41">
        <v>3317.6</v>
      </c>
      <c r="D921" s="41">
        <v>14330.02</v>
      </c>
      <c r="E921" s="34">
        <f t="shared" si="70"/>
        <v>12426.356589148145</v>
      </c>
      <c r="F921" s="35">
        <f t="shared" si="71"/>
        <v>14397.15343007049</v>
      </c>
      <c r="G921" s="35">
        <f t="shared" si="72"/>
        <v>12361.742786876153</v>
      </c>
      <c r="H921" s="36">
        <f t="shared" si="73"/>
        <v>67.133430070489339</v>
      </c>
      <c r="I921" s="36">
        <f t="shared" si="74"/>
        <v>4506.8974330292822</v>
      </c>
    </row>
    <row r="922" spans="3:9" x14ac:dyDescent="0.25">
      <c r="C922" s="41">
        <v>3320.18</v>
      </c>
      <c r="D922" s="41">
        <v>14346.04</v>
      </c>
      <c r="E922" s="34">
        <f t="shared" si="70"/>
        <v>12418.604651163478</v>
      </c>
      <c r="F922" s="35">
        <f t="shared" si="71"/>
        <v>14413.104757951669</v>
      </c>
      <c r="G922" s="35">
        <f t="shared" si="72"/>
        <v>12368.99882381914</v>
      </c>
      <c r="H922" s="36">
        <f t="shared" si="73"/>
        <v>67.064757951668071</v>
      </c>
      <c r="I922" s="36">
        <f t="shared" si="74"/>
        <v>4497.681759115826</v>
      </c>
    </row>
    <row r="923" spans="3:9" x14ac:dyDescent="0.25">
      <c r="C923" s="41">
        <v>3322.76</v>
      </c>
      <c r="D923" s="41">
        <v>14362.06</v>
      </c>
      <c r="E923" s="34">
        <f t="shared" si="70"/>
        <v>12418.604651159882</v>
      </c>
      <c r="F923" s="35">
        <f t="shared" si="71"/>
        <v>14429.065448867364</v>
      </c>
      <c r="G923" s="35">
        <f t="shared" si="72"/>
        <v>12376.259119876153</v>
      </c>
      <c r="H923" s="36">
        <f t="shared" si="73"/>
        <v>67.005448867364976</v>
      </c>
      <c r="I923" s="36">
        <f t="shared" si="74"/>
        <v>4489.7301779170621</v>
      </c>
    </row>
    <row r="924" spans="3:9" x14ac:dyDescent="0.25">
      <c r="C924" s="41">
        <v>3325.33</v>
      </c>
      <c r="D924" s="41">
        <v>14378.09</v>
      </c>
      <c r="E924" s="34">
        <f t="shared" si="70"/>
        <v>12474.708171208149</v>
      </c>
      <c r="F924" s="35">
        <f t="shared" si="71"/>
        <v>14444.97359076547</v>
      </c>
      <c r="G924" s="35">
        <f t="shared" si="72"/>
        <v>12383.495512116771</v>
      </c>
      <c r="H924" s="36">
        <f t="shared" si="73"/>
        <v>66.883590765470217</v>
      </c>
      <c r="I924" s="36">
        <f t="shared" si="74"/>
        <v>4473.4147136828933</v>
      </c>
    </row>
    <row r="925" spans="3:9" x14ac:dyDescent="0.25">
      <c r="C925" s="41">
        <v>3327.91</v>
      </c>
      <c r="D925" s="41">
        <v>14394.11</v>
      </c>
      <c r="E925" s="34">
        <f t="shared" si="70"/>
        <v>12418.604651163478</v>
      </c>
      <c r="F925" s="35">
        <f t="shared" si="71"/>
        <v>14460.952987896964</v>
      </c>
      <c r="G925" s="35">
        <f t="shared" si="72"/>
        <v>12390.764317370882</v>
      </c>
      <c r="H925" s="36">
        <f t="shared" si="73"/>
        <v>66.842987896963677</v>
      </c>
      <c r="I925" s="36">
        <f t="shared" si="74"/>
        <v>4467.9850309936328</v>
      </c>
    </row>
    <row r="926" spans="3:9" x14ac:dyDescent="0.25">
      <c r="C926" s="41">
        <v>3330.49</v>
      </c>
      <c r="D926" s="41">
        <v>14410.13</v>
      </c>
      <c r="E926" s="34">
        <f t="shared" si="70"/>
        <v>12418.604651162068</v>
      </c>
      <c r="F926" s="35">
        <f t="shared" si="71"/>
        <v>14476.941764538924</v>
      </c>
      <c r="G926" s="35">
        <f t="shared" si="72"/>
        <v>12398.037389233701</v>
      </c>
      <c r="H926" s="36">
        <f t="shared" si="73"/>
        <v>66.811764538924763</v>
      </c>
      <c r="I926" s="36">
        <f t="shared" si="74"/>
        <v>4463.8118808047248</v>
      </c>
    </row>
  </sheetData>
  <mergeCells count="7">
    <mergeCell ref="F2:H2"/>
    <mergeCell ref="C5:I5"/>
    <mergeCell ref="H7:I8"/>
    <mergeCell ref="H12:I12"/>
    <mergeCell ref="C13:C14"/>
    <mergeCell ref="F13:F14"/>
    <mergeCell ref="G13:G14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18EA-F759-495F-B2E9-A69966CE5F22}">
  <dimension ref="A1:V200"/>
  <sheetViews>
    <sheetView tabSelected="1" zoomScale="90" zoomScaleNormal="90" workbookViewId="0">
      <pane ySplit="14" topLeftCell="A27" activePane="bottomLeft" state="frozenSplit"/>
      <selection activeCell="E7" sqref="E7:J27"/>
      <selection pane="bottomLeft" activeCell="AD59" sqref="AD59"/>
    </sheetView>
  </sheetViews>
  <sheetFormatPr defaultRowHeight="13.2" x14ac:dyDescent="0.25"/>
  <cols>
    <col min="1" max="1" width="2.5546875" customWidth="1"/>
    <col min="2" max="2" width="3.88671875" customWidth="1"/>
    <col min="3" max="3" width="10.33203125" style="41" customWidth="1"/>
    <col min="4" max="4" width="9.33203125" style="41" customWidth="1"/>
    <col min="5" max="5" width="9.33203125" style="42" customWidth="1"/>
    <col min="6" max="7" width="9.33203125" customWidth="1"/>
    <col min="8" max="8" width="6.6640625" customWidth="1"/>
    <col min="9" max="9" width="13.5546875" customWidth="1"/>
    <col min="10" max="10" width="4.44140625" customWidth="1"/>
    <col min="11" max="13" width="10.109375" customWidth="1"/>
    <col min="16" max="16" width="12" bestFit="1" customWidth="1"/>
  </cols>
  <sheetData>
    <row r="1" spans="1:12" x14ac:dyDescent="0.25">
      <c r="A1" s="1"/>
      <c r="B1" s="1"/>
      <c r="C1" s="2"/>
      <c r="D1" s="2"/>
      <c r="E1" s="3"/>
      <c r="F1" s="1"/>
      <c r="G1" s="1"/>
      <c r="H1" s="1"/>
      <c r="I1" s="1"/>
      <c r="J1" s="1"/>
    </row>
    <row r="2" spans="1:12" ht="18" customHeight="1" x14ac:dyDescent="0.4">
      <c r="A2" s="1"/>
      <c r="B2" s="1"/>
      <c r="C2" s="4" t="s">
        <v>0</v>
      </c>
      <c r="D2" s="4" t="s">
        <v>1</v>
      </c>
      <c r="E2" s="5"/>
      <c r="F2" s="45"/>
      <c r="G2" s="45"/>
      <c r="H2" s="45"/>
      <c r="I2" s="1"/>
      <c r="J2" s="1"/>
    </row>
    <row r="3" spans="1:12" ht="15.75" customHeight="1" x14ac:dyDescent="0.25">
      <c r="A3" s="1"/>
      <c r="B3" s="1"/>
      <c r="C3" s="4" t="s">
        <v>2</v>
      </c>
      <c r="D3" s="4" t="s">
        <v>3</v>
      </c>
      <c r="E3" s="5" t="s">
        <v>4</v>
      </c>
      <c r="F3" s="6"/>
      <c r="G3" s="6"/>
      <c r="H3" s="6"/>
      <c r="I3" s="7"/>
      <c r="J3" s="1"/>
    </row>
    <row r="4" spans="1:12" ht="13.8" thickBot="1" x14ac:dyDescent="0.3">
      <c r="A4" s="1"/>
      <c r="B4" s="1"/>
      <c r="C4" s="8"/>
      <c r="D4" s="2"/>
      <c r="E4" s="3"/>
      <c r="F4" s="9"/>
      <c r="G4" s="9"/>
      <c r="H4" s="1"/>
      <c r="I4" s="7"/>
      <c r="J4" s="1"/>
    </row>
    <row r="5" spans="1:12" x14ac:dyDescent="0.25">
      <c r="A5" s="1"/>
      <c r="B5" s="1"/>
      <c r="C5" s="46" t="s">
        <v>5</v>
      </c>
      <c r="D5" s="47"/>
      <c r="E5" s="47"/>
      <c r="F5" s="47"/>
      <c r="G5" s="47"/>
      <c r="H5" s="47"/>
      <c r="I5" s="48"/>
      <c r="J5" s="1"/>
    </row>
    <row r="6" spans="1:12" x14ac:dyDescent="0.25">
      <c r="A6" s="1"/>
      <c r="B6" s="1"/>
      <c r="C6" s="10"/>
      <c r="D6" s="2"/>
      <c r="E6" s="3"/>
      <c r="F6" s="9"/>
      <c r="G6" s="9"/>
      <c r="H6" s="1"/>
      <c r="I6" s="11"/>
      <c r="J6" s="1"/>
    </row>
    <row r="7" spans="1:12" x14ac:dyDescent="0.25">
      <c r="A7" s="1"/>
      <c r="B7" s="1"/>
      <c r="C7" s="10"/>
      <c r="D7" s="12" t="s">
        <v>6</v>
      </c>
      <c r="E7" s="13"/>
      <c r="F7" s="14">
        <v>0</v>
      </c>
      <c r="G7" s="9"/>
      <c r="H7" s="49" t="s">
        <v>7</v>
      </c>
      <c r="I7" s="50"/>
      <c r="J7" s="1"/>
    </row>
    <row r="8" spans="1:12" x14ac:dyDescent="0.25">
      <c r="A8" s="1"/>
      <c r="B8" s="1"/>
      <c r="C8" s="10"/>
      <c r="D8" s="12" t="s">
        <v>8</v>
      </c>
      <c r="E8" s="13"/>
      <c r="F8" s="14">
        <v>0</v>
      </c>
      <c r="G8" s="9"/>
      <c r="H8" s="49"/>
      <c r="I8" s="50"/>
      <c r="J8" s="1"/>
    </row>
    <row r="9" spans="1:12" x14ac:dyDescent="0.25">
      <c r="A9" s="1"/>
      <c r="B9" s="1"/>
      <c r="C9" s="10"/>
      <c r="D9" s="15" t="s">
        <v>9</v>
      </c>
      <c r="E9" s="13"/>
      <c r="F9" s="16">
        <v>5665.1036890236137</v>
      </c>
      <c r="G9" s="9"/>
      <c r="H9" s="1"/>
      <c r="I9" s="11"/>
      <c r="J9" s="1"/>
    </row>
    <row r="10" spans="1:12" x14ac:dyDescent="0.25">
      <c r="A10" s="1"/>
      <c r="B10" s="1"/>
      <c r="C10" s="10"/>
      <c r="D10" s="15" t="s">
        <v>10</v>
      </c>
      <c r="E10" s="13"/>
      <c r="F10" s="17">
        <v>0.539629992276208</v>
      </c>
      <c r="G10" s="9"/>
      <c r="H10" s="18"/>
      <c r="I10" s="19"/>
      <c r="J10" s="1"/>
    </row>
    <row r="11" spans="1:12" x14ac:dyDescent="0.25">
      <c r="A11" s="1"/>
      <c r="B11" s="20"/>
      <c r="C11" s="21"/>
      <c r="D11" s="22"/>
      <c r="E11" s="23"/>
      <c r="F11" s="20"/>
      <c r="G11" s="9"/>
      <c r="H11" s="1"/>
      <c r="I11" s="11"/>
      <c r="J11" s="1"/>
    </row>
    <row r="12" spans="1:12" x14ac:dyDescent="0.25">
      <c r="A12" s="1"/>
      <c r="B12" s="20"/>
      <c r="C12" s="21"/>
      <c r="D12" s="22"/>
      <c r="E12" s="23"/>
      <c r="F12" s="20"/>
      <c r="G12" s="9"/>
      <c r="H12" s="51" t="s">
        <v>11</v>
      </c>
      <c r="I12" s="52"/>
      <c r="J12" s="1"/>
    </row>
    <row r="13" spans="1:12" ht="12.75" customHeight="1" x14ac:dyDescent="0.25">
      <c r="A13" s="1"/>
      <c r="B13" s="20"/>
      <c r="C13" s="53" t="s">
        <v>12</v>
      </c>
      <c r="D13" s="24"/>
      <c r="E13" s="25"/>
      <c r="F13" s="55" t="s">
        <v>13</v>
      </c>
      <c r="G13" s="55" t="s">
        <v>14</v>
      </c>
      <c r="H13" s="43" t="s">
        <v>15</v>
      </c>
      <c r="I13" s="44" t="s">
        <v>16</v>
      </c>
      <c r="J13" s="1"/>
      <c r="K13" t="s">
        <v>17</v>
      </c>
    </row>
    <row r="14" spans="1:12" s="31" customFormat="1" ht="12.6" thickBot="1" x14ac:dyDescent="0.3">
      <c r="A14" s="26"/>
      <c r="B14" s="26"/>
      <c r="C14" s="54"/>
      <c r="D14" s="27" t="s">
        <v>18</v>
      </c>
      <c r="E14" s="28" t="s">
        <v>19</v>
      </c>
      <c r="F14" s="55"/>
      <c r="G14" s="55"/>
      <c r="H14" s="29"/>
      <c r="I14" s="30">
        <f>SQRT(SUM(I15:I63))</f>
        <v>211.83691898970727</v>
      </c>
      <c r="J14" s="26"/>
      <c r="K14" s="31" t="s">
        <v>20</v>
      </c>
      <c r="L14" s="31" t="s">
        <v>21</v>
      </c>
    </row>
    <row r="15" spans="1:12" x14ac:dyDescent="0.25">
      <c r="A15" s="32"/>
      <c r="B15" s="32">
        <v>1</v>
      </c>
      <c r="C15" s="33">
        <v>1189.6600000000001</v>
      </c>
      <c r="D15" s="33">
        <v>4057.97</v>
      </c>
      <c r="E15" s="34" t="e">
        <f t="shared" ref="E15:E78" si="0">IF(C15="","",2*(D15-D14)/((C15-C14)/1000))</f>
        <v>#VALUE!</v>
      </c>
      <c r="F15" s="35">
        <f t="shared" ref="F15:F78" si="1">IF(C15="","",F$7+(F$9/F$10)*(EXP(F$10*(C15-F$8)/2000)-1))</f>
        <v>3973.4272133766035</v>
      </c>
      <c r="G15" s="35" t="e">
        <f t="shared" ref="G15:G78" si="2">IF(E15="","",F$9+(F15-F$7)*F$10)</f>
        <v>#VALUE!</v>
      </c>
      <c r="H15" s="36">
        <f t="shared" ref="H15:H78" si="3">IF(F15="","",F15-D15)</f>
        <v>-84.542786623396296</v>
      </c>
      <c r="I15" s="36">
        <f t="shared" ref="I15:I78" si="4">IF(H15="","",H15^2)</f>
        <v>7147.482770049116</v>
      </c>
      <c r="J15" s="1"/>
    </row>
    <row r="16" spans="1:12" x14ac:dyDescent="0.25">
      <c r="A16" s="32"/>
      <c r="B16" s="32">
        <v>2</v>
      </c>
      <c r="C16" s="33">
        <v>1252.8399999999999</v>
      </c>
      <c r="D16" s="33">
        <v>4276.7</v>
      </c>
      <c r="E16" s="34">
        <f t="shared" si="0"/>
        <v>6924.0265906932764</v>
      </c>
      <c r="F16" s="35">
        <f t="shared" si="1"/>
        <v>4222.2371964102622</v>
      </c>
      <c r="G16" s="35">
        <f t="shared" si="2"/>
        <v>7943.5495147108013</v>
      </c>
      <c r="H16" s="36">
        <f t="shared" si="3"/>
        <v>-54.462803589737632</v>
      </c>
      <c r="I16" s="36">
        <f t="shared" si="4"/>
        <v>2966.1969748543384</v>
      </c>
      <c r="J16" s="1"/>
    </row>
    <row r="17" spans="1:10" x14ac:dyDescent="0.25">
      <c r="A17" s="32"/>
      <c r="B17" s="32">
        <v>3</v>
      </c>
      <c r="C17" s="33">
        <v>1265.26</v>
      </c>
      <c r="D17" s="33">
        <v>4320.47</v>
      </c>
      <c r="E17" s="34">
        <f t="shared" si="0"/>
        <v>7048.3091787439898</v>
      </c>
      <c r="F17" s="35">
        <f t="shared" si="1"/>
        <v>4271.6493853042612</v>
      </c>
      <c r="G17" s="35">
        <f t="shared" si="2"/>
        <v>7970.2138138220207</v>
      </c>
      <c r="H17" s="36">
        <f t="shared" si="3"/>
        <v>-48.820614695739096</v>
      </c>
      <c r="I17" s="36">
        <f t="shared" si="4"/>
        <v>2383.4524192698163</v>
      </c>
      <c r="J17" s="1"/>
    </row>
    <row r="18" spans="1:10" x14ac:dyDescent="0.25">
      <c r="A18" s="32"/>
      <c r="B18" s="32">
        <v>4</v>
      </c>
      <c r="C18" s="33">
        <v>1274.17</v>
      </c>
      <c r="D18" s="33">
        <v>4352.41</v>
      </c>
      <c r="E18" s="34">
        <f t="shared" si="0"/>
        <v>7169.472502805681</v>
      </c>
      <c r="F18" s="35">
        <f t="shared" si="1"/>
        <v>4307.1994027616201</v>
      </c>
      <c r="G18" s="35">
        <f t="shared" si="2"/>
        <v>7989.397669467955</v>
      </c>
      <c r="H18" s="36">
        <f t="shared" si="3"/>
        <v>-45.210597238379705</v>
      </c>
      <c r="I18" s="36">
        <f t="shared" si="4"/>
        <v>2043.9981026509865</v>
      </c>
      <c r="J18" s="1"/>
    </row>
    <row r="19" spans="1:10" x14ac:dyDescent="0.25">
      <c r="A19" s="32"/>
      <c r="B19" s="32">
        <v>5</v>
      </c>
      <c r="C19" s="33">
        <v>1325.94</v>
      </c>
      <c r="D19" s="33">
        <v>4545.13</v>
      </c>
      <c r="E19" s="34">
        <f t="shared" si="0"/>
        <v>7445.238555147781</v>
      </c>
      <c r="F19" s="35">
        <f t="shared" si="1"/>
        <v>4515.4560734508359</v>
      </c>
      <c r="G19" s="35">
        <f t="shared" si="2"/>
        <v>8101.779215063445</v>
      </c>
      <c r="H19" s="36">
        <f t="shared" si="3"/>
        <v>-29.673926549164207</v>
      </c>
      <c r="I19" s="36">
        <f t="shared" si="4"/>
        <v>880.54191684519242</v>
      </c>
      <c r="J19" s="1"/>
    </row>
    <row r="20" spans="1:10" x14ac:dyDescent="0.25">
      <c r="A20" s="32"/>
      <c r="B20" s="32">
        <v>6</v>
      </c>
      <c r="C20" s="33">
        <v>1335.74</v>
      </c>
      <c r="D20" s="33">
        <v>4582.97</v>
      </c>
      <c r="E20" s="34">
        <f t="shared" si="0"/>
        <v>7722.4489795919026</v>
      </c>
      <c r="F20" s="35">
        <f t="shared" si="1"/>
        <v>4555.2073233121373</v>
      </c>
      <c r="G20" s="35">
        <f t="shared" si="2"/>
        <v>8123.2301817190692</v>
      </c>
      <c r="H20" s="36">
        <f t="shared" si="3"/>
        <v>-27.76267668786295</v>
      </c>
      <c r="I20" s="36">
        <f t="shared" si="4"/>
        <v>770.76621687480883</v>
      </c>
      <c r="J20" s="1"/>
    </row>
    <row r="21" spans="1:10" x14ac:dyDescent="0.25">
      <c r="A21" s="32"/>
      <c r="B21" s="32">
        <v>7</v>
      </c>
      <c r="C21" s="33">
        <v>1357.57</v>
      </c>
      <c r="D21" s="33">
        <v>4669.03</v>
      </c>
      <c r="E21" s="34">
        <f t="shared" si="0"/>
        <v>7884.5625286303057</v>
      </c>
      <c r="F21" s="35">
        <f t="shared" si="1"/>
        <v>4644.1340154895715</v>
      </c>
      <c r="G21" s="35">
        <f t="shared" si="2"/>
        <v>8171.2176919319263</v>
      </c>
      <c r="H21" s="36">
        <f t="shared" si="3"/>
        <v>-24.895984510428207</v>
      </c>
      <c r="I21" s="36">
        <f t="shared" si="4"/>
        <v>619.81004474348117</v>
      </c>
      <c r="J21" s="1"/>
    </row>
    <row r="22" spans="1:10" x14ac:dyDescent="0.25">
      <c r="A22" s="32"/>
      <c r="B22" s="32">
        <v>8</v>
      </c>
      <c r="C22" s="33">
        <v>1400.21</v>
      </c>
      <c r="D22" s="33">
        <v>4845.47</v>
      </c>
      <c r="E22" s="34">
        <f t="shared" si="0"/>
        <v>8275.7973733583531</v>
      </c>
      <c r="F22" s="35">
        <f t="shared" si="1"/>
        <v>4819.3503683164845</v>
      </c>
      <c r="G22" s="35">
        <f t="shared" si="2"/>
        <v>8265.7696910545783</v>
      </c>
      <c r="H22" s="36">
        <f t="shared" si="3"/>
        <v>-26.119631683515763</v>
      </c>
      <c r="I22" s="36">
        <f t="shared" si="4"/>
        <v>682.2351592825205</v>
      </c>
      <c r="J22" s="1"/>
    </row>
    <row r="23" spans="1:10" x14ac:dyDescent="0.25">
      <c r="A23" s="32"/>
      <c r="B23" s="32">
        <v>9</v>
      </c>
      <c r="C23" s="33">
        <v>1460.91</v>
      </c>
      <c r="D23" s="33">
        <v>5107.97</v>
      </c>
      <c r="E23" s="34">
        <f t="shared" si="0"/>
        <v>8649.0939044480983</v>
      </c>
      <c r="F23" s="35">
        <f t="shared" si="1"/>
        <v>5072.2820532958749</v>
      </c>
      <c r="G23" s="35">
        <f t="shared" si="2"/>
        <v>8402.2592142664143</v>
      </c>
      <c r="H23" s="36">
        <f t="shared" si="3"/>
        <v>-35.687946704125352</v>
      </c>
      <c r="I23" s="36">
        <f t="shared" si="4"/>
        <v>1273.6295399564915</v>
      </c>
      <c r="J23" s="1"/>
    </row>
    <row r="24" spans="1:10" x14ac:dyDescent="0.25">
      <c r="A24" s="32"/>
      <c r="B24" s="32">
        <v>10</v>
      </c>
      <c r="C24" s="33">
        <v>1489.14</v>
      </c>
      <c r="D24" s="33">
        <v>5227.68</v>
      </c>
      <c r="E24" s="34">
        <f t="shared" si="0"/>
        <v>8481.048529932692</v>
      </c>
      <c r="F24" s="35">
        <f t="shared" si="1"/>
        <v>5191.3327638570108</v>
      </c>
      <c r="G24" s="35">
        <f t="shared" si="2"/>
        <v>8466.5025482869969</v>
      </c>
      <c r="H24" s="36">
        <f t="shared" si="3"/>
        <v>-36.347236142989459</v>
      </c>
      <c r="I24" s="36">
        <f t="shared" si="4"/>
        <v>1321.1215752342393</v>
      </c>
      <c r="J24" s="1"/>
    </row>
    <row r="25" spans="1:10" x14ac:dyDescent="0.25">
      <c r="A25" s="32"/>
      <c r="B25" s="32">
        <v>11</v>
      </c>
      <c r="C25" s="33">
        <v>1524.63</v>
      </c>
      <c r="D25" s="33">
        <v>5370.47</v>
      </c>
      <c r="E25" s="34">
        <f t="shared" si="0"/>
        <v>8046.7737390814273</v>
      </c>
      <c r="F25" s="35">
        <f t="shared" si="1"/>
        <v>5342.2924730874274</v>
      </c>
      <c r="G25" s="35">
        <f t="shared" si="2"/>
        <v>8547.9649350130258</v>
      </c>
      <c r="H25" s="36">
        <f t="shared" si="3"/>
        <v>-28.17752691257283</v>
      </c>
      <c r="I25" s="36">
        <f t="shared" si="4"/>
        <v>793.9730229087661</v>
      </c>
      <c r="J25" s="1"/>
    </row>
    <row r="26" spans="1:10" x14ac:dyDescent="0.25">
      <c r="A26" s="32"/>
      <c r="B26" s="32">
        <v>12</v>
      </c>
      <c r="C26" s="33">
        <v>1594.67</v>
      </c>
      <c r="D26" s="33">
        <v>5632.97</v>
      </c>
      <c r="E26" s="34">
        <f t="shared" si="0"/>
        <v>7495.716733295264</v>
      </c>
      <c r="F26" s="35">
        <f t="shared" si="1"/>
        <v>5644.48863934581</v>
      </c>
      <c r="G26" s="35">
        <f t="shared" si="2"/>
        <v>8711.0390498769375</v>
      </c>
      <c r="H26" s="36">
        <f t="shared" si="3"/>
        <v>11.518639345809788</v>
      </c>
      <c r="I26" s="36">
        <f t="shared" si="4"/>
        <v>132.67905237883735</v>
      </c>
      <c r="J26" s="1"/>
    </row>
    <row r="27" spans="1:10" x14ac:dyDescent="0.25">
      <c r="A27" s="32"/>
      <c r="B27" s="32">
        <v>13</v>
      </c>
      <c r="C27" s="33">
        <v>1601.68</v>
      </c>
      <c r="D27" s="33">
        <v>5659.41</v>
      </c>
      <c r="E27" s="34">
        <f t="shared" si="0"/>
        <v>7543.5092724677988</v>
      </c>
      <c r="F27" s="35">
        <f t="shared" si="1"/>
        <v>5675.0497237701074</v>
      </c>
      <c r="G27" s="35">
        <f t="shared" si="2"/>
        <v>8727.5307276287731</v>
      </c>
      <c r="H27" s="36">
        <f t="shared" si="3"/>
        <v>15.639723770107594</v>
      </c>
      <c r="I27" s="36">
        <f t="shared" si="4"/>
        <v>244.60095960526849</v>
      </c>
      <c r="J27" s="1"/>
    </row>
    <row r="28" spans="1:10" x14ac:dyDescent="0.25">
      <c r="A28" s="32"/>
      <c r="B28" s="32">
        <v>14</v>
      </c>
      <c r="C28" s="33">
        <v>1613.73</v>
      </c>
      <c r="D28" s="33">
        <v>5705.46</v>
      </c>
      <c r="E28" s="34">
        <f t="shared" si="0"/>
        <v>7643.153526971013</v>
      </c>
      <c r="F28" s="35">
        <f t="shared" si="1"/>
        <v>5727.7186705099321</v>
      </c>
      <c r="G28" s="35">
        <f t="shared" si="2"/>
        <v>8755.9524709511807</v>
      </c>
      <c r="H28" s="36">
        <f t="shared" si="3"/>
        <v>22.258670509932017</v>
      </c>
      <c r="I28" s="36">
        <f t="shared" si="4"/>
        <v>495.44841286971723</v>
      </c>
      <c r="J28" s="1"/>
    </row>
    <row r="29" spans="1:10" x14ac:dyDescent="0.25">
      <c r="A29" s="32"/>
      <c r="B29" s="32">
        <v>15</v>
      </c>
      <c r="C29" s="33">
        <v>1644.09</v>
      </c>
      <c r="D29" s="33">
        <v>5826.34</v>
      </c>
      <c r="E29" s="34">
        <f t="shared" si="0"/>
        <v>7963.1093544137357</v>
      </c>
      <c r="F29" s="35">
        <f t="shared" si="1"/>
        <v>5861.1799121643944</v>
      </c>
      <c r="G29" s="35">
        <f t="shared" si="2"/>
        <v>8827.9721597543503</v>
      </c>
      <c r="H29" s="36">
        <f t="shared" si="3"/>
        <v>34.839912164394264</v>
      </c>
      <c r="I29" s="36">
        <f t="shared" si="4"/>
        <v>1213.8194796227074</v>
      </c>
      <c r="J29" s="1"/>
    </row>
    <row r="30" spans="1:10" x14ac:dyDescent="0.25">
      <c r="A30" s="32"/>
      <c r="B30" s="32">
        <v>16</v>
      </c>
      <c r="C30" s="33">
        <v>1660.72</v>
      </c>
      <c r="D30" s="33">
        <v>5895.47</v>
      </c>
      <c r="E30" s="34">
        <f t="shared" si="0"/>
        <v>8313.8905592302654</v>
      </c>
      <c r="F30" s="35">
        <f t="shared" si="1"/>
        <v>5934.749431315664</v>
      </c>
      <c r="G30" s="35">
        <f t="shared" si="2"/>
        <v>8867.6724788057145</v>
      </c>
      <c r="H30" s="36">
        <f t="shared" si="3"/>
        <v>39.279431315663714</v>
      </c>
      <c r="I30" s="36">
        <f t="shared" si="4"/>
        <v>1542.8737244819433</v>
      </c>
      <c r="J30" s="1"/>
    </row>
    <row r="31" spans="1:10" x14ac:dyDescent="0.25">
      <c r="A31" s="32"/>
      <c r="B31" s="32">
        <v>17</v>
      </c>
      <c r="C31" s="33">
        <v>1682.72</v>
      </c>
      <c r="D31" s="33">
        <v>5995.47</v>
      </c>
      <c r="E31" s="34">
        <f t="shared" si="0"/>
        <v>9090.9090909090919</v>
      </c>
      <c r="F31" s="35">
        <f t="shared" si="1"/>
        <v>6032.5839106202684</v>
      </c>
      <c r="G31" s="35">
        <f t="shared" si="2"/>
        <v>8920.4668981172053</v>
      </c>
      <c r="H31" s="36">
        <f t="shared" si="3"/>
        <v>37.113910620268143</v>
      </c>
      <c r="I31" s="36">
        <f t="shared" si="4"/>
        <v>1377.4423615292524</v>
      </c>
      <c r="J31" s="1"/>
    </row>
    <row r="32" spans="1:10" x14ac:dyDescent="0.25">
      <c r="A32" s="32"/>
      <c r="B32" s="32">
        <v>18</v>
      </c>
      <c r="C32" s="33">
        <v>1726.72</v>
      </c>
      <c r="D32" s="33">
        <v>6185.47</v>
      </c>
      <c r="E32" s="34">
        <f t="shared" si="0"/>
        <v>8636.363636363636</v>
      </c>
      <c r="F32" s="35">
        <f t="shared" si="1"/>
        <v>6230.00373390596</v>
      </c>
      <c r="G32" s="35">
        <f t="shared" si="2"/>
        <v>9027.0005558320336</v>
      </c>
      <c r="H32" s="36">
        <f t="shared" si="3"/>
        <v>44.533733905959707</v>
      </c>
      <c r="I32" s="36">
        <f t="shared" si="4"/>
        <v>1983.2534556068251</v>
      </c>
      <c r="J32" s="1"/>
    </row>
    <row r="33" spans="1:10" x14ac:dyDescent="0.25">
      <c r="A33" s="32"/>
      <c r="B33" s="32">
        <v>19</v>
      </c>
      <c r="C33" s="33">
        <v>1760.71</v>
      </c>
      <c r="D33" s="33">
        <v>6343.47</v>
      </c>
      <c r="E33" s="34">
        <f t="shared" si="0"/>
        <v>9296.8520152986148</v>
      </c>
      <c r="F33" s="35">
        <f t="shared" si="1"/>
        <v>6384.123244054008</v>
      </c>
      <c r="G33" s="35">
        <f t="shared" si="2"/>
        <v>9110.1680659028389</v>
      </c>
      <c r="H33" s="36">
        <f t="shared" si="3"/>
        <v>40.6532440540077</v>
      </c>
      <c r="I33" s="36">
        <f t="shared" si="4"/>
        <v>1652.6862521147125</v>
      </c>
      <c r="J33" s="1"/>
    </row>
    <row r="34" spans="1:10" x14ac:dyDescent="0.25">
      <c r="A34" s="32"/>
      <c r="B34" s="32">
        <v>20</v>
      </c>
      <c r="C34" s="33">
        <v>1798.61</v>
      </c>
      <c r="D34" s="33">
        <v>6519.47</v>
      </c>
      <c r="E34" s="34">
        <f t="shared" si="0"/>
        <v>9287.5989445910618</v>
      </c>
      <c r="F34" s="35">
        <f t="shared" si="1"/>
        <v>6557.6466408991982</v>
      </c>
      <c r="G34" s="35">
        <f t="shared" si="2"/>
        <v>9203.8064952021487</v>
      </c>
      <c r="H34" s="36">
        <f t="shared" si="3"/>
        <v>38.176640899197992</v>
      </c>
      <c r="I34" s="36">
        <f t="shared" si="4"/>
        <v>1457.4559103463168</v>
      </c>
      <c r="J34" s="1"/>
    </row>
    <row r="35" spans="1:10" x14ac:dyDescent="0.25">
      <c r="A35" s="32"/>
      <c r="B35" s="32">
        <v>21</v>
      </c>
      <c r="C35" s="33">
        <v>1835.39</v>
      </c>
      <c r="D35" s="33">
        <v>6695.47</v>
      </c>
      <c r="E35" s="34">
        <f t="shared" si="0"/>
        <v>9570.418705818327</v>
      </c>
      <c r="F35" s="35">
        <f t="shared" si="1"/>
        <v>6727.7472682900052</v>
      </c>
      <c r="G35" s="35">
        <f t="shared" si="2"/>
        <v>9295.5978954472284</v>
      </c>
      <c r="H35" s="36">
        <f t="shared" si="3"/>
        <v>32.27726829000494</v>
      </c>
      <c r="I35" s="36">
        <f t="shared" si="4"/>
        <v>1041.8220482649585</v>
      </c>
      <c r="J35" s="1"/>
    </row>
    <row r="36" spans="1:10" x14ac:dyDescent="0.25">
      <c r="A36" s="32"/>
      <c r="B36" s="32">
        <v>22</v>
      </c>
      <c r="C36" s="33">
        <v>1865.79</v>
      </c>
      <c r="D36" s="33">
        <v>6845.47</v>
      </c>
      <c r="E36" s="34">
        <f t="shared" si="0"/>
        <v>9868.4210526316238</v>
      </c>
      <c r="F36" s="35">
        <f t="shared" si="1"/>
        <v>6869.6214134059628</v>
      </c>
      <c r="G36" s="35">
        <f t="shared" si="2"/>
        <v>9372.1574392803468</v>
      </c>
      <c r="H36" s="36">
        <f t="shared" si="3"/>
        <v>24.151413405962558</v>
      </c>
      <c r="I36" s="36">
        <f t="shared" si="4"/>
        <v>583.290769505708</v>
      </c>
      <c r="J36" s="1"/>
    </row>
    <row r="37" spans="1:10" x14ac:dyDescent="0.25">
      <c r="A37" s="32"/>
      <c r="B37" s="32">
        <v>23</v>
      </c>
      <c r="C37" s="33">
        <v>1879.25</v>
      </c>
      <c r="D37" s="33">
        <v>6911.47</v>
      </c>
      <c r="E37" s="34">
        <f t="shared" si="0"/>
        <v>9806.8350668647581</v>
      </c>
      <c r="F37" s="35">
        <f t="shared" si="1"/>
        <v>6932.8107061086694</v>
      </c>
      <c r="G37" s="35">
        <f t="shared" si="2"/>
        <v>9406.2562768134467</v>
      </c>
      <c r="H37" s="36">
        <f t="shared" si="3"/>
        <v>21.34070610866911</v>
      </c>
      <c r="I37" s="36">
        <f t="shared" si="4"/>
        <v>455.42573721658709</v>
      </c>
      <c r="J37" s="1"/>
    </row>
    <row r="38" spans="1:10" x14ac:dyDescent="0.25">
      <c r="A38" s="32"/>
      <c r="B38" s="32">
        <v>24</v>
      </c>
      <c r="C38" s="33">
        <v>1902.44</v>
      </c>
      <c r="D38" s="33">
        <v>7023.66</v>
      </c>
      <c r="E38" s="34">
        <f t="shared" si="0"/>
        <v>9675.7222940922238</v>
      </c>
      <c r="F38" s="35">
        <f t="shared" si="1"/>
        <v>7042.2181724876318</v>
      </c>
      <c r="G38" s="35">
        <f t="shared" si="2"/>
        <v>9465.295827050486</v>
      </c>
      <c r="H38" s="36">
        <f t="shared" si="3"/>
        <v>18.558172487631964</v>
      </c>
      <c r="I38" s="36">
        <f t="shared" si="4"/>
        <v>344.40576608069995</v>
      </c>
      <c r="J38" s="1"/>
    </row>
    <row r="39" spans="1:10" x14ac:dyDescent="0.25">
      <c r="A39" s="32"/>
      <c r="B39" s="32">
        <v>25</v>
      </c>
      <c r="C39" s="33">
        <v>1925.28</v>
      </c>
      <c r="D39" s="33">
        <v>7130.47</v>
      </c>
      <c r="E39" s="34">
        <f t="shared" si="0"/>
        <v>9352.8896672505052</v>
      </c>
      <c r="F39" s="35">
        <f t="shared" si="1"/>
        <v>7150.6456037462485</v>
      </c>
      <c r="G39" s="35">
        <f t="shared" si="2"/>
        <v>9523.8065209431024</v>
      </c>
      <c r="H39" s="36">
        <f t="shared" si="3"/>
        <v>20.175603746248271</v>
      </c>
      <c r="I39" s="36">
        <f t="shared" si="4"/>
        <v>407.05498652562727</v>
      </c>
      <c r="J39" s="1"/>
    </row>
    <row r="40" spans="1:10" x14ac:dyDescent="0.25">
      <c r="A40" s="32"/>
      <c r="B40" s="32">
        <v>26</v>
      </c>
      <c r="C40" s="33">
        <v>1986.76</v>
      </c>
      <c r="D40" s="33">
        <v>7405.47</v>
      </c>
      <c r="E40" s="34">
        <f t="shared" si="0"/>
        <v>8945.9986987638222</v>
      </c>
      <c r="F40" s="35">
        <f t="shared" si="1"/>
        <v>7445.8490981224631</v>
      </c>
      <c r="G40" s="35">
        <f t="shared" si="2"/>
        <v>9683.1071803332488</v>
      </c>
      <c r="H40" s="36">
        <f t="shared" si="3"/>
        <v>40.379098122462892</v>
      </c>
      <c r="I40" s="36">
        <f t="shared" si="4"/>
        <v>1630.4715651834863</v>
      </c>
      <c r="J40" s="1"/>
    </row>
    <row r="41" spans="1:10" x14ac:dyDescent="0.25">
      <c r="A41" s="32"/>
      <c r="B41" s="32">
        <v>27</v>
      </c>
      <c r="C41" s="33">
        <v>2030.82</v>
      </c>
      <c r="D41" s="33">
        <v>7615.47</v>
      </c>
      <c r="E41" s="34">
        <f t="shared" si="0"/>
        <v>9532.4557421697809</v>
      </c>
      <c r="F41" s="35">
        <f t="shared" si="1"/>
        <v>7660.4409612955506</v>
      </c>
      <c r="G41" s="35">
        <f t="shared" si="2"/>
        <v>9798.9073857998792</v>
      </c>
      <c r="H41" s="36">
        <f t="shared" si="3"/>
        <v>44.970961295550296</v>
      </c>
      <c r="I41" s="36">
        <f t="shared" si="4"/>
        <v>2022.3873598458829</v>
      </c>
      <c r="J41" s="1"/>
    </row>
    <row r="42" spans="1:10" x14ac:dyDescent="0.25">
      <c r="A42" s="32"/>
      <c r="B42" s="32">
        <v>28</v>
      </c>
      <c r="C42" s="33">
        <v>2048.92</v>
      </c>
      <c r="D42" s="33">
        <v>7715.47</v>
      </c>
      <c r="E42" s="34">
        <f t="shared" si="0"/>
        <v>11049.723756905994</v>
      </c>
      <c r="F42" s="35">
        <f t="shared" si="1"/>
        <v>7749.33796744955</v>
      </c>
      <c r="G42" s="35">
        <f t="shared" si="2"/>
        <v>9846.8788765441386</v>
      </c>
      <c r="H42" s="36">
        <f t="shared" si="3"/>
        <v>33.867967449549724</v>
      </c>
      <c r="I42" s="36">
        <f t="shared" si="4"/>
        <v>1147.0392191637595</v>
      </c>
      <c r="J42" s="1"/>
    </row>
    <row r="43" spans="1:10" x14ac:dyDescent="0.25">
      <c r="A43" s="32"/>
      <c r="B43" s="32">
        <v>29</v>
      </c>
      <c r="C43" s="33">
        <v>2066.92</v>
      </c>
      <c r="D43" s="33">
        <v>7805.47</v>
      </c>
      <c r="E43" s="34">
        <f t="shared" si="0"/>
        <v>10000</v>
      </c>
      <c r="F43" s="35">
        <f t="shared" si="1"/>
        <v>7838.1754298354172</v>
      </c>
      <c r="G43" s="35">
        <f t="shared" si="2"/>
        <v>9894.8182356852631</v>
      </c>
      <c r="H43" s="36">
        <f t="shared" si="3"/>
        <v>32.705429835416908</v>
      </c>
      <c r="I43" s="36">
        <f t="shared" si="4"/>
        <v>1069.6451407193783</v>
      </c>
      <c r="J43" s="1"/>
    </row>
    <row r="44" spans="1:10" x14ac:dyDescent="0.25">
      <c r="A44" s="32"/>
      <c r="B44" s="32">
        <v>30</v>
      </c>
      <c r="C44" s="33">
        <v>2101.02</v>
      </c>
      <c r="D44" s="33">
        <v>7985.47</v>
      </c>
      <c r="E44" s="34">
        <f t="shared" si="0"/>
        <v>10557.184750733166</v>
      </c>
      <c r="F44" s="35">
        <f t="shared" si="1"/>
        <v>8007.6605753985523</v>
      </c>
      <c r="G44" s="35">
        <f t="shared" si="2"/>
        <v>9986.2775034764309</v>
      </c>
      <c r="H44" s="36">
        <f t="shared" si="3"/>
        <v>22.190575398552028</v>
      </c>
      <c r="I44" s="36">
        <f t="shared" si="4"/>
        <v>492.42163651882248</v>
      </c>
      <c r="J44" s="1"/>
    </row>
    <row r="45" spans="1:10" x14ac:dyDescent="0.25">
      <c r="A45" s="32"/>
      <c r="B45" s="32">
        <v>31</v>
      </c>
      <c r="C45" s="33">
        <v>2135.12</v>
      </c>
      <c r="D45" s="33">
        <v>8165.47</v>
      </c>
      <c r="E45" s="34">
        <f t="shared" si="0"/>
        <v>10557.184750733166</v>
      </c>
      <c r="F45" s="35">
        <f t="shared" si="1"/>
        <v>8178.7122972186198</v>
      </c>
      <c r="G45" s="35">
        <f t="shared" si="2"/>
        <v>10078.582142801024</v>
      </c>
      <c r="H45" s="36">
        <f t="shared" si="3"/>
        <v>13.242297218619569</v>
      </c>
      <c r="I45" s="36">
        <f t="shared" si="4"/>
        <v>175.35843562625959</v>
      </c>
      <c r="J45" s="1"/>
    </row>
    <row r="46" spans="1:10" x14ac:dyDescent="0.25">
      <c r="A46" s="32"/>
      <c r="B46" s="32">
        <v>32</v>
      </c>
      <c r="C46" s="33">
        <v>2171.12</v>
      </c>
      <c r="D46" s="33">
        <v>8364.4699999999993</v>
      </c>
      <c r="E46" s="34">
        <f t="shared" si="0"/>
        <v>11055.555555555506</v>
      </c>
      <c r="F46" s="35">
        <f t="shared" si="1"/>
        <v>8361.0107056844572</v>
      </c>
      <c r="G46" s="35">
        <f t="shared" si="2"/>
        <v>10176.955831553409</v>
      </c>
      <c r="H46" s="36">
        <f t="shared" si="3"/>
        <v>-3.4592943155421381</v>
      </c>
      <c r="I46" s="36">
        <f t="shared" si="4"/>
        <v>11.966717161542149</v>
      </c>
      <c r="J46" s="1"/>
    </row>
    <row r="47" spans="1:10" x14ac:dyDescent="0.25">
      <c r="A47" s="32"/>
      <c r="B47" s="32">
        <v>33</v>
      </c>
      <c r="C47" s="33">
        <v>2207.12</v>
      </c>
      <c r="D47" s="33">
        <v>8545.4699999999993</v>
      </c>
      <c r="E47" s="34">
        <f t="shared" si="0"/>
        <v>10055.555555555557</v>
      </c>
      <c r="F47" s="35">
        <f t="shared" si="1"/>
        <v>8545.0884682936012</v>
      </c>
      <c r="G47" s="35">
        <f t="shared" si="2"/>
        <v>10276.289713168404</v>
      </c>
      <c r="H47" s="36">
        <f t="shared" si="3"/>
        <v>-0.38153170639816381</v>
      </c>
      <c r="I47" s="36">
        <f t="shared" si="4"/>
        <v>0.14556644298709467</v>
      </c>
      <c r="J47" s="1"/>
    </row>
    <row r="48" spans="1:10" x14ac:dyDescent="0.25">
      <c r="A48" s="32"/>
      <c r="B48" s="32">
        <v>34</v>
      </c>
      <c r="C48" s="33">
        <v>2223.12</v>
      </c>
      <c r="D48" s="33">
        <v>8635.4699999999993</v>
      </c>
      <c r="E48" s="34">
        <f t="shared" si="0"/>
        <v>11250</v>
      </c>
      <c r="F48" s="35">
        <f t="shared" si="1"/>
        <v>8627.4764942438869</v>
      </c>
      <c r="G48" s="35">
        <f t="shared" si="2"/>
        <v>10320.748762975609</v>
      </c>
      <c r="H48" s="36">
        <f t="shared" si="3"/>
        <v>-7.9935057561124268</v>
      </c>
      <c r="I48" s="36">
        <f t="shared" si="4"/>
        <v>63.896134273002502</v>
      </c>
      <c r="J48" s="1"/>
    </row>
    <row r="49" spans="1:10" x14ac:dyDescent="0.25">
      <c r="A49" s="32"/>
      <c r="B49" s="32">
        <v>35</v>
      </c>
      <c r="C49" s="33">
        <v>2243.3200000000002</v>
      </c>
      <c r="D49" s="33">
        <v>8740.4699999999993</v>
      </c>
      <c r="E49" s="34">
        <f t="shared" si="0"/>
        <v>10396.039603960255</v>
      </c>
      <c r="F49" s="35">
        <f t="shared" si="1"/>
        <v>8732.0006400442235</v>
      </c>
      <c r="G49" s="35">
        <f t="shared" si="2"/>
        <v>10377.153126966521</v>
      </c>
      <c r="H49" s="36">
        <f t="shared" si="3"/>
        <v>-8.4693599557758716</v>
      </c>
      <c r="I49" s="36">
        <f t="shared" si="4"/>
        <v>71.730058060499871</v>
      </c>
      <c r="J49" s="1"/>
    </row>
    <row r="50" spans="1:10" x14ac:dyDescent="0.25">
      <c r="A50" s="32"/>
      <c r="B50" s="32">
        <v>36</v>
      </c>
      <c r="C50" s="33">
        <v>2263.12</v>
      </c>
      <c r="D50" s="33">
        <v>8839.4699999999993</v>
      </c>
      <c r="E50" s="34">
        <f t="shared" si="0"/>
        <v>10000.000000000138</v>
      </c>
      <c r="F50" s="35">
        <f t="shared" si="1"/>
        <v>8835.0093646638779</v>
      </c>
      <c r="G50" s="35">
        <f t="shared" si="2"/>
        <v>10432.739724237406</v>
      </c>
      <c r="H50" s="36">
        <f t="shared" si="3"/>
        <v>-4.4606353361214133</v>
      </c>
      <c r="I50" s="36">
        <f t="shared" si="4"/>
        <v>19.897267601854992</v>
      </c>
      <c r="J50" s="1"/>
    </row>
    <row r="51" spans="1:10" x14ac:dyDescent="0.25">
      <c r="A51" s="32"/>
      <c r="B51" s="32">
        <v>37</v>
      </c>
      <c r="C51" s="33">
        <v>2287.12</v>
      </c>
      <c r="D51" s="33">
        <v>8965.4699999999993</v>
      </c>
      <c r="E51" s="34">
        <f t="shared" si="0"/>
        <v>10500</v>
      </c>
      <c r="F51" s="35">
        <f t="shared" si="1"/>
        <v>8960.6084647090647</v>
      </c>
      <c r="G51" s="35">
        <f t="shared" si="2"/>
        <v>10500.51676562469</v>
      </c>
      <c r="H51" s="36">
        <f t="shared" si="3"/>
        <v>-4.8615352909346257</v>
      </c>
      <c r="I51" s="36">
        <f t="shared" si="4"/>
        <v>23.634525385002814</v>
      </c>
      <c r="J51" s="1"/>
    </row>
    <row r="52" spans="1:10" x14ac:dyDescent="0.25">
      <c r="A52" s="32"/>
      <c r="B52" s="32">
        <v>38</v>
      </c>
      <c r="C52" s="33">
        <v>2303.12</v>
      </c>
      <c r="D52" s="33">
        <v>9055.4699999999993</v>
      </c>
      <c r="E52" s="34">
        <f t="shared" si="0"/>
        <v>11250</v>
      </c>
      <c r="F52" s="35">
        <f t="shared" si="1"/>
        <v>9044.794184645425</v>
      </c>
      <c r="G52" s="35">
        <f t="shared" si="2"/>
        <v>10545.945905023716</v>
      </c>
      <c r="H52" s="36">
        <f t="shared" si="3"/>
        <v>-10.675815354574297</v>
      </c>
      <c r="I52" s="36">
        <f t="shared" si="4"/>
        <v>113.97303348496432</v>
      </c>
      <c r="J52" s="1"/>
    </row>
    <row r="53" spans="1:10" x14ac:dyDescent="0.25">
      <c r="A53" s="32"/>
      <c r="B53" s="32">
        <v>39</v>
      </c>
      <c r="C53" s="33">
        <v>2321.12</v>
      </c>
      <c r="D53" s="33">
        <v>9149.4699999999993</v>
      </c>
      <c r="E53" s="34">
        <f t="shared" si="0"/>
        <v>10444.444444444445</v>
      </c>
      <c r="F53" s="35">
        <f t="shared" si="1"/>
        <v>9139.9385531714397</v>
      </c>
      <c r="G53" s="35">
        <f t="shared" si="2"/>
        <v>10597.288659876533</v>
      </c>
      <c r="H53" s="36">
        <f t="shared" si="3"/>
        <v>-9.5314468285596377</v>
      </c>
      <c r="I53" s="36">
        <f t="shared" si="4"/>
        <v>90.848478645659569</v>
      </c>
      <c r="J53" s="1"/>
    </row>
    <row r="54" spans="1:10" x14ac:dyDescent="0.25">
      <c r="A54" s="32"/>
      <c r="B54" s="32">
        <v>40</v>
      </c>
      <c r="C54" s="33">
        <v>2345.12</v>
      </c>
      <c r="D54" s="33">
        <v>9285.4699999999993</v>
      </c>
      <c r="E54" s="34">
        <f t="shared" si="0"/>
        <v>11333.333333333334</v>
      </c>
      <c r="F54" s="35">
        <f t="shared" si="1"/>
        <v>9267.5186475456285</v>
      </c>
      <c r="G54" s="35">
        <f t="shared" si="2"/>
        <v>10666.134705218275</v>
      </c>
      <c r="H54" s="36">
        <f t="shared" si="3"/>
        <v>-17.951352454370863</v>
      </c>
      <c r="I54" s="36">
        <f t="shared" si="4"/>
        <v>322.25105494104679</v>
      </c>
      <c r="J54" s="1"/>
    </row>
    <row r="55" spans="1:10" x14ac:dyDescent="0.25">
      <c r="A55" s="32"/>
      <c r="B55" s="32">
        <v>41</v>
      </c>
      <c r="C55" s="33">
        <v>2367.12</v>
      </c>
      <c r="D55" s="33">
        <v>9411.4699999999993</v>
      </c>
      <c r="E55" s="34">
        <f t="shared" si="0"/>
        <v>11454.545454545456</v>
      </c>
      <c r="F55" s="35">
        <f t="shared" si="1"/>
        <v>9385.195043191934</v>
      </c>
      <c r="G55" s="35">
        <f t="shared" si="2"/>
        <v>10729.636417691981</v>
      </c>
      <c r="H55" s="36">
        <f t="shared" si="3"/>
        <v>-26.274956808065326</v>
      </c>
      <c r="I55" s="36">
        <f t="shared" si="4"/>
        <v>690.37335526569848</v>
      </c>
      <c r="J55" s="1"/>
    </row>
    <row r="56" spans="1:10" x14ac:dyDescent="0.25">
      <c r="A56" s="32"/>
      <c r="B56" s="32">
        <v>42</v>
      </c>
      <c r="C56" s="33">
        <v>2391.12</v>
      </c>
      <c r="D56" s="33">
        <v>9545.4699999999993</v>
      </c>
      <c r="E56" s="34">
        <f t="shared" si="0"/>
        <v>11166.666666666666</v>
      </c>
      <c r="F56" s="35">
        <f t="shared" si="1"/>
        <v>9514.368463932351</v>
      </c>
      <c r="G56" s="35">
        <f t="shared" si="2"/>
        <v>10799.342269728426</v>
      </c>
      <c r="H56" s="36">
        <f t="shared" si="3"/>
        <v>-31.10153606764834</v>
      </c>
      <c r="I56" s="36">
        <f t="shared" si="4"/>
        <v>967.30554576723057</v>
      </c>
      <c r="J56" s="1"/>
    </row>
    <row r="57" spans="1:10" x14ac:dyDescent="0.25">
      <c r="A57" s="32"/>
      <c r="B57" s="32">
        <v>43</v>
      </c>
      <c r="C57" s="33">
        <v>2405.12</v>
      </c>
      <c r="D57" s="33">
        <v>9620.4699999999993</v>
      </c>
      <c r="E57" s="34">
        <f t="shared" si="0"/>
        <v>10714.285714285714</v>
      </c>
      <c r="F57" s="35">
        <f t="shared" si="1"/>
        <v>9590.1068171667539</v>
      </c>
      <c r="G57" s="35">
        <f t="shared" si="2"/>
        <v>10840.212956699319</v>
      </c>
      <c r="H57" s="36">
        <f t="shared" si="3"/>
        <v>-30.363182833245446</v>
      </c>
      <c r="I57" s="36">
        <f t="shared" si="4"/>
        <v>921.92287176509092</v>
      </c>
      <c r="J57" s="1"/>
    </row>
    <row r="58" spans="1:10" x14ac:dyDescent="0.25">
      <c r="A58" s="32"/>
      <c r="B58" s="32">
        <v>44</v>
      </c>
      <c r="C58" s="33">
        <v>2417.12</v>
      </c>
      <c r="D58" s="33">
        <v>9678.4699999999993</v>
      </c>
      <c r="E58" s="34">
        <f t="shared" si="0"/>
        <v>9666.6666666666661</v>
      </c>
      <c r="F58" s="35">
        <f t="shared" si="1"/>
        <v>9655.2535033119384</v>
      </c>
      <c r="G58" s="35">
        <f t="shared" si="2"/>
        <v>10875.368062440666</v>
      </c>
      <c r="H58" s="36">
        <f t="shared" si="3"/>
        <v>-23.216496688060943</v>
      </c>
      <c r="I58" s="36">
        <f t="shared" si="4"/>
        <v>539.00571846674472</v>
      </c>
      <c r="J58" s="1"/>
    </row>
    <row r="59" spans="1:10" x14ac:dyDescent="0.25">
      <c r="A59" s="32"/>
      <c r="B59" s="32">
        <v>45</v>
      </c>
      <c r="C59" s="33">
        <v>2439.12</v>
      </c>
      <c r="D59" s="33">
        <v>9793.4699999999993</v>
      </c>
      <c r="E59" s="34">
        <f t="shared" si="0"/>
        <v>10454.545454545456</v>
      </c>
      <c r="F59" s="35">
        <f t="shared" si="1"/>
        <v>9775.2383103938155</v>
      </c>
      <c r="G59" s="35">
        <f t="shared" si="2"/>
        <v>10940.115462959522</v>
      </c>
      <c r="H59" s="36">
        <f t="shared" si="3"/>
        <v>-18.231689606183863</v>
      </c>
      <c r="I59" s="36">
        <f t="shared" si="4"/>
        <v>332.39450589623272</v>
      </c>
      <c r="J59" s="1"/>
    </row>
    <row r="60" spans="1:10" x14ac:dyDescent="0.25">
      <c r="A60" s="32"/>
      <c r="B60" s="32">
        <v>46</v>
      </c>
      <c r="C60" s="33">
        <v>2455.12</v>
      </c>
      <c r="D60" s="33">
        <v>9879.4699999999993</v>
      </c>
      <c r="E60" s="34">
        <f t="shared" si="0"/>
        <v>10750</v>
      </c>
      <c r="F60" s="35">
        <f t="shared" si="1"/>
        <v>9862.9484219048245</v>
      </c>
      <c r="G60" s="35">
        <f t="shared" si="2"/>
        <v>10987.446469756753</v>
      </c>
      <c r="H60" s="36">
        <f t="shared" si="3"/>
        <v>-16.521578095174846</v>
      </c>
      <c r="I60" s="36">
        <f t="shared" si="4"/>
        <v>272.96254275496131</v>
      </c>
      <c r="J60" s="1"/>
    </row>
    <row r="61" spans="1:10" x14ac:dyDescent="0.25">
      <c r="A61" s="32"/>
      <c r="B61" s="32">
        <v>47</v>
      </c>
      <c r="C61" s="33">
        <v>2490.2199999999998</v>
      </c>
      <c r="D61" s="33">
        <v>10062.469999999999</v>
      </c>
      <c r="E61" s="34">
        <f t="shared" si="0"/>
        <v>10427.350427350455</v>
      </c>
      <c r="F61" s="35">
        <f t="shared" si="1"/>
        <v>10056.694094166973</v>
      </c>
      <c r="G61" s="35">
        <f t="shared" si="2"/>
        <v>11091.997445383124</v>
      </c>
      <c r="H61" s="36">
        <f t="shared" si="3"/>
        <v>-5.7759058330266271</v>
      </c>
      <c r="I61" s="36">
        <f t="shared" si="4"/>
        <v>33.361088191991016</v>
      </c>
      <c r="J61" s="1"/>
    </row>
    <row r="62" spans="1:10" x14ac:dyDescent="0.25">
      <c r="A62" s="32"/>
      <c r="B62" s="32">
        <v>48</v>
      </c>
      <c r="C62" s="33">
        <v>2525.3200000000002</v>
      </c>
      <c r="D62" s="33">
        <v>10245.469999999999</v>
      </c>
      <c r="E62" s="34">
        <f t="shared" si="0"/>
        <v>10427.350427350319</v>
      </c>
      <c r="F62" s="35">
        <f t="shared" si="1"/>
        <v>10252.28335211704</v>
      </c>
      <c r="G62" s="35">
        <f t="shared" si="2"/>
        <v>11197.543275140028</v>
      </c>
      <c r="H62" s="36">
        <f t="shared" si="3"/>
        <v>6.8133521170402673</v>
      </c>
      <c r="I62" s="36">
        <f t="shared" si="4"/>
        <v>46.421767070777094</v>
      </c>
      <c r="J62" s="1"/>
    </row>
    <row r="63" spans="1:10" x14ac:dyDescent="0.25">
      <c r="A63" s="32"/>
      <c r="B63" s="32">
        <v>49</v>
      </c>
      <c r="C63" s="33"/>
      <c r="D63" s="33"/>
      <c r="E63" s="34" t="str">
        <f t="shared" si="0"/>
        <v/>
      </c>
      <c r="F63" s="35" t="str">
        <f t="shared" si="1"/>
        <v/>
      </c>
      <c r="G63" s="35" t="str">
        <f t="shared" si="2"/>
        <v/>
      </c>
      <c r="H63" s="36" t="str">
        <f t="shared" si="3"/>
        <v/>
      </c>
      <c r="I63" s="36" t="str">
        <f t="shared" si="4"/>
        <v/>
      </c>
      <c r="J63" s="1"/>
    </row>
    <row r="64" spans="1:10" x14ac:dyDescent="0.25">
      <c r="A64" s="32"/>
      <c r="B64" s="32">
        <v>50</v>
      </c>
      <c r="C64" s="33"/>
      <c r="D64" s="33"/>
      <c r="E64" s="34" t="str">
        <f t="shared" si="0"/>
        <v/>
      </c>
      <c r="F64" s="35" t="str">
        <f t="shared" si="1"/>
        <v/>
      </c>
      <c r="G64" s="35" t="str">
        <f t="shared" si="2"/>
        <v/>
      </c>
      <c r="H64" s="36" t="str">
        <f t="shared" si="3"/>
        <v/>
      </c>
      <c r="I64" s="36" t="str">
        <f t="shared" si="4"/>
        <v/>
      </c>
      <c r="J64" s="1"/>
    </row>
    <row r="65" spans="1:10" x14ac:dyDescent="0.25">
      <c r="A65" s="32"/>
      <c r="B65" s="32">
        <v>51</v>
      </c>
      <c r="C65" s="33"/>
      <c r="D65" s="33"/>
      <c r="E65" s="34" t="str">
        <f t="shared" si="0"/>
        <v/>
      </c>
      <c r="F65" s="35" t="str">
        <f t="shared" si="1"/>
        <v/>
      </c>
      <c r="G65" s="35" t="str">
        <f t="shared" si="2"/>
        <v/>
      </c>
      <c r="H65" s="36" t="str">
        <f t="shared" si="3"/>
        <v/>
      </c>
      <c r="I65" s="36" t="str">
        <f t="shared" si="4"/>
        <v/>
      </c>
      <c r="J65" s="1"/>
    </row>
    <row r="66" spans="1:10" x14ac:dyDescent="0.25">
      <c r="A66" s="32"/>
      <c r="B66" s="32">
        <v>52</v>
      </c>
      <c r="C66" s="33"/>
      <c r="D66" s="33"/>
      <c r="E66" s="34" t="str">
        <f t="shared" si="0"/>
        <v/>
      </c>
      <c r="F66" s="35" t="str">
        <f t="shared" si="1"/>
        <v/>
      </c>
      <c r="G66" s="35" t="str">
        <f t="shared" si="2"/>
        <v/>
      </c>
      <c r="H66" s="36" t="str">
        <f t="shared" si="3"/>
        <v/>
      </c>
      <c r="I66" s="36" t="str">
        <f t="shared" si="4"/>
        <v/>
      </c>
      <c r="J66" s="1"/>
    </row>
    <row r="67" spans="1:10" x14ac:dyDescent="0.25">
      <c r="A67" s="32"/>
      <c r="B67" s="32">
        <v>53</v>
      </c>
      <c r="C67" s="33"/>
      <c r="D67" s="33"/>
      <c r="E67" s="34" t="str">
        <f t="shared" si="0"/>
        <v/>
      </c>
      <c r="F67" s="35" t="str">
        <f t="shared" si="1"/>
        <v/>
      </c>
      <c r="G67" s="35" t="str">
        <f t="shared" si="2"/>
        <v/>
      </c>
      <c r="H67" s="36" t="str">
        <f t="shared" si="3"/>
        <v/>
      </c>
      <c r="I67" s="36" t="str">
        <f t="shared" si="4"/>
        <v/>
      </c>
      <c r="J67" s="1"/>
    </row>
    <row r="68" spans="1:10" x14ac:dyDescent="0.25">
      <c r="A68" s="32"/>
      <c r="B68" s="32">
        <v>54</v>
      </c>
      <c r="C68" s="33"/>
      <c r="D68" s="33"/>
      <c r="E68" s="34" t="str">
        <f t="shared" si="0"/>
        <v/>
      </c>
      <c r="F68" s="35" t="str">
        <f t="shared" si="1"/>
        <v/>
      </c>
      <c r="G68" s="35" t="str">
        <f t="shared" si="2"/>
        <v/>
      </c>
      <c r="H68" s="36" t="str">
        <f t="shared" si="3"/>
        <v/>
      </c>
      <c r="I68" s="36" t="str">
        <f t="shared" si="4"/>
        <v/>
      </c>
      <c r="J68" s="1"/>
    </row>
    <row r="69" spans="1:10" x14ac:dyDescent="0.25">
      <c r="A69" s="32"/>
      <c r="B69" s="32">
        <v>55</v>
      </c>
      <c r="C69" s="33"/>
      <c r="D69" s="33"/>
      <c r="E69" s="34" t="str">
        <f t="shared" si="0"/>
        <v/>
      </c>
      <c r="F69" s="35" t="str">
        <f t="shared" si="1"/>
        <v/>
      </c>
      <c r="G69" s="35" t="str">
        <f t="shared" si="2"/>
        <v/>
      </c>
      <c r="H69" s="36" t="str">
        <f t="shared" si="3"/>
        <v/>
      </c>
      <c r="I69" s="36" t="str">
        <f t="shared" si="4"/>
        <v/>
      </c>
      <c r="J69" s="1"/>
    </row>
    <row r="70" spans="1:10" x14ac:dyDescent="0.25">
      <c r="A70" s="32"/>
      <c r="B70" s="32">
        <v>56</v>
      </c>
      <c r="C70" s="33"/>
      <c r="D70" s="33"/>
      <c r="E70" s="34" t="str">
        <f t="shared" si="0"/>
        <v/>
      </c>
      <c r="F70" s="35" t="str">
        <f t="shared" si="1"/>
        <v/>
      </c>
      <c r="G70" s="35" t="str">
        <f t="shared" si="2"/>
        <v/>
      </c>
      <c r="H70" s="36" t="str">
        <f t="shared" si="3"/>
        <v/>
      </c>
      <c r="I70" s="36" t="str">
        <f t="shared" si="4"/>
        <v/>
      </c>
      <c r="J70" s="1"/>
    </row>
    <row r="71" spans="1:10" x14ac:dyDescent="0.25">
      <c r="A71" s="32"/>
      <c r="B71" s="32">
        <v>57</v>
      </c>
      <c r="C71" s="33"/>
      <c r="D71" s="33"/>
      <c r="E71" s="34" t="str">
        <f t="shared" si="0"/>
        <v/>
      </c>
      <c r="F71" s="35" t="str">
        <f t="shared" si="1"/>
        <v/>
      </c>
      <c r="G71" s="35" t="str">
        <f t="shared" si="2"/>
        <v/>
      </c>
      <c r="H71" s="36" t="str">
        <f t="shared" si="3"/>
        <v/>
      </c>
      <c r="I71" s="36" t="str">
        <f t="shared" si="4"/>
        <v/>
      </c>
      <c r="J71" s="1"/>
    </row>
    <row r="72" spans="1:10" x14ac:dyDescent="0.25">
      <c r="A72" s="32"/>
      <c r="B72" s="32">
        <v>58</v>
      </c>
      <c r="C72" s="33"/>
      <c r="D72" s="33"/>
      <c r="E72" s="34" t="str">
        <f t="shared" si="0"/>
        <v/>
      </c>
      <c r="F72" s="35" t="str">
        <f t="shared" si="1"/>
        <v/>
      </c>
      <c r="G72" s="35" t="str">
        <f t="shared" si="2"/>
        <v/>
      </c>
      <c r="H72" s="36" t="str">
        <f t="shared" si="3"/>
        <v/>
      </c>
      <c r="I72" s="36" t="str">
        <f t="shared" si="4"/>
        <v/>
      </c>
      <c r="J72" s="1"/>
    </row>
    <row r="73" spans="1:10" x14ac:dyDescent="0.25">
      <c r="A73" s="32"/>
      <c r="B73" s="32">
        <v>59</v>
      </c>
      <c r="C73" s="33"/>
      <c r="D73" s="33"/>
      <c r="E73" s="34" t="str">
        <f t="shared" si="0"/>
        <v/>
      </c>
      <c r="F73" s="35" t="str">
        <f t="shared" si="1"/>
        <v/>
      </c>
      <c r="G73" s="35" t="str">
        <f t="shared" si="2"/>
        <v/>
      </c>
      <c r="H73" s="36" t="str">
        <f t="shared" si="3"/>
        <v/>
      </c>
      <c r="I73" s="36" t="str">
        <f t="shared" si="4"/>
        <v/>
      </c>
      <c r="J73" s="1"/>
    </row>
    <row r="74" spans="1:10" x14ac:dyDescent="0.25">
      <c r="A74" s="32"/>
      <c r="B74" s="32">
        <v>60</v>
      </c>
      <c r="C74" s="33"/>
      <c r="D74" s="33"/>
      <c r="E74" s="34" t="str">
        <f t="shared" si="0"/>
        <v/>
      </c>
      <c r="F74" s="35" t="str">
        <f t="shared" si="1"/>
        <v/>
      </c>
      <c r="G74" s="35" t="str">
        <f t="shared" si="2"/>
        <v/>
      </c>
      <c r="H74" s="36" t="str">
        <f t="shared" si="3"/>
        <v/>
      </c>
      <c r="I74" s="36" t="str">
        <f t="shared" si="4"/>
        <v/>
      </c>
      <c r="J74" s="1"/>
    </row>
    <row r="75" spans="1:10" x14ac:dyDescent="0.25">
      <c r="A75" s="32"/>
      <c r="B75" s="32">
        <v>61</v>
      </c>
      <c r="C75" s="33"/>
      <c r="D75" s="33"/>
      <c r="E75" s="34" t="str">
        <f t="shared" si="0"/>
        <v/>
      </c>
      <c r="F75" s="35" t="str">
        <f t="shared" si="1"/>
        <v/>
      </c>
      <c r="G75" s="35" t="str">
        <f t="shared" si="2"/>
        <v/>
      </c>
      <c r="H75" s="36" t="str">
        <f t="shared" si="3"/>
        <v/>
      </c>
      <c r="I75" s="36" t="str">
        <f t="shared" si="4"/>
        <v/>
      </c>
      <c r="J75" s="1"/>
    </row>
    <row r="76" spans="1:10" x14ac:dyDescent="0.25">
      <c r="A76" s="32"/>
      <c r="B76" s="32">
        <v>62</v>
      </c>
      <c r="C76" s="33"/>
      <c r="D76" s="33"/>
      <c r="E76" s="34" t="str">
        <f t="shared" si="0"/>
        <v/>
      </c>
      <c r="F76" s="35" t="str">
        <f t="shared" si="1"/>
        <v/>
      </c>
      <c r="G76" s="35" t="str">
        <f t="shared" si="2"/>
        <v/>
      </c>
      <c r="H76" s="36" t="str">
        <f t="shared" si="3"/>
        <v/>
      </c>
      <c r="I76" s="36" t="str">
        <f t="shared" si="4"/>
        <v/>
      </c>
      <c r="J76" s="1"/>
    </row>
    <row r="77" spans="1:10" x14ac:dyDescent="0.25">
      <c r="A77" s="32"/>
      <c r="B77" s="32">
        <v>63</v>
      </c>
      <c r="C77" s="33"/>
      <c r="D77" s="33"/>
      <c r="E77" s="34" t="str">
        <f t="shared" si="0"/>
        <v/>
      </c>
      <c r="F77" s="35" t="str">
        <f t="shared" si="1"/>
        <v/>
      </c>
      <c r="G77" s="35" t="str">
        <f t="shared" si="2"/>
        <v/>
      </c>
      <c r="H77" s="36" t="str">
        <f t="shared" si="3"/>
        <v/>
      </c>
      <c r="I77" s="36" t="str">
        <f t="shared" si="4"/>
        <v/>
      </c>
      <c r="J77" s="1"/>
    </row>
    <row r="78" spans="1:10" x14ac:dyDescent="0.25">
      <c r="A78" s="32"/>
      <c r="B78" s="32">
        <v>64</v>
      </c>
      <c r="C78" s="37"/>
      <c r="D78" s="37"/>
      <c r="E78" s="34" t="str">
        <f t="shared" si="0"/>
        <v/>
      </c>
      <c r="F78" s="35" t="str">
        <f t="shared" si="1"/>
        <v/>
      </c>
      <c r="G78" s="35" t="str">
        <f t="shared" si="2"/>
        <v/>
      </c>
      <c r="H78" s="36" t="str">
        <f t="shared" si="3"/>
        <v/>
      </c>
      <c r="I78" s="36" t="str">
        <f t="shared" si="4"/>
        <v/>
      </c>
      <c r="J78" s="1"/>
    </row>
    <row r="79" spans="1:10" x14ac:dyDescent="0.25">
      <c r="A79" s="32"/>
      <c r="B79" s="32">
        <v>65</v>
      </c>
      <c r="C79" s="37"/>
      <c r="D79" s="37"/>
      <c r="E79" s="34" t="str">
        <f t="shared" ref="E79:E142" si="5">IF(C79="","",2*(D79-D78)/((C79-C78)/1000))</f>
        <v/>
      </c>
      <c r="F79" s="35" t="str">
        <f t="shared" ref="F79:F142" si="6">IF(C79="","",F$7+(F$9/F$10)*(EXP(F$10*(C79-F$8)/2000)-1))</f>
        <v/>
      </c>
      <c r="G79" s="35" t="str">
        <f t="shared" ref="G79:G142" si="7">IF(E79="","",F$9+(F79-F$7)*F$10)</f>
        <v/>
      </c>
      <c r="H79" s="36" t="str">
        <f t="shared" ref="H79:H142" si="8">IF(F79="","",F79-D79)</f>
        <v/>
      </c>
      <c r="I79" s="36" t="str">
        <f t="shared" ref="I79:I142" si="9">IF(H79="","",H79^2)</f>
        <v/>
      </c>
      <c r="J79" s="1"/>
    </row>
    <row r="80" spans="1:10" x14ac:dyDescent="0.25">
      <c r="A80" s="32"/>
      <c r="B80" s="32">
        <v>66</v>
      </c>
      <c r="C80" s="37"/>
      <c r="D80" s="37"/>
      <c r="E80" s="34" t="str">
        <f t="shared" si="5"/>
        <v/>
      </c>
      <c r="F80" s="35" t="str">
        <f t="shared" si="6"/>
        <v/>
      </c>
      <c r="G80" s="35" t="str">
        <f t="shared" si="7"/>
        <v/>
      </c>
      <c r="H80" s="36" t="str">
        <f t="shared" si="8"/>
        <v/>
      </c>
      <c r="I80" s="36" t="str">
        <f t="shared" si="9"/>
        <v/>
      </c>
      <c r="J80" s="1"/>
    </row>
    <row r="81" spans="1:22" x14ac:dyDescent="0.25">
      <c r="A81" s="32"/>
      <c r="B81" s="32">
        <v>67</v>
      </c>
      <c r="C81" s="37"/>
      <c r="D81" s="37"/>
      <c r="E81" s="34" t="str">
        <f t="shared" si="5"/>
        <v/>
      </c>
      <c r="F81" s="35" t="str">
        <f t="shared" si="6"/>
        <v/>
      </c>
      <c r="G81" s="35" t="str">
        <f t="shared" si="7"/>
        <v/>
      </c>
      <c r="H81" s="36" t="str">
        <f t="shared" si="8"/>
        <v/>
      </c>
      <c r="I81" s="36" t="str">
        <f t="shared" si="9"/>
        <v/>
      </c>
      <c r="J81" s="1"/>
    </row>
    <row r="82" spans="1:22" x14ac:dyDescent="0.25">
      <c r="A82" s="32"/>
      <c r="B82" s="32">
        <v>68</v>
      </c>
      <c r="C82" s="37"/>
      <c r="D82" s="37"/>
      <c r="E82" s="34" t="str">
        <f t="shared" si="5"/>
        <v/>
      </c>
      <c r="F82" s="35" t="str">
        <f t="shared" si="6"/>
        <v/>
      </c>
      <c r="G82" s="35" t="str">
        <f t="shared" si="7"/>
        <v/>
      </c>
      <c r="H82" s="36" t="str">
        <f t="shared" si="8"/>
        <v/>
      </c>
      <c r="I82" s="36" t="str">
        <f t="shared" si="9"/>
        <v/>
      </c>
      <c r="J82" s="1"/>
    </row>
    <row r="83" spans="1:22" x14ac:dyDescent="0.25">
      <c r="A83" s="32"/>
      <c r="B83" s="32">
        <v>69</v>
      </c>
      <c r="C83" s="37"/>
      <c r="D83" s="37"/>
      <c r="E83" s="34" t="str">
        <f t="shared" si="5"/>
        <v/>
      </c>
      <c r="F83" s="35" t="str">
        <f t="shared" si="6"/>
        <v/>
      </c>
      <c r="G83" s="35" t="str">
        <f t="shared" si="7"/>
        <v/>
      </c>
      <c r="H83" s="36" t="str">
        <f t="shared" si="8"/>
        <v/>
      </c>
      <c r="I83" s="36" t="str">
        <f t="shared" si="9"/>
        <v/>
      </c>
      <c r="J83" s="1"/>
    </row>
    <row r="84" spans="1:22" x14ac:dyDescent="0.25">
      <c r="A84" s="32"/>
      <c r="B84" s="32">
        <v>70</v>
      </c>
      <c r="C84" s="37"/>
      <c r="D84" s="37"/>
      <c r="E84" s="34" t="str">
        <f t="shared" si="5"/>
        <v/>
      </c>
      <c r="F84" s="35" t="str">
        <f t="shared" si="6"/>
        <v/>
      </c>
      <c r="G84" s="35" t="str">
        <f t="shared" si="7"/>
        <v/>
      </c>
      <c r="H84" s="36" t="str">
        <f t="shared" si="8"/>
        <v/>
      </c>
      <c r="I84" s="36" t="str">
        <f t="shared" si="9"/>
        <v/>
      </c>
      <c r="J84" s="1"/>
    </row>
    <row r="85" spans="1:22" x14ac:dyDescent="0.25">
      <c r="A85" s="32"/>
      <c r="B85" s="32">
        <v>71</v>
      </c>
      <c r="C85" s="37"/>
      <c r="D85" s="37"/>
      <c r="E85" s="34" t="str">
        <f t="shared" si="5"/>
        <v/>
      </c>
      <c r="F85" s="35" t="str">
        <f t="shared" si="6"/>
        <v/>
      </c>
      <c r="G85" s="35" t="str">
        <f t="shared" si="7"/>
        <v/>
      </c>
      <c r="H85" s="36" t="str">
        <f t="shared" si="8"/>
        <v/>
      </c>
      <c r="I85" s="36" t="str">
        <f t="shared" si="9"/>
        <v/>
      </c>
      <c r="J85" s="1"/>
    </row>
    <row r="86" spans="1:22" x14ac:dyDescent="0.25">
      <c r="A86" s="32"/>
      <c r="B86" s="32">
        <v>72</v>
      </c>
      <c r="C86" s="37"/>
      <c r="D86" s="37"/>
      <c r="E86" s="34" t="str">
        <f t="shared" si="5"/>
        <v/>
      </c>
      <c r="F86" s="35" t="str">
        <f t="shared" si="6"/>
        <v/>
      </c>
      <c r="G86" s="35" t="str">
        <f t="shared" si="7"/>
        <v/>
      </c>
      <c r="H86" s="36" t="str">
        <f t="shared" si="8"/>
        <v/>
      </c>
      <c r="I86" s="36" t="str">
        <f t="shared" si="9"/>
        <v/>
      </c>
      <c r="J86" s="1"/>
    </row>
    <row r="87" spans="1:22" x14ac:dyDescent="0.25">
      <c r="A87" s="32"/>
      <c r="B87" s="32">
        <v>73</v>
      </c>
      <c r="C87" s="37"/>
      <c r="D87" s="37"/>
      <c r="E87" s="34" t="str">
        <f t="shared" si="5"/>
        <v/>
      </c>
      <c r="F87" s="35" t="str">
        <f t="shared" si="6"/>
        <v/>
      </c>
      <c r="G87" s="35" t="str">
        <f t="shared" si="7"/>
        <v/>
      </c>
      <c r="H87" s="36" t="str">
        <f t="shared" si="8"/>
        <v/>
      </c>
      <c r="I87" s="36" t="str">
        <f t="shared" si="9"/>
        <v/>
      </c>
      <c r="J87" s="1"/>
    </row>
    <row r="88" spans="1:22" x14ac:dyDescent="0.25">
      <c r="A88" s="32"/>
      <c r="B88" s="32">
        <v>74</v>
      </c>
      <c r="C88" s="37"/>
      <c r="D88" s="37"/>
      <c r="E88" s="34" t="str">
        <f t="shared" si="5"/>
        <v/>
      </c>
      <c r="F88" s="35" t="str">
        <f t="shared" si="6"/>
        <v/>
      </c>
      <c r="G88" s="35" t="str">
        <f t="shared" si="7"/>
        <v/>
      </c>
      <c r="H88" s="36" t="str">
        <f t="shared" si="8"/>
        <v/>
      </c>
      <c r="I88" s="36" t="str">
        <f t="shared" si="9"/>
        <v/>
      </c>
      <c r="J88" s="1"/>
    </row>
    <row r="89" spans="1:22" x14ac:dyDescent="0.25">
      <c r="A89" s="32"/>
      <c r="B89" s="32">
        <v>75</v>
      </c>
      <c r="C89" s="37"/>
      <c r="D89" s="37"/>
      <c r="E89" s="34" t="str">
        <f t="shared" si="5"/>
        <v/>
      </c>
      <c r="F89" s="35" t="str">
        <f t="shared" si="6"/>
        <v/>
      </c>
      <c r="G89" s="35" t="str">
        <f t="shared" si="7"/>
        <v/>
      </c>
      <c r="H89" s="36" t="str">
        <f t="shared" si="8"/>
        <v/>
      </c>
      <c r="I89" s="36" t="str">
        <f t="shared" si="9"/>
        <v/>
      </c>
      <c r="J89" s="1"/>
    </row>
    <row r="90" spans="1:22" x14ac:dyDescent="0.25">
      <c r="A90" s="32"/>
      <c r="B90" s="32">
        <v>76</v>
      </c>
      <c r="C90" s="37"/>
      <c r="D90" s="37"/>
      <c r="E90" s="34" t="str">
        <f t="shared" si="5"/>
        <v/>
      </c>
      <c r="F90" s="35" t="str">
        <f t="shared" si="6"/>
        <v/>
      </c>
      <c r="G90" s="35" t="str">
        <f t="shared" si="7"/>
        <v/>
      </c>
      <c r="H90" s="36" t="str">
        <f t="shared" si="8"/>
        <v/>
      </c>
      <c r="I90" s="36" t="str">
        <f t="shared" si="9"/>
        <v/>
      </c>
      <c r="J90" s="1"/>
    </row>
    <row r="91" spans="1:22" x14ac:dyDescent="0.25">
      <c r="A91" s="32"/>
      <c r="B91" s="32">
        <v>77</v>
      </c>
      <c r="C91" s="37"/>
      <c r="D91" s="37"/>
      <c r="E91" s="34" t="str">
        <f t="shared" si="5"/>
        <v/>
      </c>
      <c r="F91" s="35" t="str">
        <f t="shared" si="6"/>
        <v/>
      </c>
      <c r="G91" s="35" t="str">
        <f t="shared" si="7"/>
        <v/>
      </c>
      <c r="H91" s="36" t="str">
        <f t="shared" si="8"/>
        <v/>
      </c>
      <c r="I91" s="36" t="str">
        <f t="shared" si="9"/>
        <v/>
      </c>
      <c r="J91" s="1"/>
      <c r="M91" s="38"/>
    </row>
    <row r="92" spans="1:22" x14ac:dyDescent="0.25">
      <c r="A92" s="32"/>
      <c r="B92" s="32">
        <v>78</v>
      </c>
      <c r="C92" s="37"/>
      <c r="D92" s="37"/>
      <c r="E92" s="34" t="str">
        <f t="shared" si="5"/>
        <v/>
      </c>
      <c r="F92" s="35" t="str">
        <f t="shared" si="6"/>
        <v/>
      </c>
      <c r="G92" s="35" t="str">
        <f t="shared" si="7"/>
        <v/>
      </c>
      <c r="H92" s="36" t="str">
        <f t="shared" si="8"/>
        <v/>
      </c>
      <c r="I92" s="36" t="str">
        <f t="shared" si="9"/>
        <v/>
      </c>
      <c r="J92" s="1"/>
    </row>
    <row r="93" spans="1:22" x14ac:dyDescent="0.25">
      <c r="A93" s="32"/>
      <c r="B93" s="32">
        <v>79</v>
      </c>
      <c r="C93" s="37"/>
      <c r="D93" s="37"/>
      <c r="E93" s="34" t="str">
        <f t="shared" si="5"/>
        <v/>
      </c>
      <c r="F93" s="35" t="str">
        <f t="shared" si="6"/>
        <v/>
      </c>
      <c r="G93" s="35" t="str">
        <f t="shared" si="7"/>
        <v/>
      </c>
      <c r="H93" s="36" t="str">
        <f t="shared" si="8"/>
        <v/>
      </c>
      <c r="I93" s="36" t="str">
        <f t="shared" si="9"/>
        <v/>
      </c>
      <c r="J93" s="1"/>
    </row>
    <row r="94" spans="1:22" x14ac:dyDescent="0.25">
      <c r="A94" s="32"/>
      <c r="B94" s="32">
        <v>80</v>
      </c>
      <c r="C94" s="37"/>
      <c r="D94" s="37"/>
      <c r="E94" s="34" t="str">
        <f t="shared" si="5"/>
        <v/>
      </c>
      <c r="F94" s="35" t="str">
        <f t="shared" si="6"/>
        <v/>
      </c>
      <c r="G94" s="35" t="str">
        <f t="shared" si="7"/>
        <v/>
      </c>
      <c r="H94" s="36" t="str">
        <f t="shared" si="8"/>
        <v/>
      </c>
      <c r="I94" s="36" t="str">
        <f t="shared" si="9"/>
        <v/>
      </c>
      <c r="J94" s="1"/>
    </row>
    <row r="95" spans="1:22" x14ac:dyDescent="0.25">
      <c r="A95" s="32"/>
      <c r="B95" s="32">
        <v>81</v>
      </c>
      <c r="C95" s="37"/>
      <c r="D95" s="37"/>
      <c r="E95" s="34" t="str">
        <f t="shared" si="5"/>
        <v/>
      </c>
      <c r="F95" s="35" t="str">
        <f t="shared" si="6"/>
        <v/>
      </c>
      <c r="G95" s="35" t="str">
        <f t="shared" si="7"/>
        <v/>
      </c>
      <c r="H95" s="36" t="str">
        <f t="shared" si="8"/>
        <v/>
      </c>
      <c r="I95" s="36" t="str">
        <f t="shared" si="9"/>
        <v/>
      </c>
      <c r="J95" s="1"/>
      <c r="N95" s="39"/>
      <c r="O95" s="39"/>
      <c r="P95" s="39"/>
      <c r="Q95" s="39"/>
      <c r="R95" s="39"/>
      <c r="S95" s="39"/>
      <c r="T95" s="39"/>
      <c r="U95" s="39"/>
      <c r="V95" s="39"/>
    </row>
    <row r="96" spans="1:22" x14ac:dyDescent="0.25">
      <c r="A96" s="32"/>
      <c r="B96" s="32">
        <v>82</v>
      </c>
      <c r="C96" s="37"/>
      <c r="D96" s="37"/>
      <c r="E96" s="34" t="str">
        <f t="shared" si="5"/>
        <v/>
      </c>
      <c r="F96" s="35" t="str">
        <f t="shared" si="6"/>
        <v/>
      </c>
      <c r="G96" s="35" t="str">
        <f t="shared" si="7"/>
        <v/>
      </c>
      <c r="H96" s="36" t="str">
        <f t="shared" si="8"/>
        <v/>
      </c>
      <c r="I96" s="36" t="str">
        <f t="shared" si="9"/>
        <v/>
      </c>
      <c r="J96" s="1"/>
      <c r="N96" s="39"/>
      <c r="O96" s="39"/>
      <c r="P96" s="39"/>
      <c r="Q96" s="39"/>
      <c r="R96" s="39"/>
      <c r="S96" s="39"/>
      <c r="T96" s="39"/>
      <c r="U96" s="39"/>
      <c r="V96" s="39"/>
    </row>
    <row r="97" spans="1:10" x14ac:dyDescent="0.25">
      <c r="A97" s="32"/>
      <c r="B97" s="32">
        <v>83</v>
      </c>
      <c r="C97" s="37"/>
      <c r="D97" s="37"/>
      <c r="E97" s="34" t="str">
        <f t="shared" si="5"/>
        <v/>
      </c>
      <c r="F97" s="35" t="str">
        <f t="shared" si="6"/>
        <v/>
      </c>
      <c r="G97" s="35" t="str">
        <f t="shared" si="7"/>
        <v/>
      </c>
      <c r="H97" s="36" t="str">
        <f t="shared" si="8"/>
        <v/>
      </c>
      <c r="I97" s="36" t="str">
        <f t="shared" si="9"/>
        <v/>
      </c>
      <c r="J97" s="1"/>
    </row>
    <row r="98" spans="1:10" x14ac:dyDescent="0.25">
      <c r="A98" s="32"/>
      <c r="B98" s="32">
        <v>84</v>
      </c>
      <c r="C98" s="37"/>
      <c r="D98" s="37"/>
      <c r="E98" s="34" t="str">
        <f t="shared" si="5"/>
        <v/>
      </c>
      <c r="F98" s="35" t="str">
        <f t="shared" si="6"/>
        <v/>
      </c>
      <c r="G98" s="35" t="str">
        <f t="shared" si="7"/>
        <v/>
      </c>
      <c r="H98" s="36" t="str">
        <f t="shared" si="8"/>
        <v/>
      </c>
      <c r="I98" s="36" t="str">
        <f t="shared" si="9"/>
        <v/>
      </c>
      <c r="J98" s="1"/>
    </row>
    <row r="99" spans="1:10" x14ac:dyDescent="0.25">
      <c r="A99" s="32"/>
      <c r="B99" s="32">
        <v>85</v>
      </c>
      <c r="C99" s="37"/>
      <c r="D99" s="37"/>
      <c r="E99" s="34" t="str">
        <f t="shared" si="5"/>
        <v/>
      </c>
      <c r="F99" s="35" t="str">
        <f t="shared" si="6"/>
        <v/>
      </c>
      <c r="G99" s="35" t="str">
        <f t="shared" si="7"/>
        <v/>
      </c>
      <c r="H99" s="36" t="str">
        <f t="shared" si="8"/>
        <v/>
      </c>
      <c r="I99" s="36" t="str">
        <f t="shared" si="9"/>
        <v/>
      </c>
      <c r="J99" s="1"/>
    </row>
    <row r="100" spans="1:10" x14ac:dyDescent="0.25">
      <c r="A100" s="32"/>
      <c r="B100" s="32">
        <v>86</v>
      </c>
      <c r="C100" s="37"/>
      <c r="D100" s="37"/>
      <c r="E100" s="34" t="str">
        <f t="shared" si="5"/>
        <v/>
      </c>
      <c r="F100" s="35" t="str">
        <f t="shared" si="6"/>
        <v/>
      </c>
      <c r="G100" s="35" t="str">
        <f t="shared" si="7"/>
        <v/>
      </c>
      <c r="H100" s="36" t="str">
        <f t="shared" si="8"/>
        <v/>
      </c>
      <c r="I100" s="36" t="str">
        <f t="shared" si="9"/>
        <v/>
      </c>
      <c r="J100" s="1"/>
    </row>
    <row r="101" spans="1:10" x14ac:dyDescent="0.25">
      <c r="A101" s="32"/>
      <c r="B101" s="32">
        <v>87</v>
      </c>
      <c r="C101" s="37"/>
      <c r="D101" s="37"/>
      <c r="E101" s="34" t="str">
        <f t="shared" si="5"/>
        <v/>
      </c>
      <c r="F101" s="35" t="str">
        <f t="shared" si="6"/>
        <v/>
      </c>
      <c r="G101" s="35" t="str">
        <f t="shared" si="7"/>
        <v/>
      </c>
      <c r="H101" s="36" t="str">
        <f t="shared" si="8"/>
        <v/>
      </c>
      <c r="I101" s="36" t="str">
        <f t="shared" si="9"/>
        <v/>
      </c>
      <c r="J101" s="1"/>
    </row>
    <row r="102" spans="1:10" x14ac:dyDescent="0.25">
      <c r="A102" s="32"/>
      <c r="B102" s="32">
        <v>88</v>
      </c>
      <c r="C102" s="37"/>
      <c r="D102" s="37"/>
      <c r="E102" s="34" t="str">
        <f t="shared" si="5"/>
        <v/>
      </c>
      <c r="F102" s="35" t="str">
        <f t="shared" si="6"/>
        <v/>
      </c>
      <c r="G102" s="35" t="str">
        <f t="shared" si="7"/>
        <v/>
      </c>
      <c r="H102" s="36" t="str">
        <f t="shared" si="8"/>
        <v/>
      </c>
      <c r="I102" s="36" t="str">
        <f t="shared" si="9"/>
        <v/>
      </c>
      <c r="J102" s="1"/>
    </row>
    <row r="103" spans="1:10" x14ac:dyDescent="0.25">
      <c r="A103" s="32"/>
      <c r="B103" s="32">
        <v>89</v>
      </c>
      <c r="C103" s="37"/>
      <c r="D103" s="37"/>
      <c r="E103" s="34" t="str">
        <f t="shared" si="5"/>
        <v/>
      </c>
      <c r="F103" s="35" t="str">
        <f t="shared" si="6"/>
        <v/>
      </c>
      <c r="G103" s="35" t="str">
        <f t="shared" si="7"/>
        <v/>
      </c>
      <c r="H103" s="36" t="str">
        <f t="shared" si="8"/>
        <v/>
      </c>
      <c r="I103" s="36" t="str">
        <f t="shared" si="9"/>
        <v/>
      </c>
      <c r="J103" s="1"/>
    </row>
    <row r="104" spans="1:10" x14ac:dyDescent="0.25">
      <c r="A104" s="32"/>
      <c r="B104" s="32">
        <v>90</v>
      </c>
      <c r="C104" s="37"/>
      <c r="D104" s="37"/>
      <c r="E104" s="34" t="str">
        <f t="shared" si="5"/>
        <v/>
      </c>
      <c r="F104" s="35" t="str">
        <f t="shared" si="6"/>
        <v/>
      </c>
      <c r="G104" s="35" t="str">
        <f t="shared" si="7"/>
        <v/>
      </c>
      <c r="H104" s="36" t="str">
        <f t="shared" si="8"/>
        <v/>
      </c>
      <c r="I104" s="36" t="str">
        <f t="shared" si="9"/>
        <v/>
      </c>
      <c r="J104" s="1"/>
    </row>
    <row r="105" spans="1:10" x14ac:dyDescent="0.25">
      <c r="A105" s="32"/>
      <c r="B105" s="32">
        <v>91</v>
      </c>
      <c r="C105" s="37"/>
      <c r="D105" s="37"/>
      <c r="E105" s="34" t="str">
        <f t="shared" si="5"/>
        <v/>
      </c>
      <c r="F105" s="35" t="str">
        <f t="shared" si="6"/>
        <v/>
      </c>
      <c r="G105" s="35" t="str">
        <f t="shared" si="7"/>
        <v/>
      </c>
      <c r="H105" s="36" t="str">
        <f t="shared" si="8"/>
        <v/>
      </c>
      <c r="I105" s="36" t="str">
        <f t="shared" si="9"/>
        <v/>
      </c>
      <c r="J105" s="1"/>
    </row>
    <row r="106" spans="1:10" x14ac:dyDescent="0.25">
      <c r="A106" s="32"/>
      <c r="B106" s="32">
        <v>92</v>
      </c>
      <c r="C106" s="37"/>
      <c r="D106" s="37"/>
      <c r="E106" s="34" t="str">
        <f t="shared" si="5"/>
        <v/>
      </c>
      <c r="F106" s="35" t="str">
        <f t="shared" si="6"/>
        <v/>
      </c>
      <c r="G106" s="35" t="str">
        <f t="shared" si="7"/>
        <v/>
      </c>
      <c r="H106" s="36" t="str">
        <f t="shared" si="8"/>
        <v/>
      </c>
      <c r="I106" s="36" t="str">
        <f t="shared" si="9"/>
        <v/>
      </c>
      <c r="J106" s="1"/>
    </row>
    <row r="107" spans="1:10" x14ac:dyDescent="0.25">
      <c r="A107" s="32"/>
      <c r="B107" s="32">
        <v>93</v>
      </c>
      <c r="C107" s="37"/>
      <c r="D107" s="37"/>
      <c r="E107" s="34" t="str">
        <f t="shared" si="5"/>
        <v/>
      </c>
      <c r="F107" s="35" t="str">
        <f t="shared" si="6"/>
        <v/>
      </c>
      <c r="G107" s="35" t="str">
        <f t="shared" si="7"/>
        <v/>
      </c>
      <c r="H107" s="36" t="str">
        <f t="shared" si="8"/>
        <v/>
      </c>
      <c r="I107" s="36" t="str">
        <f t="shared" si="9"/>
        <v/>
      </c>
      <c r="J107" s="1"/>
    </row>
    <row r="108" spans="1:10" x14ac:dyDescent="0.25">
      <c r="A108" s="32"/>
      <c r="B108" s="32">
        <v>94</v>
      </c>
      <c r="C108" s="37"/>
      <c r="D108" s="37"/>
      <c r="E108" s="34" t="str">
        <f t="shared" si="5"/>
        <v/>
      </c>
      <c r="F108" s="35" t="str">
        <f t="shared" si="6"/>
        <v/>
      </c>
      <c r="G108" s="35" t="str">
        <f t="shared" si="7"/>
        <v/>
      </c>
      <c r="H108" s="36" t="str">
        <f t="shared" si="8"/>
        <v/>
      </c>
      <c r="I108" s="36" t="str">
        <f t="shared" si="9"/>
        <v/>
      </c>
      <c r="J108" s="1"/>
    </row>
    <row r="109" spans="1:10" x14ac:dyDescent="0.25">
      <c r="A109" s="32"/>
      <c r="B109" s="32">
        <v>95</v>
      </c>
      <c r="C109" s="37"/>
      <c r="D109" s="37"/>
      <c r="E109" s="34" t="str">
        <f t="shared" si="5"/>
        <v/>
      </c>
      <c r="F109" s="35" t="str">
        <f t="shared" si="6"/>
        <v/>
      </c>
      <c r="G109" s="35" t="str">
        <f t="shared" si="7"/>
        <v/>
      </c>
      <c r="H109" s="36" t="str">
        <f t="shared" si="8"/>
        <v/>
      </c>
      <c r="I109" s="36" t="str">
        <f t="shared" si="9"/>
        <v/>
      </c>
      <c r="J109" s="1"/>
    </row>
    <row r="110" spans="1:10" x14ac:dyDescent="0.25">
      <c r="A110" s="32"/>
      <c r="B110" s="32">
        <v>96</v>
      </c>
      <c r="C110" s="37"/>
      <c r="D110" s="37"/>
      <c r="E110" s="34" t="str">
        <f t="shared" si="5"/>
        <v/>
      </c>
      <c r="F110" s="35" t="str">
        <f t="shared" si="6"/>
        <v/>
      </c>
      <c r="G110" s="35" t="str">
        <f t="shared" si="7"/>
        <v/>
      </c>
      <c r="H110" s="36" t="str">
        <f t="shared" si="8"/>
        <v/>
      </c>
      <c r="I110" s="36" t="str">
        <f t="shared" si="9"/>
        <v/>
      </c>
      <c r="J110" s="1"/>
    </row>
    <row r="111" spans="1:10" x14ac:dyDescent="0.25">
      <c r="A111" s="32"/>
      <c r="B111" s="32">
        <v>97</v>
      </c>
      <c r="C111" s="37"/>
      <c r="D111" s="37"/>
      <c r="E111" s="34" t="str">
        <f t="shared" si="5"/>
        <v/>
      </c>
      <c r="F111" s="35" t="str">
        <f t="shared" si="6"/>
        <v/>
      </c>
      <c r="G111" s="35" t="str">
        <f t="shared" si="7"/>
        <v/>
      </c>
      <c r="H111" s="36" t="str">
        <f t="shared" si="8"/>
        <v/>
      </c>
      <c r="I111" s="36" t="str">
        <f t="shared" si="9"/>
        <v/>
      </c>
      <c r="J111" s="1"/>
    </row>
    <row r="112" spans="1:10" x14ac:dyDescent="0.25">
      <c r="A112" s="32"/>
      <c r="B112" s="32">
        <v>98</v>
      </c>
      <c r="C112" s="37"/>
      <c r="D112" s="37"/>
      <c r="E112" s="34" t="str">
        <f t="shared" si="5"/>
        <v/>
      </c>
      <c r="F112" s="35" t="str">
        <f t="shared" si="6"/>
        <v/>
      </c>
      <c r="G112" s="35" t="str">
        <f t="shared" si="7"/>
        <v/>
      </c>
      <c r="H112" s="36" t="str">
        <f t="shared" si="8"/>
        <v/>
      </c>
      <c r="I112" s="36" t="str">
        <f t="shared" si="9"/>
        <v/>
      </c>
      <c r="J112" s="1"/>
    </row>
    <row r="113" spans="1:22" x14ac:dyDescent="0.25">
      <c r="A113" s="32"/>
      <c r="B113" s="32">
        <v>99</v>
      </c>
      <c r="C113" s="37"/>
      <c r="D113" s="37"/>
      <c r="E113" s="34" t="str">
        <f t="shared" si="5"/>
        <v/>
      </c>
      <c r="F113" s="35" t="str">
        <f t="shared" si="6"/>
        <v/>
      </c>
      <c r="G113" s="35" t="str">
        <f t="shared" si="7"/>
        <v/>
      </c>
      <c r="H113" s="36" t="str">
        <f t="shared" si="8"/>
        <v/>
      </c>
      <c r="I113" s="36" t="str">
        <f t="shared" si="9"/>
        <v/>
      </c>
      <c r="J113" s="1"/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:22" x14ac:dyDescent="0.25">
      <c r="A114" s="32"/>
      <c r="B114" s="32">
        <v>100</v>
      </c>
      <c r="C114" s="37"/>
      <c r="D114" s="37"/>
      <c r="E114" s="34" t="str">
        <f t="shared" si="5"/>
        <v/>
      </c>
      <c r="F114" s="35" t="str">
        <f t="shared" si="6"/>
        <v/>
      </c>
      <c r="G114" s="35" t="str">
        <f t="shared" si="7"/>
        <v/>
      </c>
      <c r="H114" s="36" t="str">
        <f t="shared" si="8"/>
        <v/>
      </c>
      <c r="I114" s="36" t="str">
        <f t="shared" si="9"/>
        <v/>
      </c>
      <c r="J114" s="1"/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:22" x14ac:dyDescent="0.25">
      <c r="A115" s="32"/>
      <c r="B115" s="32">
        <v>101</v>
      </c>
      <c r="C115" s="37"/>
      <c r="D115" s="37"/>
      <c r="E115" s="34" t="str">
        <f t="shared" si="5"/>
        <v/>
      </c>
      <c r="F115" s="35" t="str">
        <f t="shared" si="6"/>
        <v/>
      </c>
      <c r="G115" s="35" t="str">
        <f t="shared" si="7"/>
        <v/>
      </c>
      <c r="H115" s="36" t="str">
        <f t="shared" si="8"/>
        <v/>
      </c>
      <c r="I115" s="36" t="str">
        <f t="shared" si="9"/>
        <v/>
      </c>
      <c r="J115" s="1"/>
    </row>
    <row r="116" spans="1:22" x14ac:dyDescent="0.25">
      <c r="A116" s="32"/>
      <c r="B116" s="32">
        <v>102</v>
      </c>
      <c r="C116" s="37"/>
      <c r="D116" s="37"/>
      <c r="E116" s="34" t="str">
        <f t="shared" si="5"/>
        <v/>
      </c>
      <c r="F116" s="35" t="str">
        <f t="shared" si="6"/>
        <v/>
      </c>
      <c r="G116" s="35" t="str">
        <f t="shared" si="7"/>
        <v/>
      </c>
      <c r="H116" s="36" t="str">
        <f t="shared" si="8"/>
        <v/>
      </c>
      <c r="I116" s="36" t="str">
        <f t="shared" si="9"/>
        <v/>
      </c>
      <c r="J116" s="1"/>
    </row>
    <row r="117" spans="1:22" x14ac:dyDescent="0.25">
      <c r="A117" s="32"/>
      <c r="B117" s="32">
        <v>103</v>
      </c>
      <c r="C117" s="37"/>
      <c r="D117" s="37"/>
      <c r="E117" s="34" t="str">
        <f t="shared" si="5"/>
        <v/>
      </c>
      <c r="F117" s="35" t="str">
        <f t="shared" si="6"/>
        <v/>
      </c>
      <c r="G117" s="35" t="str">
        <f t="shared" si="7"/>
        <v/>
      </c>
      <c r="H117" s="36" t="str">
        <f t="shared" si="8"/>
        <v/>
      </c>
      <c r="I117" s="36" t="str">
        <f t="shared" si="9"/>
        <v/>
      </c>
      <c r="J117" s="1"/>
    </row>
    <row r="118" spans="1:22" x14ac:dyDescent="0.25">
      <c r="A118" s="32"/>
      <c r="B118" s="32">
        <v>104</v>
      </c>
      <c r="C118" s="37"/>
      <c r="D118" s="37"/>
      <c r="E118" s="34" t="str">
        <f t="shared" si="5"/>
        <v/>
      </c>
      <c r="F118" s="35" t="str">
        <f t="shared" si="6"/>
        <v/>
      </c>
      <c r="G118" s="35" t="str">
        <f t="shared" si="7"/>
        <v/>
      </c>
      <c r="H118" s="36" t="str">
        <f t="shared" si="8"/>
        <v/>
      </c>
      <c r="I118" s="36" t="str">
        <f t="shared" si="9"/>
        <v/>
      </c>
      <c r="J118" s="1"/>
    </row>
    <row r="119" spans="1:22" x14ac:dyDescent="0.25">
      <c r="A119" s="32"/>
      <c r="B119" s="32">
        <v>105</v>
      </c>
      <c r="C119" s="37"/>
      <c r="D119" s="37"/>
      <c r="E119" s="34" t="str">
        <f t="shared" si="5"/>
        <v/>
      </c>
      <c r="F119" s="35" t="str">
        <f t="shared" si="6"/>
        <v/>
      </c>
      <c r="G119" s="35" t="str">
        <f t="shared" si="7"/>
        <v/>
      </c>
      <c r="H119" s="36" t="str">
        <f t="shared" si="8"/>
        <v/>
      </c>
      <c r="I119" s="36" t="str">
        <f t="shared" si="9"/>
        <v/>
      </c>
      <c r="J119" s="1"/>
    </row>
    <row r="120" spans="1:22" x14ac:dyDescent="0.25">
      <c r="A120" s="32"/>
      <c r="B120" s="32">
        <v>106</v>
      </c>
      <c r="C120" s="37"/>
      <c r="D120" s="37"/>
      <c r="E120" s="34" t="str">
        <f t="shared" si="5"/>
        <v/>
      </c>
      <c r="F120" s="35" t="str">
        <f t="shared" si="6"/>
        <v/>
      </c>
      <c r="G120" s="35" t="str">
        <f t="shared" si="7"/>
        <v/>
      </c>
      <c r="H120" s="36" t="str">
        <f t="shared" si="8"/>
        <v/>
      </c>
      <c r="I120" s="36" t="str">
        <f t="shared" si="9"/>
        <v/>
      </c>
      <c r="J120" s="1"/>
    </row>
    <row r="121" spans="1:22" x14ac:dyDescent="0.25">
      <c r="A121" s="32"/>
      <c r="B121" s="32">
        <v>107</v>
      </c>
      <c r="C121" s="37"/>
      <c r="D121" s="37"/>
      <c r="E121" s="34" t="str">
        <f t="shared" si="5"/>
        <v/>
      </c>
      <c r="F121" s="35" t="str">
        <f t="shared" si="6"/>
        <v/>
      </c>
      <c r="G121" s="35" t="str">
        <f t="shared" si="7"/>
        <v/>
      </c>
      <c r="H121" s="36" t="str">
        <f t="shared" si="8"/>
        <v/>
      </c>
      <c r="I121" s="36" t="str">
        <f t="shared" si="9"/>
        <v/>
      </c>
      <c r="J121" s="1"/>
    </row>
    <row r="122" spans="1:22" x14ac:dyDescent="0.25">
      <c r="A122" s="32"/>
      <c r="B122" s="32">
        <v>108</v>
      </c>
      <c r="C122" s="37"/>
      <c r="D122" s="37"/>
      <c r="E122" s="34" t="str">
        <f t="shared" si="5"/>
        <v/>
      </c>
      <c r="F122" s="35" t="str">
        <f t="shared" si="6"/>
        <v/>
      </c>
      <c r="G122" s="35" t="str">
        <f t="shared" si="7"/>
        <v/>
      </c>
      <c r="H122" s="36" t="str">
        <f t="shared" si="8"/>
        <v/>
      </c>
      <c r="I122" s="36" t="str">
        <f t="shared" si="9"/>
        <v/>
      </c>
      <c r="J122" s="1"/>
    </row>
    <row r="123" spans="1:22" x14ac:dyDescent="0.25">
      <c r="A123" s="32"/>
      <c r="B123" s="32">
        <v>109</v>
      </c>
      <c r="C123" s="37"/>
      <c r="D123" s="37"/>
      <c r="E123" s="34" t="str">
        <f t="shared" si="5"/>
        <v/>
      </c>
      <c r="F123" s="35" t="str">
        <f t="shared" si="6"/>
        <v/>
      </c>
      <c r="G123" s="35" t="str">
        <f t="shared" si="7"/>
        <v/>
      </c>
      <c r="H123" s="36" t="str">
        <f t="shared" si="8"/>
        <v/>
      </c>
      <c r="I123" s="36" t="str">
        <f t="shared" si="9"/>
        <v/>
      </c>
      <c r="J123" s="1"/>
    </row>
    <row r="124" spans="1:22" x14ac:dyDescent="0.25">
      <c r="A124" s="32"/>
      <c r="B124" s="32">
        <v>110</v>
      </c>
      <c r="C124" s="37"/>
      <c r="D124" s="37"/>
      <c r="E124" s="34" t="str">
        <f t="shared" si="5"/>
        <v/>
      </c>
      <c r="F124" s="35" t="str">
        <f t="shared" si="6"/>
        <v/>
      </c>
      <c r="G124" s="35" t="str">
        <f t="shared" si="7"/>
        <v/>
      </c>
      <c r="H124" s="36" t="str">
        <f t="shared" si="8"/>
        <v/>
      </c>
      <c r="I124" s="36" t="str">
        <f t="shared" si="9"/>
        <v/>
      </c>
      <c r="J124" s="1"/>
    </row>
    <row r="125" spans="1:22" x14ac:dyDescent="0.25">
      <c r="A125" s="32"/>
      <c r="B125" s="32">
        <v>111</v>
      </c>
      <c r="C125" s="40"/>
      <c r="D125" s="40"/>
      <c r="E125" s="34" t="str">
        <f t="shared" si="5"/>
        <v/>
      </c>
      <c r="F125" s="35" t="str">
        <f t="shared" si="6"/>
        <v/>
      </c>
      <c r="G125" s="35" t="str">
        <f t="shared" si="7"/>
        <v/>
      </c>
      <c r="H125" s="36" t="str">
        <f t="shared" si="8"/>
        <v/>
      </c>
      <c r="I125" s="36" t="str">
        <f t="shared" si="9"/>
        <v/>
      </c>
      <c r="J125" s="1"/>
    </row>
    <row r="126" spans="1:22" x14ac:dyDescent="0.25">
      <c r="A126" s="32"/>
      <c r="B126" s="32">
        <v>112</v>
      </c>
      <c r="C126" s="40"/>
      <c r="D126" s="40"/>
      <c r="E126" s="34" t="str">
        <f t="shared" si="5"/>
        <v/>
      </c>
      <c r="F126" s="35" t="str">
        <f t="shared" si="6"/>
        <v/>
      </c>
      <c r="G126" s="35" t="str">
        <f t="shared" si="7"/>
        <v/>
      </c>
      <c r="H126" s="36" t="str">
        <f t="shared" si="8"/>
        <v/>
      </c>
      <c r="I126" s="36" t="str">
        <f t="shared" si="9"/>
        <v/>
      </c>
      <c r="J126" s="1"/>
    </row>
    <row r="127" spans="1:22" x14ac:dyDescent="0.25">
      <c r="A127" s="32"/>
      <c r="B127" s="32">
        <v>113</v>
      </c>
      <c r="C127" s="40"/>
      <c r="D127" s="40"/>
      <c r="E127" s="34" t="str">
        <f t="shared" si="5"/>
        <v/>
      </c>
      <c r="F127" s="35" t="str">
        <f t="shared" si="6"/>
        <v/>
      </c>
      <c r="G127" s="35" t="str">
        <f t="shared" si="7"/>
        <v/>
      </c>
      <c r="H127" s="36" t="str">
        <f t="shared" si="8"/>
        <v/>
      </c>
      <c r="I127" s="36" t="str">
        <f t="shared" si="9"/>
        <v/>
      </c>
      <c r="J127" s="1"/>
    </row>
    <row r="128" spans="1:22" x14ac:dyDescent="0.25">
      <c r="A128" s="32"/>
      <c r="B128" s="32">
        <v>114</v>
      </c>
      <c r="C128" s="40"/>
      <c r="D128" s="40"/>
      <c r="E128" s="34" t="str">
        <f t="shared" si="5"/>
        <v/>
      </c>
      <c r="F128" s="35" t="str">
        <f t="shared" si="6"/>
        <v/>
      </c>
      <c r="G128" s="35" t="str">
        <f t="shared" si="7"/>
        <v/>
      </c>
      <c r="H128" s="36" t="str">
        <f t="shared" si="8"/>
        <v/>
      </c>
      <c r="I128" s="36" t="str">
        <f t="shared" si="9"/>
        <v/>
      </c>
      <c r="J128" s="1"/>
    </row>
    <row r="129" spans="1:10" x14ac:dyDescent="0.25">
      <c r="A129" s="32"/>
      <c r="B129" s="32">
        <v>115</v>
      </c>
      <c r="C129" s="40"/>
      <c r="D129" s="40"/>
      <c r="E129" s="34" t="str">
        <f t="shared" si="5"/>
        <v/>
      </c>
      <c r="F129" s="35" t="str">
        <f t="shared" si="6"/>
        <v/>
      </c>
      <c r="G129" s="35" t="str">
        <f t="shared" si="7"/>
        <v/>
      </c>
      <c r="H129" s="36" t="str">
        <f t="shared" si="8"/>
        <v/>
      </c>
      <c r="I129" s="36" t="str">
        <f t="shared" si="9"/>
        <v/>
      </c>
      <c r="J129" s="1"/>
    </row>
    <row r="130" spans="1:10" x14ac:dyDescent="0.25">
      <c r="A130" s="32"/>
      <c r="B130" s="32">
        <v>116</v>
      </c>
      <c r="C130" s="40"/>
      <c r="D130" s="40"/>
      <c r="E130" s="34" t="str">
        <f t="shared" si="5"/>
        <v/>
      </c>
      <c r="F130" s="35" t="str">
        <f t="shared" si="6"/>
        <v/>
      </c>
      <c r="G130" s="35" t="str">
        <f t="shared" si="7"/>
        <v/>
      </c>
      <c r="H130" s="36" t="str">
        <f t="shared" si="8"/>
        <v/>
      </c>
      <c r="I130" s="36" t="str">
        <f t="shared" si="9"/>
        <v/>
      </c>
      <c r="J130" s="1"/>
    </row>
    <row r="131" spans="1:10" x14ac:dyDescent="0.25">
      <c r="A131" s="32"/>
      <c r="B131" s="32">
        <v>117</v>
      </c>
      <c r="C131" s="40"/>
      <c r="D131" s="40"/>
      <c r="E131" s="34" t="str">
        <f t="shared" si="5"/>
        <v/>
      </c>
      <c r="F131" s="35" t="str">
        <f t="shared" si="6"/>
        <v/>
      </c>
      <c r="G131" s="35" t="str">
        <f t="shared" si="7"/>
        <v/>
      </c>
      <c r="H131" s="36" t="str">
        <f t="shared" si="8"/>
        <v/>
      </c>
      <c r="I131" s="36" t="str">
        <f t="shared" si="9"/>
        <v/>
      </c>
      <c r="J131" s="1"/>
    </row>
    <row r="132" spans="1:10" x14ac:dyDescent="0.25">
      <c r="A132" s="32"/>
      <c r="B132" s="32">
        <v>118</v>
      </c>
      <c r="C132" s="40"/>
      <c r="D132" s="40"/>
      <c r="E132" s="34" t="str">
        <f t="shared" si="5"/>
        <v/>
      </c>
      <c r="F132" s="35" t="str">
        <f t="shared" si="6"/>
        <v/>
      </c>
      <c r="G132" s="35" t="str">
        <f t="shared" si="7"/>
        <v/>
      </c>
      <c r="H132" s="36" t="str">
        <f t="shared" si="8"/>
        <v/>
      </c>
      <c r="I132" s="36" t="str">
        <f t="shared" si="9"/>
        <v/>
      </c>
      <c r="J132" s="1"/>
    </row>
    <row r="133" spans="1:10" x14ac:dyDescent="0.25">
      <c r="A133" s="32"/>
      <c r="B133" s="32">
        <v>119</v>
      </c>
      <c r="C133" s="40"/>
      <c r="D133" s="40"/>
      <c r="E133" s="34" t="str">
        <f t="shared" si="5"/>
        <v/>
      </c>
      <c r="F133" s="35" t="str">
        <f t="shared" si="6"/>
        <v/>
      </c>
      <c r="G133" s="35" t="str">
        <f t="shared" si="7"/>
        <v/>
      </c>
      <c r="H133" s="36" t="str">
        <f t="shared" si="8"/>
        <v/>
      </c>
      <c r="I133" s="36" t="str">
        <f t="shared" si="9"/>
        <v/>
      </c>
      <c r="J133" s="1"/>
    </row>
    <row r="134" spans="1:10" x14ac:dyDescent="0.25">
      <c r="A134" s="32"/>
      <c r="B134" s="32">
        <v>120</v>
      </c>
      <c r="C134" s="40"/>
      <c r="D134" s="40"/>
      <c r="E134" s="34" t="str">
        <f t="shared" si="5"/>
        <v/>
      </c>
      <c r="F134" s="35" t="str">
        <f t="shared" si="6"/>
        <v/>
      </c>
      <c r="G134" s="35" t="str">
        <f t="shared" si="7"/>
        <v/>
      </c>
      <c r="H134" s="36" t="str">
        <f t="shared" si="8"/>
        <v/>
      </c>
      <c r="I134" s="36" t="str">
        <f t="shared" si="9"/>
        <v/>
      </c>
      <c r="J134" s="1"/>
    </row>
    <row r="135" spans="1:10" x14ac:dyDescent="0.25">
      <c r="A135" s="32"/>
      <c r="B135" s="32">
        <v>121</v>
      </c>
      <c r="C135" s="40"/>
      <c r="D135" s="40"/>
      <c r="E135" s="34" t="str">
        <f t="shared" si="5"/>
        <v/>
      </c>
      <c r="F135" s="35" t="str">
        <f t="shared" si="6"/>
        <v/>
      </c>
      <c r="G135" s="35" t="str">
        <f t="shared" si="7"/>
        <v/>
      </c>
      <c r="H135" s="36" t="str">
        <f t="shared" si="8"/>
        <v/>
      </c>
      <c r="I135" s="36" t="str">
        <f t="shared" si="9"/>
        <v/>
      </c>
      <c r="J135" s="1"/>
    </row>
    <row r="136" spans="1:10" x14ac:dyDescent="0.25">
      <c r="A136" s="32"/>
      <c r="B136" s="32">
        <v>122</v>
      </c>
      <c r="C136" s="40"/>
      <c r="D136" s="40"/>
      <c r="E136" s="34" t="str">
        <f t="shared" si="5"/>
        <v/>
      </c>
      <c r="F136" s="35" t="str">
        <f t="shared" si="6"/>
        <v/>
      </c>
      <c r="G136" s="35" t="str">
        <f t="shared" si="7"/>
        <v/>
      </c>
      <c r="H136" s="36" t="str">
        <f t="shared" si="8"/>
        <v/>
      </c>
      <c r="I136" s="36" t="str">
        <f t="shared" si="9"/>
        <v/>
      </c>
      <c r="J136" s="1"/>
    </row>
    <row r="137" spans="1:10" x14ac:dyDescent="0.25">
      <c r="A137" s="32"/>
      <c r="B137" s="32">
        <v>123</v>
      </c>
      <c r="C137" s="40"/>
      <c r="D137" s="40"/>
      <c r="E137" s="34" t="str">
        <f t="shared" si="5"/>
        <v/>
      </c>
      <c r="F137" s="35" t="str">
        <f t="shared" si="6"/>
        <v/>
      </c>
      <c r="G137" s="35" t="str">
        <f t="shared" si="7"/>
        <v/>
      </c>
      <c r="H137" s="36" t="str">
        <f t="shared" si="8"/>
        <v/>
      </c>
      <c r="I137" s="36" t="str">
        <f t="shared" si="9"/>
        <v/>
      </c>
      <c r="J137" s="1"/>
    </row>
    <row r="138" spans="1:10" x14ac:dyDescent="0.25">
      <c r="A138" s="32"/>
      <c r="B138" s="32">
        <v>124</v>
      </c>
      <c r="C138" s="40"/>
      <c r="D138" s="40"/>
      <c r="E138" s="34" t="str">
        <f t="shared" si="5"/>
        <v/>
      </c>
      <c r="F138" s="35" t="str">
        <f t="shared" si="6"/>
        <v/>
      </c>
      <c r="G138" s="35" t="str">
        <f t="shared" si="7"/>
        <v/>
      </c>
      <c r="H138" s="36" t="str">
        <f t="shared" si="8"/>
        <v/>
      </c>
      <c r="I138" s="36" t="str">
        <f t="shared" si="9"/>
        <v/>
      </c>
      <c r="J138" s="1"/>
    </row>
    <row r="139" spans="1:10" x14ac:dyDescent="0.25">
      <c r="A139" s="32"/>
      <c r="B139" s="32">
        <v>125</v>
      </c>
      <c r="C139" s="40"/>
      <c r="D139" s="40"/>
      <c r="E139" s="34" t="str">
        <f t="shared" si="5"/>
        <v/>
      </c>
      <c r="F139" s="35" t="str">
        <f t="shared" si="6"/>
        <v/>
      </c>
      <c r="G139" s="35" t="str">
        <f t="shared" si="7"/>
        <v/>
      </c>
      <c r="H139" s="36" t="str">
        <f t="shared" si="8"/>
        <v/>
      </c>
      <c r="I139" s="36" t="str">
        <f t="shared" si="9"/>
        <v/>
      </c>
      <c r="J139" s="1"/>
    </row>
    <row r="140" spans="1:10" x14ac:dyDescent="0.25">
      <c r="A140" s="32"/>
      <c r="B140" s="32">
        <v>126</v>
      </c>
      <c r="C140" s="40"/>
      <c r="D140" s="40"/>
      <c r="E140" s="34" t="str">
        <f t="shared" si="5"/>
        <v/>
      </c>
      <c r="F140" s="35" t="str">
        <f t="shared" si="6"/>
        <v/>
      </c>
      <c r="G140" s="35" t="str">
        <f t="shared" si="7"/>
        <v/>
      </c>
      <c r="H140" s="36" t="str">
        <f t="shared" si="8"/>
        <v/>
      </c>
      <c r="I140" s="36" t="str">
        <f t="shared" si="9"/>
        <v/>
      </c>
      <c r="J140" s="1"/>
    </row>
    <row r="141" spans="1:10" x14ac:dyDescent="0.25">
      <c r="A141" s="32"/>
      <c r="B141" s="32">
        <v>127</v>
      </c>
      <c r="C141" s="40"/>
      <c r="D141" s="40"/>
      <c r="E141" s="34" t="str">
        <f t="shared" si="5"/>
        <v/>
      </c>
      <c r="F141" s="35" t="str">
        <f t="shared" si="6"/>
        <v/>
      </c>
      <c r="G141" s="35" t="str">
        <f t="shared" si="7"/>
        <v/>
      </c>
      <c r="H141" s="36" t="str">
        <f t="shared" si="8"/>
        <v/>
      </c>
      <c r="I141" s="36" t="str">
        <f t="shared" si="9"/>
        <v/>
      </c>
      <c r="J141" s="1"/>
    </row>
    <row r="142" spans="1:10" x14ac:dyDescent="0.25">
      <c r="A142" s="32"/>
      <c r="B142" s="32">
        <v>128</v>
      </c>
      <c r="C142" s="40"/>
      <c r="D142" s="40"/>
      <c r="E142" s="34" t="str">
        <f t="shared" si="5"/>
        <v/>
      </c>
      <c r="F142" s="35" t="str">
        <f t="shared" si="6"/>
        <v/>
      </c>
      <c r="G142" s="35" t="str">
        <f t="shared" si="7"/>
        <v/>
      </c>
      <c r="H142" s="36" t="str">
        <f t="shared" si="8"/>
        <v/>
      </c>
      <c r="I142" s="36" t="str">
        <f t="shared" si="9"/>
        <v/>
      </c>
      <c r="J142" s="1"/>
    </row>
    <row r="143" spans="1:10" x14ac:dyDescent="0.25">
      <c r="A143" s="32"/>
      <c r="B143" s="32">
        <v>129</v>
      </c>
      <c r="C143" s="40"/>
      <c r="D143" s="40"/>
      <c r="E143" s="34" t="str">
        <f t="shared" ref="E143:E200" si="10">IF(C143="","",2*(D143-D142)/((C143-C142)/1000))</f>
        <v/>
      </c>
      <c r="F143" s="35" t="str">
        <f t="shared" ref="F143:F200" si="11">IF(C143="","",F$7+(F$9/F$10)*(EXP(F$10*(C143-F$8)/2000)-1))</f>
        <v/>
      </c>
      <c r="G143" s="35" t="str">
        <f t="shared" ref="G143:G200" si="12">IF(E143="","",F$9+(F143-F$7)*F$10)</f>
        <v/>
      </c>
      <c r="H143" s="36" t="str">
        <f t="shared" ref="H143:H200" si="13">IF(F143="","",F143-D143)</f>
        <v/>
      </c>
      <c r="I143" s="36" t="str">
        <f t="shared" ref="I143:I200" si="14">IF(H143="","",H143^2)</f>
        <v/>
      </c>
      <c r="J143" s="1"/>
    </row>
    <row r="144" spans="1:10" x14ac:dyDescent="0.25">
      <c r="A144" s="32"/>
      <c r="B144" s="32">
        <v>130</v>
      </c>
      <c r="C144" s="40"/>
      <c r="D144" s="40"/>
      <c r="E144" s="34" t="str">
        <f t="shared" si="10"/>
        <v/>
      </c>
      <c r="F144" s="35" t="str">
        <f t="shared" si="11"/>
        <v/>
      </c>
      <c r="G144" s="35" t="str">
        <f t="shared" si="12"/>
        <v/>
      </c>
      <c r="H144" s="36" t="str">
        <f t="shared" si="13"/>
        <v/>
      </c>
      <c r="I144" s="36" t="str">
        <f t="shared" si="14"/>
        <v/>
      </c>
      <c r="J144" s="1"/>
    </row>
    <row r="145" spans="1:10" x14ac:dyDescent="0.25">
      <c r="A145" s="32"/>
      <c r="B145" s="32">
        <v>131</v>
      </c>
      <c r="C145" s="40"/>
      <c r="D145" s="40"/>
      <c r="E145" s="34" t="str">
        <f t="shared" si="10"/>
        <v/>
      </c>
      <c r="F145" s="35" t="str">
        <f t="shared" si="11"/>
        <v/>
      </c>
      <c r="G145" s="35" t="str">
        <f t="shared" si="12"/>
        <v/>
      </c>
      <c r="H145" s="36" t="str">
        <f t="shared" si="13"/>
        <v/>
      </c>
      <c r="I145" s="36" t="str">
        <f t="shared" si="14"/>
        <v/>
      </c>
      <c r="J145" s="1"/>
    </row>
    <row r="146" spans="1:10" x14ac:dyDescent="0.25">
      <c r="A146" s="32"/>
      <c r="B146" s="32">
        <v>132</v>
      </c>
      <c r="C146" s="40"/>
      <c r="D146" s="40"/>
      <c r="E146" s="34" t="str">
        <f t="shared" si="10"/>
        <v/>
      </c>
      <c r="F146" s="35" t="str">
        <f t="shared" si="11"/>
        <v/>
      </c>
      <c r="G146" s="35" t="str">
        <f t="shared" si="12"/>
        <v/>
      </c>
      <c r="H146" s="36" t="str">
        <f t="shared" si="13"/>
        <v/>
      </c>
      <c r="I146" s="36" t="str">
        <f t="shared" si="14"/>
        <v/>
      </c>
      <c r="J146" s="1"/>
    </row>
    <row r="147" spans="1:10" x14ac:dyDescent="0.25">
      <c r="A147" s="32"/>
      <c r="B147" s="32">
        <v>133</v>
      </c>
      <c r="C147" s="40"/>
      <c r="D147" s="40"/>
      <c r="E147" s="34" t="str">
        <f t="shared" si="10"/>
        <v/>
      </c>
      <c r="F147" s="35" t="str">
        <f t="shared" si="11"/>
        <v/>
      </c>
      <c r="G147" s="35" t="str">
        <f t="shared" si="12"/>
        <v/>
      </c>
      <c r="H147" s="36" t="str">
        <f t="shared" si="13"/>
        <v/>
      </c>
      <c r="I147" s="36" t="str">
        <f t="shared" si="14"/>
        <v/>
      </c>
      <c r="J147" s="1"/>
    </row>
    <row r="148" spans="1:10" x14ac:dyDescent="0.25">
      <c r="A148" s="32"/>
      <c r="B148" s="32">
        <v>134</v>
      </c>
      <c r="C148" s="40"/>
      <c r="D148" s="40"/>
      <c r="E148" s="34" t="str">
        <f t="shared" si="10"/>
        <v/>
      </c>
      <c r="F148" s="35" t="str">
        <f t="shared" si="11"/>
        <v/>
      </c>
      <c r="G148" s="35" t="str">
        <f t="shared" si="12"/>
        <v/>
      </c>
      <c r="H148" s="36" t="str">
        <f t="shared" si="13"/>
        <v/>
      </c>
      <c r="I148" s="36" t="str">
        <f t="shared" si="14"/>
        <v/>
      </c>
      <c r="J148" s="1"/>
    </row>
    <row r="149" spans="1:10" x14ac:dyDescent="0.25">
      <c r="A149" s="32"/>
      <c r="B149" s="32">
        <v>135</v>
      </c>
      <c r="C149" s="40"/>
      <c r="D149" s="40"/>
      <c r="E149" s="34" t="str">
        <f t="shared" si="10"/>
        <v/>
      </c>
      <c r="F149" s="35" t="str">
        <f t="shared" si="11"/>
        <v/>
      </c>
      <c r="G149" s="35" t="str">
        <f t="shared" si="12"/>
        <v/>
      </c>
      <c r="H149" s="36" t="str">
        <f t="shared" si="13"/>
        <v/>
      </c>
      <c r="I149" s="36" t="str">
        <f t="shared" si="14"/>
        <v/>
      </c>
      <c r="J149" s="1"/>
    </row>
    <row r="150" spans="1:10" x14ac:dyDescent="0.25">
      <c r="A150" s="32"/>
      <c r="B150" s="32">
        <v>136</v>
      </c>
      <c r="C150" s="40"/>
      <c r="D150" s="40"/>
      <c r="E150" s="34" t="str">
        <f t="shared" si="10"/>
        <v/>
      </c>
      <c r="F150" s="35" t="str">
        <f t="shared" si="11"/>
        <v/>
      </c>
      <c r="G150" s="35" t="str">
        <f t="shared" si="12"/>
        <v/>
      </c>
      <c r="H150" s="36" t="str">
        <f t="shared" si="13"/>
        <v/>
      </c>
      <c r="I150" s="36" t="str">
        <f t="shared" si="14"/>
        <v/>
      </c>
      <c r="J150" s="1"/>
    </row>
    <row r="151" spans="1:10" x14ac:dyDescent="0.25">
      <c r="A151" s="32"/>
      <c r="B151" s="32">
        <v>137</v>
      </c>
      <c r="C151" s="40"/>
      <c r="D151" s="40"/>
      <c r="E151" s="34" t="str">
        <f t="shared" si="10"/>
        <v/>
      </c>
      <c r="F151" s="35" t="str">
        <f t="shared" si="11"/>
        <v/>
      </c>
      <c r="G151" s="35" t="str">
        <f t="shared" si="12"/>
        <v/>
      </c>
      <c r="H151" s="36" t="str">
        <f t="shared" si="13"/>
        <v/>
      </c>
      <c r="I151" s="36" t="str">
        <f t="shared" si="14"/>
        <v/>
      </c>
      <c r="J151" s="1"/>
    </row>
    <row r="152" spans="1:10" x14ac:dyDescent="0.25">
      <c r="A152" s="32"/>
      <c r="B152" s="32">
        <v>138</v>
      </c>
      <c r="C152" s="40"/>
      <c r="D152" s="40"/>
      <c r="E152" s="34" t="str">
        <f t="shared" si="10"/>
        <v/>
      </c>
      <c r="F152" s="35" t="str">
        <f t="shared" si="11"/>
        <v/>
      </c>
      <c r="G152" s="35" t="str">
        <f t="shared" si="12"/>
        <v/>
      </c>
      <c r="H152" s="36" t="str">
        <f t="shared" si="13"/>
        <v/>
      </c>
      <c r="I152" s="36" t="str">
        <f t="shared" si="14"/>
        <v/>
      </c>
      <c r="J152" s="1"/>
    </row>
    <row r="153" spans="1:10" x14ac:dyDescent="0.25">
      <c r="A153" s="32"/>
      <c r="B153" s="32">
        <v>139</v>
      </c>
      <c r="C153" s="40"/>
      <c r="D153" s="40"/>
      <c r="E153" s="34" t="str">
        <f t="shared" si="10"/>
        <v/>
      </c>
      <c r="F153" s="35" t="str">
        <f t="shared" si="11"/>
        <v/>
      </c>
      <c r="G153" s="35" t="str">
        <f t="shared" si="12"/>
        <v/>
      </c>
      <c r="H153" s="36" t="str">
        <f t="shared" si="13"/>
        <v/>
      </c>
      <c r="I153" s="36" t="str">
        <f t="shared" si="14"/>
        <v/>
      </c>
      <c r="J153" s="1"/>
    </row>
    <row r="154" spans="1:10" x14ac:dyDescent="0.25">
      <c r="A154" s="32"/>
      <c r="B154" s="32">
        <v>140</v>
      </c>
      <c r="C154" s="40"/>
      <c r="D154" s="40"/>
      <c r="E154" s="34" t="str">
        <f t="shared" si="10"/>
        <v/>
      </c>
      <c r="F154" s="35" t="str">
        <f t="shared" si="11"/>
        <v/>
      </c>
      <c r="G154" s="35" t="str">
        <f t="shared" si="12"/>
        <v/>
      </c>
      <c r="H154" s="36" t="str">
        <f t="shared" si="13"/>
        <v/>
      </c>
      <c r="I154" s="36" t="str">
        <f t="shared" si="14"/>
        <v/>
      </c>
      <c r="J154" s="1"/>
    </row>
    <row r="155" spans="1:10" x14ac:dyDescent="0.25">
      <c r="A155" s="32"/>
      <c r="B155" s="32">
        <v>141</v>
      </c>
      <c r="C155" s="40"/>
      <c r="D155" s="40"/>
      <c r="E155" s="34" t="str">
        <f t="shared" si="10"/>
        <v/>
      </c>
      <c r="F155" s="35" t="str">
        <f t="shared" si="11"/>
        <v/>
      </c>
      <c r="G155" s="35" t="str">
        <f t="shared" si="12"/>
        <v/>
      </c>
      <c r="H155" s="36" t="str">
        <f t="shared" si="13"/>
        <v/>
      </c>
      <c r="I155" s="36" t="str">
        <f t="shared" si="14"/>
        <v/>
      </c>
      <c r="J155" s="1"/>
    </row>
    <row r="156" spans="1:10" x14ac:dyDescent="0.25">
      <c r="A156" s="32"/>
      <c r="B156" s="32">
        <v>142</v>
      </c>
      <c r="C156" s="40"/>
      <c r="D156" s="40"/>
      <c r="E156" s="34" t="str">
        <f t="shared" si="10"/>
        <v/>
      </c>
      <c r="F156" s="35" t="str">
        <f t="shared" si="11"/>
        <v/>
      </c>
      <c r="G156" s="35" t="str">
        <f t="shared" si="12"/>
        <v/>
      </c>
      <c r="H156" s="36" t="str">
        <f t="shared" si="13"/>
        <v/>
      </c>
      <c r="I156" s="36" t="str">
        <f t="shared" si="14"/>
        <v/>
      </c>
      <c r="J156" s="1"/>
    </row>
    <row r="157" spans="1:10" x14ac:dyDescent="0.25">
      <c r="A157" s="32"/>
      <c r="B157" s="32">
        <v>143</v>
      </c>
      <c r="C157" s="40"/>
      <c r="D157" s="40"/>
      <c r="E157" s="34" t="str">
        <f t="shared" si="10"/>
        <v/>
      </c>
      <c r="F157" s="35" t="str">
        <f t="shared" si="11"/>
        <v/>
      </c>
      <c r="G157" s="35" t="str">
        <f t="shared" si="12"/>
        <v/>
      </c>
      <c r="H157" s="36" t="str">
        <f t="shared" si="13"/>
        <v/>
      </c>
      <c r="I157" s="36" t="str">
        <f t="shared" si="14"/>
        <v/>
      </c>
      <c r="J157" s="1"/>
    </row>
    <row r="158" spans="1:10" x14ac:dyDescent="0.25">
      <c r="A158" s="32"/>
      <c r="B158" s="32">
        <v>144</v>
      </c>
      <c r="C158" s="40"/>
      <c r="D158" s="40"/>
      <c r="E158" s="34" t="str">
        <f t="shared" si="10"/>
        <v/>
      </c>
      <c r="F158" s="35" t="str">
        <f t="shared" si="11"/>
        <v/>
      </c>
      <c r="G158" s="35" t="str">
        <f t="shared" si="12"/>
        <v/>
      </c>
      <c r="H158" s="36" t="str">
        <f t="shared" si="13"/>
        <v/>
      </c>
      <c r="I158" s="36" t="str">
        <f t="shared" si="14"/>
        <v/>
      </c>
      <c r="J158" s="1"/>
    </row>
    <row r="159" spans="1:10" x14ac:dyDescent="0.25">
      <c r="A159" s="32"/>
      <c r="B159" s="32">
        <v>145</v>
      </c>
      <c r="C159" s="40"/>
      <c r="D159" s="40"/>
      <c r="E159" s="34" t="str">
        <f t="shared" si="10"/>
        <v/>
      </c>
      <c r="F159" s="35" t="str">
        <f t="shared" si="11"/>
        <v/>
      </c>
      <c r="G159" s="35" t="str">
        <f t="shared" si="12"/>
        <v/>
      </c>
      <c r="H159" s="36" t="str">
        <f t="shared" si="13"/>
        <v/>
      </c>
      <c r="I159" s="36" t="str">
        <f t="shared" si="14"/>
        <v/>
      </c>
      <c r="J159" s="1"/>
    </row>
    <row r="160" spans="1:10" x14ac:dyDescent="0.25">
      <c r="A160" s="32"/>
      <c r="B160" s="32">
        <v>146</v>
      </c>
      <c r="C160" s="40"/>
      <c r="D160" s="40"/>
      <c r="E160" s="34" t="str">
        <f t="shared" si="10"/>
        <v/>
      </c>
      <c r="F160" s="35" t="str">
        <f t="shared" si="11"/>
        <v/>
      </c>
      <c r="G160" s="35" t="str">
        <f t="shared" si="12"/>
        <v/>
      </c>
      <c r="H160" s="36" t="str">
        <f t="shared" si="13"/>
        <v/>
      </c>
      <c r="I160" s="36" t="str">
        <f t="shared" si="14"/>
        <v/>
      </c>
      <c r="J160" s="1"/>
    </row>
    <row r="161" spans="1:10" x14ac:dyDescent="0.25">
      <c r="A161" s="32"/>
      <c r="B161" s="32">
        <v>147</v>
      </c>
      <c r="C161" s="40"/>
      <c r="D161" s="40"/>
      <c r="E161" s="34" t="str">
        <f t="shared" si="10"/>
        <v/>
      </c>
      <c r="F161" s="35" t="str">
        <f t="shared" si="11"/>
        <v/>
      </c>
      <c r="G161" s="35" t="str">
        <f t="shared" si="12"/>
        <v/>
      </c>
      <c r="H161" s="36" t="str">
        <f t="shared" si="13"/>
        <v/>
      </c>
      <c r="I161" s="36" t="str">
        <f t="shared" si="14"/>
        <v/>
      </c>
      <c r="J161" s="1"/>
    </row>
    <row r="162" spans="1:10" x14ac:dyDescent="0.25">
      <c r="A162" s="32"/>
      <c r="B162" s="32">
        <v>148</v>
      </c>
      <c r="C162" s="40"/>
      <c r="D162" s="40"/>
      <c r="E162" s="34" t="str">
        <f t="shared" si="10"/>
        <v/>
      </c>
      <c r="F162" s="35" t="str">
        <f t="shared" si="11"/>
        <v/>
      </c>
      <c r="G162" s="35" t="str">
        <f t="shared" si="12"/>
        <v/>
      </c>
      <c r="H162" s="36" t="str">
        <f t="shared" si="13"/>
        <v/>
      </c>
      <c r="I162" s="36" t="str">
        <f t="shared" si="14"/>
        <v/>
      </c>
      <c r="J162" s="1"/>
    </row>
    <row r="163" spans="1:10" x14ac:dyDescent="0.25">
      <c r="A163" s="32"/>
      <c r="B163" s="32">
        <v>149</v>
      </c>
      <c r="C163" s="40"/>
      <c r="D163" s="40"/>
      <c r="E163" s="34" t="str">
        <f t="shared" si="10"/>
        <v/>
      </c>
      <c r="F163" s="35" t="str">
        <f t="shared" si="11"/>
        <v/>
      </c>
      <c r="G163" s="35" t="str">
        <f t="shared" si="12"/>
        <v/>
      </c>
      <c r="H163" s="36" t="str">
        <f t="shared" si="13"/>
        <v/>
      </c>
      <c r="I163" s="36" t="str">
        <f t="shared" si="14"/>
        <v/>
      </c>
      <c r="J163" s="1"/>
    </row>
    <row r="164" spans="1:10" x14ac:dyDescent="0.25">
      <c r="A164" s="32"/>
      <c r="B164" s="32">
        <v>150</v>
      </c>
      <c r="C164" s="40"/>
      <c r="D164" s="40"/>
      <c r="E164" s="34" t="str">
        <f t="shared" si="10"/>
        <v/>
      </c>
      <c r="F164" s="35" t="str">
        <f t="shared" si="11"/>
        <v/>
      </c>
      <c r="G164" s="35" t="str">
        <f t="shared" si="12"/>
        <v/>
      </c>
      <c r="H164" s="36" t="str">
        <f t="shared" si="13"/>
        <v/>
      </c>
      <c r="I164" s="36" t="str">
        <f t="shared" si="14"/>
        <v/>
      </c>
      <c r="J164" s="1"/>
    </row>
    <row r="165" spans="1:10" x14ac:dyDescent="0.25">
      <c r="A165" s="32"/>
      <c r="B165" s="32">
        <v>151</v>
      </c>
      <c r="C165" s="40"/>
      <c r="D165" s="40"/>
      <c r="E165" s="34" t="str">
        <f t="shared" si="10"/>
        <v/>
      </c>
      <c r="F165" s="35" t="str">
        <f t="shared" si="11"/>
        <v/>
      </c>
      <c r="G165" s="35" t="str">
        <f t="shared" si="12"/>
        <v/>
      </c>
      <c r="H165" s="36" t="str">
        <f t="shared" si="13"/>
        <v/>
      </c>
      <c r="I165" s="36" t="str">
        <f t="shared" si="14"/>
        <v/>
      </c>
      <c r="J165" s="1"/>
    </row>
    <row r="166" spans="1:10" x14ac:dyDescent="0.25">
      <c r="A166" s="32"/>
      <c r="B166" s="32">
        <v>152</v>
      </c>
      <c r="C166" s="40"/>
      <c r="D166" s="40"/>
      <c r="E166" s="34" t="str">
        <f t="shared" si="10"/>
        <v/>
      </c>
      <c r="F166" s="35" t="str">
        <f t="shared" si="11"/>
        <v/>
      </c>
      <c r="G166" s="35" t="str">
        <f t="shared" si="12"/>
        <v/>
      </c>
      <c r="H166" s="36" t="str">
        <f t="shared" si="13"/>
        <v/>
      </c>
      <c r="I166" s="36" t="str">
        <f t="shared" si="14"/>
        <v/>
      </c>
      <c r="J166" s="1"/>
    </row>
    <row r="167" spans="1:10" x14ac:dyDescent="0.25">
      <c r="A167" s="32"/>
      <c r="B167" s="32">
        <v>153</v>
      </c>
      <c r="C167" s="40"/>
      <c r="D167" s="40"/>
      <c r="E167" s="34" t="str">
        <f t="shared" si="10"/>
        <v/>
      </c>
      <c r="F167" s="35" t="str">
        <f t="shared" si="11"/>
        <v/>
      </c>
      <c r="G167" s="35" t="str">
        <f t="shared" si="12"/>
        <v/>
      </c>
      <c r="H167" s="36" t="str">
        <f t="shared" si="13"/>
        <v/>
      </c>
      <c r="I167" s="36" t="str">
        <f t="shared" si="14"/>
        <v/>
      </c>
      <c r="J167" s="1"/>
    </row>
    <row r="168" spans="1:10" x14ac:dyDescent="0.25">
      <c r="A168" s="32"/>
      <c r="B168" s="32">
        <v>154</v>
      </c>
      <c r="C168" s="40"/>
      <c r="D168" s="40"/>
      <c r="E168" s="34" t="str">
        <f t="shared" si="10"/>
        <v/>
      </c>
      <c r="F168" s="35" t="str">
        <f t="shared" si="11"/>
        <v/>
      </c>
      <c r="G168" s="35" t="str">
        <f t="shared" si="12"/>
        <v/>
      </c>
      <c r="H168" s="36" t="str">
        <f t="shared" si="13"/>
        <v/>
      </c>
      <c r="I168" s="36" t="str">
        <f t="shared" si="14"/>
        <v/>
      </c>
      <c r="J168" s="1"/>
    </row>
    <row r="169" spans="1:10" x14ac:dyDescent="0.25">
      <c r="A169" s="32"/>
      <c r="B169" s="32">
        <v>155</v>
      </c>
      <c r="C169" s="40"/>
      <c r="D169" s="40"/>
      <c r="E169" s="34" t="str">
        <f t="shared" si="10"/>
        <v/>
      </c>
      <c r="F169" s="35" t="str">
        <f t="shared" si="11"/>
        <v/>
      </c>
      <c r="G169" s="35" t="str">
        <f t="shared" si="12"/>
        <v/>
      </c>
      <c r="H169" s="36" t="str">
        <f t="shared" si="13"/>
        <v/>
      </c>
      <c r="I169" s="36" t="str">
        <f t="shared" si="14"/>
        <v/>
      </c>
      <c r="J169" s="1"/>
    </row>
    <row r="170" spans="1:10" x14ac:dyDescent="0.25">
      <c r="A170" s="32"/>
      <c r="B170" s="32">
        <v>156</v>
      </c>
      <c r="C170" s="40"/>
      <c r="D170" s="40"/>
      <c r="E170" s="34" t="str">
        <f t="shared" si="10"/>
        <v/>
      </c>
      <c r="F170" s="35" t="str">
        <f t="shared" si="11"/>
        <v/>
      </c>
      <c r="G170" s="35" t="str">
        <f t="shared" si="12"/>
        <v/>
      </c>
      <c r="H170" s="36" t="str">
        <f t="shared" si="13"/>
        <v/>
      </c>
      <c r="I170" s="36" t="str">
        <f t="shared" si="14"/>
        <v/>
      </c>
      <c r="J170" s="1"/>
    </row>
    <row r="171" spans="1:10" x14ac:dyDescent="0.25">
      <c r="A171" s="32"/>
      <c r="B171" s="32">
        <v>157</v>
      </c>
      <c r="C171" s="40"/>
      <c r="D171" s="40"/>
      <c r="E171" s="34" t="str">
        <f t="shared" si="10"/>
        <v/>
      </c>
      <c r="F171" s="35" t="str">
        <f t="shared" si="11"/>
        <v/>
      </c>
      <c r="G171" s="35" t="str">
        <f t="shared" si="12"/>
        <v/>
      </c>
      <c r="H171" s="36" t="str">
        <f t="shared" si="13"/>
        <v/>
      </c>
      <c r="I171" s="36" t="str">
        <f t="shared" si="14"/>
        <v/>
      </c>
      <c r="J171" s="1"/>
    </row>
    <row r="172" spans="1:10" x14ac:dyDescent="0.25">
      <c r="A172" s="32"/>
      <c r="B172" s="32">
        <v>158</v>
      </c>
      <c r="C172" s="40"/>
      <c r="D172" s="40"/>
      <c r="E172" s="34" t="str">
        <f t="shared" si="10"/>
        <v/>
      </c>
      <c r="F172" s="35" t="str">
        <f t="shared" si="11"/>
        <v/>
      </c>
      <c r="G172" s="35" t="str">
        <f t="shared" si="12"/>
        <v/>
      </c>
      <c r="H172" s="36" t="str">
        <f t="shared" si="13"/>
        <v/>
      </c>
      <c r="I172" s="36" t="str">
        <f t="shared" si="14"/>
        <v/>
      </c>
      <c r="J172" s="1"/>
    </row>
    <row r="173" spans="1:10" x14ac:dyDescent="0.25">
      <c r="A173" s="32"/>
      <c r="B173" s="32">
        <v>159</v>
      </c>
      <c r="C173" s="40"/>
      <c r="D173" s="40"/>
      <c r="E173" s="34" t="str">
        <f t="shared" si="10"/>
        <v/>
      </c>
      <c r="F173" s="35" t="str">
        <f t="shared" si="11"/>
        <v/>
      </c>
      <c r="G173" s="35" t="str">
        <f t="shared" si="12"/>
        <v/>
      </c>
      <c r="H173" s="36" t="str">
        <f t="shared" si="13"/>
        <v/>
      </c>
      <c r="I173" s="36" t="str">
        <f t="shared" si="14"/>
        <v/>
      </c>
      <c r="J173" s="1"/>
    </row>
    <row r="174" spans="1:10" x14ac:dyDescent="0.25">
      <c r="A174" s="32"/>
      <c r="B174" s="32">
        <v>160</v>
      </c>
      <c r="C174" s="40"/>
      <c r="D174" s="40"/>
      <c r="E174" s="34" t="str">
        <f t="shared" si="10"/>
        <v/>
      </c>
      <c r="F174" s="35" t="str">
        <f t="shared" si="11"/>
        <v/>
      </c>
      <c r="G174" s="35" t="str">
        <f t="shared" si="12"/>
        <v/>
      </c>
      <c r="H174" s="36" t="str">
        <f t="shared" si="13"/>
        <v/>
      </c>
      <c r="I174" s="36" t="str">
        <f t="shared" si="14"/>
        <v/>
      </c>
      <c r="J174" s="1"/>
    </row>
    <row r="175" spans="1:10" x14ac:dyDescent="0.25">
      <c r="A175" s="32"/>
      <c r="B175" s="32">
        <v>161</v>
      </c>
      <c r="C175" s="40"/>
      <c r="D175" s="40"/>
      <c r="E175" s="34" t="str">
        <f t="shared" si="10"/>
        <v/>
      </c>
      <c r="F175" s="35" t="str">
        <f t="shared" si="11"/>
        <v/>
      </c>
      <c r="G175" s="35" t="str">
        <f t="shared" si="12"/>
        <v/>
      </c>
      <c r="H175" s="36" t="str">
        <f t="shared" si="13"/>
        <v/>
      </c>
      <c r="I175" s="36" t="str">
        <f t="shared" si="14"/>
        <v/>
      </c>
      <c r="J175" s="1"/>
    </row>
    <row r="176" spans="1:10" x14ac:dyDescent="0.25">
      <c r="A176" s="32"/>
      <c r="B176" s="32">
        <v>162</v>
      </c>
      <c r="C176" s="40"/>
      <c r="D176" s="40"/>
      <c r="E176" s="34" t="str">
        <f t="shared" si="10"/>
        <v/>
      </c>
      <c r="F176" s="35" t="str">
        <f t="shared" si="11"/>
        <v/>
      </c>
      <c r="G176" s="35" t="str">
        <f t="shared" si="12"/>
        <v/>
      </c>
      <c r="H176" s="36" t="str">
        <f t="shared" si="13"/>
        <v/>
      </c>
      <c r="I176" s="36" t="str">
        <f t="shared" si="14"/>
        <v/>
      </c>
      <c r="J176" s="1"/>
    </row>
    <row r="177" spans="1:10" x14ac:dyDescent="0.25">
      <c r="A177" s="32"/>
      <c r="B177" s="32">
        <v>163</v>
      </c>
      <c r="C177" s="40"/>
      <c r="D177" s="40"/>
      <c r="E177" s="34" t="str">
        <f t="shared" si="10"/>
        <v/>
      </c>
      <c r="F177" s="35" t="str">
        <f t="shared" si="11"/>
        <v/>
      </c>
      <c r="G177" s="35" t="str">
        <f t="shared" si="12"/>
        <v/>
      </c>
      <c r="H177" s="36" t="str">
        <f t="shared" si="13"/>
        <v/>
      </c>
      <c r="I177" s="36" t="str">
        <f t="shared" si="14"/>
        <v/>
      </c>
      <c r="J177" s="1"/>
    </row>
    <row r="178" spans="1:10" x14ac:dyDescent="0.25">
      <c r="A178" s="32"/>
      <c r="B178" s="32">
        <v>164</v>
      </c>
      <c r="C178" s="40"/>
      <c r="D178" s="40"/>
      <c r="E178" s="34" t="str">
        <f t="shared" si="10"/>
        <v/>
      </c>
      <c r="F178" s="35" t="str">
        <f t="shared" si="11"/>
        <v/>
      </c>
      <c r="G178" s="35" t="str">
        <f t="shared" si="12"/>
        <v/>
      </c>
      <c r="H178" s="36" t="str">
        <f t="shared" si="13"/>
        <v/>
      </c>
      <c r="I178" s="36" t="str">
        <f t="shared" si="14"/>
        <v/>
      </c>
      <c r="J178" s="1"/>
    </row>
    <row r="179" spans="1:10" x14ac:dyDescent="0.25">
      <c r="A179" s="32"/>
      <c r="B179" s="32">
        <v>165</v>
      </c>
      <c r="C179" s="40"/>
      <c r="D179" s="40"/>
      <c r="E179" s="34" t="str">
        <f t="shared" si="10"/>
        <v/>
      </c>
      <c r="F179" s="35" t="str">
        <f t="shared" si="11"/>
        <v/>
      </c>
      <c r="G179" s="35" t="str">
        <f t="shared" si="12"/>
        <v/>
      </c>
      <c r="H179" s="36" t="str">
        <f t="shared" si="13"/>
        <v/>
      </c>
      <c r="I179" s="36" t="str">
        <f t="shared" si="14"/>
        <v/>
      </c>
      <c r="J179" s="1"/>
    </row>
    <row r="180" spans="1:10" x14ac:dyDescent="0.25">
      <c r="A180" s="32"/>
      <c r="B180" s="32">
        <v>166</v>
      </c>
      <c r="C180" s="40"/>
      <c r="D180" s="40"/>
      <c r="E180" s="34" t="str">
        <f t="shared" si="10"/>
        <v/>
      </c>
      <c r="F180" s="35" t="str">
        <f t="shared" si="11"/>
        <v/>
      </c>
      <c r="G180" s="35" t="str">
        <f t="shared" si="12"/>
        <v/>
      </c>
      <c r="H180" s="36" t="str">
        <f t="shared" si="13"/>
        <v/>
      </c>
      <c r="I180" s="36" t="str">
        <f t="shared" si="14"/>
        <v/>
      </c>
      <c r="J180" s="1"/>
    </row>
    <row r="181" spans="1:10" x14ac:dyDescent="0.25">
      <c r="A181" s="32"/>
      <c r="B181" s="32">
        <v>167</v>
      </c>
      <c r="C181" s="40"/>
      <c r="D181" s="40"/>
      <c r="E181" s="34" t="str">
        <f t="shared" si="10"/>
        <v/>
      </c>
      <c r="F181" s="35" t="str">
        <f t="shared" si="11"/>
        <v/>
      </c>
      <c r="G181" s="35" t="str">
        <f t="shared" si="12"/>
        <v/>
      </c>
      <c r="H181" s="36" t="str">
        <f t="shared" si="13"/>
        <v/>
      </c>
      <c r="I181" s="36" t="str">
        <f t="shared" si="14"/>
        <v/>
      </c>
      <c r="J181" s="1"/>
    </row>
    <row r="182" spans="1:10" x14ac:dyDescent="0.25">
      <c r="A182" s="32"/>
      <c r="B182" s="32">
        <v>168</v>
      </c>
      <c r="C182" s="40"/>
      <c r="D182" s="40"/>
      <c r="E182" s="34" t="str">
        <f t="shared" si="10"/>
        <v/>
      </c>
      <c r="F182" s="35" t="str">
        <f t="shared" si="11"/>
        <v/>
      </c>
      <c r="G182" s="35" t="str">
        <f t="shared" si="12"/>
        <v/>
      </c>
      <c r="H182" s="36" t="str">
        <f t="shared" si="13"/>
        <v/>
      </c>
      <c r="I182" s="36" t="str">
        <f t="shared" si="14"/>
        <v/>
      </c>
      <c r="J182" s="1"/>
    </row>
    <row r="183" spans="1:10" x14ac:dyDescent="0.25">
      <c r="A183" s="32"/>
      <c r="B183" s="32">
        <v>169</v>
      </c>
      <c r="C183" s="40"/>
      <c r="D183" s="40"/>
      <c r="E183" s="34" t="str">
        <f t="shared" si="10"/>
        <v/>
      </c>
      <c r="F183" s="35" t="str">
        <f t="shared" si="11"/>
        <v/>
      </c>
      <c r="G183" s="35" t="str">
        <f t="shared" si="12"/>
        <v/>
      </c>
      <c r="H183" s="36" t="str">
        <f t="shared" si="13"/>
        <v/>
      </c>
      <c r="I183" s="36" t="str">
        <f t="shared" si="14"/>
        <v/>
      </c>
      <c r="J183" s="1"/>
    </row>
    <row r="184" spans="1:10" x14ac:dyDescent="0.25">
      <c r="A184" s="32"/>
      <c r="B184" s="32">
        <v>170</v>
      </c>
      <c r="C184" s="40"/>
      <c r="D184" s="40"/>
      <c r="E184" s="34" t="str">
        <f t="shared" si="10"/>
        <v/>
      </c>
      <c r="F184" s="35" t="str">
        <f t="shared" si="11"/>
        <v/>
      </c>
      <c r="G184" s="35" t="str">
        <f t="shared" si="12"/>
        <v/>
      </c>
      <c r="H184" s="36" t="str">
        <f t="shared" si="13"/>
        <v/>
      </c>
      <c r="I184" s="36" t="str">
        <f t="shared" si="14"/>
        <v/>
      </c>
      <c r="J184" s="1"/>
    </row>
    <row r="185" spans="1:10" x14ac:dyDescent="0.25">
      <c r="A185" s="32"/>
      <c r="B185" s="32">
        <v>171</v>
      </c>
      <c r="C185" s="40"/>
      <c r="D185" s="40"/>
      <c r="E185" s="34" t="str">
        <f t="shared" si="10"/>
        <v/>
      </c>
      <c r="F185" s="35" t="str">
        <f t="shared" si="11"/>
        <v/>
      </c>
      <c r="G185" s="35" t="str">
        <f t="shared" si="12"/>
        <v/>
      </c>
      <c r="H185" s="36" t="str">
        <f t="shared" si="13"/>
        <v/>
      </c>
      <c r="I185" s="36" t="str">
        <f t="shared" si="14"/>
        <v/>
      </c>
      <c r="J185" s="1"/>
    </row>
    <row r="186" spans="1:10" x14ac:dyDescent="0.25">
      <c r="A186" s="32"/>
      <c r="B186" s="32">
        <v>172</v>
      </c>
      <c r="C186" s="40"/>
      <c r="D186" s="40"/>
      <c r="E186" s="34" t="str">
        <f t="shared" si="10"/>
        <v/>
      </c>
      <c r="F186" s="35" t="str">
        <f t="shared" si="11"/>
        <v/>
      </c>
      <c r="G186" s="35" t="str">
        <f t="shared" si="12"/>
        <v/>
      </c>
      <c r="H186" s="36" t="str">
        <f t="shared" si="13"/>
        <v/>
      </c>
      <c r="I186" s="36" t="str">
        <f t="shared" si="14"/>
        <v/>
      </c>
      <c r="J186" s="1"/>
    </row>
    <row r="187" spans="1:10" x14ac:dyDescent="0.25">
      <c r="A187" s="32"/>
      <c r="B187" s="32">
        <v>173</v>
      </c>
      <c r="C187" s="40"/>
      <c r="D187" s="40"/>
      <c r="E187" s="34" t="str">
        <f t="shared" si="10"/>
        <v/>
      </c>
      <c r="F187" s="35" t="str">
        <f t="shared" si="11"/>
        <v/>
      </c>
      <c r="G187" s="35" t="str">
        <f t="shared" si="12"/>
        <v/>
      </c>
      <c r="H187" s="36" t="str">
        <f t="shared" si="13"/>
        <v/>
      </c>
      <c r="I187" s="36" t="str">
        <f t="shared" si="14"/>
        <v/>
      </c>
      <c r="J187" s="1"/>
    </row>
    <row r="188" spans="1:10" x14ac:dyDescent="0.25">
      <c r="A188" s="32"/>
      <c r="B188" s="32">
        <v>174</v>
      </c>
      <c r="C188" s="40"/>
      <c r="D188" s="40"/>
      <c r="E188" s="34" t="str">
        <f t="shared" si="10"/>
        <v/>
      </c>
      <c r="F188" s="35" t="str">
        <f t="shared" si="11"/>
        <v/>
      </c>
      <c r="G188" s="35" t="str">
        <f t="shared" si="12"/>
        <v/>
      </c>
      <c r="H188" s="36" t="str">
        <f t="shared" si="13"/>
        <v/>
      </c>
      <c r="I188" s="36" t="str">
        <f t="shared" si="14"/>
        <v/>
      </c>
      <c r="J188" s="1"/>
    </row>
    <row r="189" spans="1:10" x14ac:dyDescent="0.25">
      <c r="A189" s="32"/>
      <c r="B189" s="32">
        <v>175</v>
      </c>
      <c r="C189" s="40"/>
      <c r="D189" s="40"/>
      <c r="E189" s="34" t="str">
        <f t="shared" si="10"/>
        <v/>
      </c>
      <c r="F189" s="35" t="str">
        <f t="shared" si="11"/>
        <v/>
      </c>
      <c r="G189" s="35" t="str">
        <f t="shared" si="12"/>
        <v/>
      </c>
      <c r="H189" s="36" t="str">
        <f t="shared" si="13"/>
        <v/>
      </c>
      <c r="I189" s="36" t="str">
        <f t="shared" si="14"/>
        <v/>
      </c>
      <c r="J189" s="1"/>
    </row>
    <row r="190" spans="1:10" x14ac:dyDescent="0.25">
      <c r="A190" s="32"/>
      <c r="B190" s="32">
        <v>176</v>
      </c>
      <c r="C190" s="40"/>
      <c r="D190" s="40"/>
      <c r="E190" s="34" t="str">
        <f t="shared" si="10"/>
        <v/>
      </c>
      <c r="F190" s="35" t="str">
        <f t="shared" si="11"/>
        <v/>
      </c>
      <c r="G190" s="35" t="str">
        <f t="shared" si="12"/>
        <v/>
      </c>
      <c r="H190" s="36" t="str">
        <f t="shared" si="13"/>
        <v/>
      </c>
      <c r="I190" s="36" t="str">
        <f t="shared" si="14"/>
        <v/>
      </c>
      <c r="J190" s="1"/>
    </row>
    <row r="191" spans="1:10" x14ac:dyDescent="0.25">
      <c r="A191" s="32"/>
      <c r="B191" s="32">
        <v>177</v>
      </c>
      <c r="C191" s="40"/>
      <c r="D191" s="40"/>
      <c r="E191" s="34" t="str">
        <f t="shared" si="10"/>
        <v/>
      </c>
      <c r="F191" s="35" t="str">
        <f t="shared" si="11"/>
        <v/>
      </c>
      <c r="G191" s="35" t="str">
        <f t="shared" si="12"/>
        <v/>
      </c>
      <c r="H191" s="36" t="str">
        <f t="shared" si="13"/>
        <v/>
      </c>
      <c r="I191" s="36" t="str">
        <f t="shared" si="14"/>
        <v/>
      </c>
      <c r="J191" s="1"/>
    </row>
    <row r="192" spans="1:10" x14ac:dyDescent="0.25">
      <c r="A192" s="32"/>
      <c r="B192" s="32">
        <v>178</v>
      </c>
      <c r="C192" s="40"/>
      <c r="D192" s="40"/>
      <c r="E192" s="34" t="str">
        <f t="shared" si="10"/>
        <v/>
      </c>
      <c r="F192" s="35" t="str">
        <f t="shared" si="11"/>
        <v/>
      </c>
      <c r="G192" s="35" t="str">
        <f t="shared" si="12"/>
        <v/>
      </c>
      <c r="H192" s="36" t="str">
        <f t="shared" si="13"/>
        <v/>
      </c>
      <c r="I192" s="36" t="str">
        <f t="shared" si="14"/>
        <v/>
      </c>
      <c r="J192" s="1"/>
    </row>
    <row r="193" spans="1:10" x14ac:dyDescent="0.25">
      <c r="A193" s="32"/>
      <c r="B193" s="32">
        <v>179</v>
      </c>
      <c r="C193" s="40"/>
      <c r="D193" s="40"/>
      <c r="E193" s="34" t="str">
        <f t="shared" si="10"/>
        <v/>
      </c>
      <c r="F193" s="35" t="str">
        <f t="shared" si="11"/>
        <v/>
      </c>
      <c r="G193" s="35" t="str">
        <f t="shared" si="12"/>
        <v/>
      </c>
      <c r="H193" s="36" t="str">
        <f t="shared" si="13"/>
        <v/>
      </c>
      <c r="I193" s="36" t="str">
        <f t="shared" si="14"/>
        <v/>
      </c>
      <c r="J193" s="1"/>
    </row>
    <row r="194" spans="1:10" x14ac:dyDescent="0.25">
      <c r="A194" s="32"/>
      <c r="B194" s="32">
        <v>180</v>
      </c>
      <c r="C194" s="40"/>
      <c r="D194" s="40"/>
      <c r="E194" s="34" t="str">
        <f t="shared" si="10"/>
        <v/>
      </c>
      <c r="F194" s="35" t="str">
        <f t="shared" si="11"/>
        <v/>
      </c>
      <c r="G194" s="35" t="str">
        <f t="shared" si="12"/>
        <v/>
      </c>
      <c r="H194" s="36" t="str">
        <f t="shared" si="13"/>
        <v/>
      </c>
      <c r="I194" s="36" t="str">
        <f t="shared" si="14"/>
        <v/>
      </c>
      <c r="J194" s="1"/>
    </row>
    <row r="195" spans="1:10" x14ac:dyDescent="0.25">
      <c r="A195" s="32"/>
      <c r="B195" s="32">
        <v>181</v>
      </c>
      <c r="C195" s="40"/>
      <c r="D195" s="40"/>
      <c r="E195" s="34" t="str">
        <f t="shared" si="10"/>
        <v/>
      </c>
      <c r="F195" s="35" t="str">
        <f t="shared" si="11"/>
        <v/>
      </c>
      <c r="G195" s="35" t="str">
        <f t="shared" si="12"/>
        <v/>
      </c>
      <c r="H195" s="36" t="str">
        <f t="shared" si="13"/>
        <v/>
      </c>
      <c r="I195" s="36" t="str">
        <f t="shared" si="14"/>
        <v/>
      </c>
      <c r="J195" s="1"/>
    </row>
    <row r="196" spans="1:10" x14ac:dyDescent="0.25">
      <c r="A196" s="32"/>
      <c r="B196" s="32">
        <v>182</v>
      </c>
      <c r="C196" s="40"/>
      <c r="D196" s="40"/>
      <c r="E196" s="34" t="str">
        <f t="shared" si="10"/>
        <v/>
      </c>
      <c r="F196" s="35" t="str">
        <f t="shared" si="11"/>
        <v/>
      </c>
      <c r="G196" s="35" t="str">
        <f t="shared" si="12"/>
        <v/>
      </c>
      <c r="H196" s="36" t="str">
        <f t="shared" si="13"/>
        <v/>
      </c>
      <c r="I196" s="36" t="str">
        <f t="shared" si="14"/>
        <v/>
      </c>
      <c r="J196" s="1"/>
    </row>
    <row r="197" spans="1:10" x14ac:dyDescent="0.25">
      <c r="A197" s="32"/>
      <c r="B197" s="32">
        <v>183</v>
      </c>
      <c r="C197" s="40"/>
      <c r="D197" s="40"/>
      <c r="E197" s="34" t="str">
        <f t="shared" si="10"/>
        <v/>
      </c>
      <c r="F197" s="35" t="str">
        <f t="shared" si="11"/>
        <v/>
      </c>
      <c r="G197" s="35" t="str">
        <f t="shared" si="12"/>
        <v/>
      </c>
      <c r="H197" s="36" t="str">
        <f t="shared" si="13"/>
        <v/>
      </c>
      <c r="I197" s="36" t="str">
        <f t="shared" si="14"/>
        <v/>
      </c>
      <c r="J197" s="1"/>
    </row>
    <row r="198" spans="1:10" x14ac:dyDescent="0.25">
      <c r="A198" s="32"/>
      <c r="B198" s="32">
        <v>184</v>
      </c>
      <c r="C198" s="40"/>
      <c r="D198" s="40"/>
      <c r="E198" s="34" t="str">
        <f t="shared" si="10"/>
        <v/>
      </c>
      <c r="F198" s="35" t="str">
        <f t="shared" si="11"/>
        <v/>
      </c>
      <c r="G198" s="35" t="str">
        <f t="shared" si="12"/>
        <v/>
      </c>
      <c r="H198" s="36" t="str">
        <f t="shared" si="13"/>
        <v/>
      </c>
      <c r="I198" s="36" t="str">
        <f t="shared" si="14"/>
        <v/>
      </c>
      <c r="J198" s="1"/>
    </row>
    <row r="199" spans="1:10" x14ac:dyDescent="0.25">
      <c r="A199" s="32"/>
      <c r="B199" s="32">
        <v>185</v>
      </c>
      <c r="C199" s="40"/>
      <c r="D199" s="40"/>
      <c r="E199" s="34" t="str">
        <f t="shared" si="10"/>
        <v/>
      </c>
      <c r="F199" s="35" t="str">
        <f t="shared" si="11"/>
        <v/>
      </c>
      <c r="G199" s="35" t="str">
        <f t="shared" si="12"/>
        <v/>
      </c>
      <c r="H199" s="36" t="str">
        <f t="shared" si="13"/>
        <v/>
      </c>
      <c r="I199" s="36" t="str">
        <f t="shared" si="14"/>
        <v/>
      </c>
      <c r="J199" s="1"/>
    </row>
    <row r="200" spans="1:10" x14ac:dyDescent="0.25">
      <c r="A200" s="32"/>
      <c r="B200" s="32">
        <v>186</v>
      </c>
      <c r="C200" s="40"/>
      <c r="D200" s="40"/>
      <c r="E200" s="34" t="str">
        <f t="shared" si="10"/>
        <v/>
      </c>
      <c r="F200" s="35" t="str">
        <f t="shared" si="11"/>
        <v/>
      </c>
      <c r="G200" s="35" t="str">
        <f t="shared" si="12"/>
        <v/>
      </c>
      <c r="H200" s="36" t="str">
        <f t="shared" si="13"/>
        <v/>
      </c>
      <c r="I200" s="36" t="str">
        <f t="shared" si="14"/>
        <v/>
      </c>
      <c r="J200" s="1"/>
    </row>
  </sheetData>
  <mergeCells count="7">
    <mergeCell ref="F2:H2"/>
    <mergeCell ref="C5:I5"/>
    <mergeCell ref="H7:I8"/>
    <mergeCell ref="H12:I12"/>
    <mergeCell ref="C13:C14"/>
    <mergeCell ref="F13:F14"/>
    <mergeCell ref="G13:G14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F4C1-ADA6-4871-9D6E-D032E47F2883}">
  <dimension ref="A1:V200"/>
  <sheetViews>
    <sheetView zoomScale="90" zoomScaleNormal="90" workbookViewId="0">
      <pane ySplit="14" topLeftCell="A18" activePane="bottomLeft" state="frozenSplit"/>
      <selection activeCell="E7" sqref="E7:J27"/>
      <selection pane="bottomLeft" activeCell="N4" sqref="N4"/>
    </sheetView>
  </sheetViews>
  <sheetFormatPr defaultRowHeight="13.2" x14ac:dyDescent="0.25"/>
  <cols>
    <col min="1" max="1" width="2.5546875" customWidth="1"/>
    <col min="2" max="2" width="3.88671875" customWidth="1"/>
    <col min="3" max="3" width="10.33203125" style="41" customWidth="1"/>
    <col min="4" max="4" width="9.33203125" style="41" customWidth="1"/>
    <col min="5" max="5" width="9.33203125" style="42" customWidth="1"/>
    <col min="6" max="7" width="9.33203125" customWidth="1"/>
    <col min="8" max="8" width="6.6640625" customWidth="1"/>
    <col min="9" max="9" width="13.5546875" customWidth="1"/>
    <col min="10" max="10" width="4.44140625" customWidth="1"/>
    <col min="11" max="13" width="10.109375" customWidth="1"/>
    <col min="16" max="16" width="12" bestFit="1" customWidth="1"/>
  </cols>
  <sheetData>
    <row r="1" spans="1:12" x14ac:dyDescent="0.25">
      <c r="A1" s="1"/>
      <c r="B1" s="1"/>
      <c r="C1" s="2"/>
      <c r="D1" s="2"/>
      <c r="E1" s="3"/>
      <c r="F1" s="1"/>
      <c r="G1" s="1"/>
      <c r="H1" s="1"/>
      <c r="I1" s="1"/>
      <c r="J1" s="1"/>
    </row>
    <row r="2" spans="1:12" ht="18" customHeight="1" x14ac:dyDescent="0.4">
      <c r="A2" s="1"/>
      <c r="B2" s="1"/>
      <c r="C2" s="4" t="s">
        <v>0</v>
      </c>
      <c r="D2" s="4" t="s">
        <v>1</v>
      </c>
      <c r="E2" s="5"/>
      <c r="F2" s="45"/>
      <c r="G2" s="45"/>
      <c r="H2" s="45"/>
      <c r="I2" s="1"/>
      <c r="J2" s="1"/>
    </row>
    <row r="3" spans="1:12" ht="15.75" customHeight="1" x14ac:dyDescent="0.25">
      <c r="A3" s="1"/>
      <c r="B3" s="1"/>
      <c r="C3" s="4" t="s">
        <v>2</v>
      </c>
      <c r="D3" s="4" t="s">
        <v>3</v>
      </c>
      <c r="E3" s="5" t="s">
        <v>4</v>
      </c>
      <c r="F3" s="6"/>
      <c r="G3" s="6"/>
      <c r="H3" s="6"/>
      <c r="I3" s="7"/>
      <c r="J3" s="1"/>
    </row>
    <row r="4" spans="1:12" ht="13.8" thickBot="1" x14ac:dyDescent="0.3">
      <c r="A4" s="1"/>
      <c r="B4" s="1"/>
      <c r="C4" s="8"/>
      <c r="D4" s="2"/>
      <c r="E4" s="3"/>
      <c r="F4" s="9"/>
      <c r="G4" s="9"/>
      <c r="H4" s="1"/>
      <c r="I4" s="7"/>
      <c r="J4" s="1"/>
    </row>
    <row r="5" spans="1:12" x14ac:dyDescent="0.25">
      <c r="A5" s="1"/>
      <c r="B5" s="1"/>
      <c r="C5" s="46" t="s">
        <v>5</v>
      </c>
      <c r="D5" s="47"/>
      <c r="E5" s="47"/>
      <c r="F5" s="47"/>
      <c r="G5" s="47"/>
      <c r="H5" s="47"/>
      <c r="I5" s="48"/>
      <c r="J5" s="1"/>
    </row>
    <row r="6" spans="1:12" x14ac:dyDescent="0.25">
      <c r="A6" s="1"/>
      <c r="B6" s="1"/>
      <c r="C6" s="10"/>
      <c r="D6" s="2"/>
      <c r="E6" s="3"/>
      <c r="F6" s="9"/>
      <c r="G6" s="9"/>
      <c r="H6" s="1"/>
      <c r="I6" s="11"/>
      <c r="J6" s="1"/>
    </row>
    <row r="7" spans="1:12" x14ac:dyDescent="0.25">
      <c r="A7" s="1"/>
      <c r="B7" s="1"/>
      <c r="C7" s="10"/>
      <c r="D7" s="12" t="s">
        <v>6</v>
      </c>
      <c r="E7" s="13"/>
      <c r="F7" s="14">
        <v>0</v>
      </c>
      <c r="G7" s="9"/>
      <c r="H7" s="49" t="s">
        <v>7</v>
      </c>
      <c r="I7" s="50"/>
      <c r="J7" s="1"/>
    </row>
    <row r="8" spans="1:12" x14ac:dyDescent="0.25">
      <c r="A8" s="1"/>
      <c r="B8" s="1"/>
      <c r="C8" s="10"/>
      <c r="D8" s="12" t="s">
        <v>8</v>
      </c>
      <c r="E8" s="13"/>
      <c r="F8" s="14">
        <v>0</v>
      </c>
      <c r="G8" s="9"/>
      <c r="H8" s="49"/>
      <c r="I8" s="50"/>
      <c r="J8" s="1"/>
    </row>
    <row r="9" spans="1:12" x14ac:dyDescent="0.25">
      <c r="A9" s="1"/>
      <c r="B9" s="1"/>
      <c r="C9" s="10"/>
      <c r="D9" s="15" t="s">
        <v>9</v>
      </c>
      <c r="E9" s="13"/>
      <c r="F9" s="16">
        <v>5665.1036890236137</v>
      </c>
      <c r="G9" s="9"/>
      <c r="H9" s="1"/>
      <c r="I9" s="11"/>
      <c r="J9" s="1"/>
    </row>
    <row r="10" spans="1:12" x14ac:dyDescent="0.25">
      <c r="A10" s="1"/>
      <c r="B10" s="1"/>
      <c r="C10" s="10"/>
      <c r="D10" s="15" t="s">
        <v>10</v>
      </c>
      <c r="E10" s="13"/>
      <c r="F10" s="17">
        <v>0.539629992276208</v>
      </c>
      <c r="G10" s="9"/>
      <c r="H10" s="18"/>
      <c r="I10" s="19"/>
      <c r="J10" s="1"/>
    </row>
    <row r="11" spans="1:12" x14ac:dyDescent="0.25">
      <c r="A11" s="1"/>
      <c r="B11" s="20"/>
      <c r="C11" s="21"/>
      <c r="D11" s="22"/>
      <c r="E11" s="23"/>
      <c r="F11" s="20"/>
      <c r="G11" s="9"/>
      <c r="H11" s="1"/>
      <c r="I11" s="11"/>
      <c r="J11" s="1"/>
    </row>
    <row r="12" spans="1:12" x14ac:dyDescent="0.25">
      <c r="A12" s="1"/>
      <c r="B12" s="20"/>
      <c r="C12" s="21"/>
      <c r="D12" s="22"/>
      <c r="E12" s="23"/>
      <c r="F12" s="20"/>
      <c r="G12" s="9"/>
      <c r="H12" s="51" t="s">
        <v>11</v>
      </c>
      <c r="I12" s="52"/>
      <c r="J12" s="1"/>
    </row>
    <row r="13" spans="1:12" ht="12.75" customHeight="1" x14ac:dyDescent="0.25">
      <c r="A13" s="1"/>
      <c r="B13" s="20"/>
      <c r="C13" s="53" t="s">
        <v>12</v>
      </c>
      <c r="D13" s="24"/>
      <c r="E13" s="25"/>
      <c r="F13" s="55" t="s">
        <v>13</v>
      </c>
      <c r="G13" s="55" t="s">
        <v>14</v>
      </c>
      <c r="H13" s="43" t="s">
        <v>15</v>
      </c>
      <c r="I13" s="44" t="s">
        <v>16</v>
      </c>
      <c r="J13" s="1"/>
      <c r="K13" t="s">
        <v>17</v>
      </c>
    </row>
    <row r="14" spans="1:12" s="31" customFormat="1" ht="12.6" thickBot="1" x14ac:dyDescent="0.3">
      <c r="A14" s="26"/>
      <c r="B14" s="26"/>
      <c r="C14" s="54"/>
      <c r="D14" s="27" t="s">
        <v>18</v>
      </c>
      <c r="E14" s="28" t="s">
        <v>19</v>
      </c>
      <c r="F14" s="55"/>
      <c r="G14" s="55"/>
      <c r="H14" s="29"/>
      <c r="I14" s="30">
        <f>SQRT(SUM(I15:I63))</f>
        <v>211.83691898970727</v>
      </c>
      <c r="J14" s="26"/>
      <c r="K14" s="31" t="s">
        <v>20</v>
      </c>
      <c r="L14" s="31" t="s">
        <v>21</v>
      </c>
    </row>
    <row r="15" spans="1:12" x14ac:dyDescent="0.25">
      <c r="A15" s="32"/>
      <c r="B15" s="32">
        <v>1</v>
      </c>
      <c r="C15" s="33">
        <v>1189.6600000000001</v>
      </c>
      <c r="D15" s="33">
        <v>4057.97</v>
      </c>
      <c r="E15" s="34" t="e">
        <f t="shared" ref="E15:E78" si="0">IF(C15="","",2*(D15-D14)/((C15-C14)/1000))</f>
        <v>#VALUE!</v>
      </c>
      <c r="F15" s="35">
        <f t="shared" ref="F15:F78" si="1">IF(C15="","",F$7+(F$9/F$10)*(EXP(F$10*(C15-F$8)/2000)-1))</f>
        <v>3973.4272133766035</v>
      </c>
      <c r="G15" s="35" t="e">
        <f t="shared" ref="G15:G78" si="2">IF(E15="","",F$9+(F15-F$7)*F$10)</f>
        <v>#VALUE!</v>
      </c>
      <c r="H15" s="36">
        <f t="shared" ref="H15:H78" si="3">IF(F15="","",F15-D15)</f>
        <v>-84.542786623396296</v>
      </c>
      <c r="I15" s="36">
        <f t="shared" ref="I15:I78" si="4">IF(H15="","",H15^2)</f>
        <v>7147.482770049116</v>
      </c>
      <c r="J15" s="1"/>
    </row>
    <row r="16" spans="1:12" x14ac:dyDescent="0.25">
      <c r="A16" s="32"/>
      <c r="B16" s="32">
        <v>2</v>
      </c>
      <c r="C16" s="33">
        <v>1252.8399999999999</v>
      </c>
      <c r="D16" s="33">
        <v>4276.7</v>
      </c>
      <c r="E16" s="34">
        <f t="shared" si="0"/>
        <v>6924.0265906932764</v>
      </c>
      <c r="F16" s="35">
        <f t="shared" si="1"/>
        <v>4222.2371964102622</v>
      </c>
      <c r="G16" s="35">
        <f t="shared" si="2"/>
        <v>7943.5495147108013</v>
      </c>
      <c r="H16" s="36">
        <f t="shared" si="3"/>
        <v>-54.462803589737632</v>
      </c>
      <c r="I16" s="36">
        <f t="shared" si="4"/>
        <v>2966.1969748543384</v>
      </c>
      <c r="J16" s="1"/>
    </row>
    <row r="17" spans="1:10" x14ac:dyDescent="0.25">
      <c r="A17" s="32"/>
      <c r="B17" s="32">
        <v>3</v>
      </c>
      <c r="C17" s="33">
        <v>1265.26</v>
      </c>
      <c r="D17" s="33">
        <v>4320.47</v>
      </c>
      <c r="E17" s="34">
        <f t="shared" si="0"/>
        <v>7048.3091787439898</v>
      </c>
      <c r="F17" s="35">
        <f t="shared" si="1"/>
        <v>4271.6493853042612</v>
      </c>
      <c r="G17" s="35">
        <f t="shared" si="2"/>
        <v>7970.2138138220207</v>
      </c>
      <c r="H17" s="36">
        <f t="shared" si="3"/>
        <v>-48.820614695739096</v>
      </c>
      <c r="I17" s="36">
        <f t="shared" si="4"/>
        <v>2383.4524192698163</v>
      </c>
      <c r="J17" s="1"/>
    </row>
    <row r="18" spans="1:10" x14ac:dyDescent="0.25">
      <c r="A18" s="32"/>
      <c r="B18" s="32">
        <v>4</v>
      </c>
      <c r="C18" s="33">
        <v>1274.17</v>
      </c>
      <c r="D18" s="33">
        <v>4352.41</v>
      </c>
      <c r="E18" s="34">
        <f t="shared" si="0"/>
        <v>7169.472502805681</v>
      </c>
      <c r="F18" s="35">
        <f t="shared" si="1"/>
        <v>4307.1994027616201</v>
      </c>
      <c r="G18" s="35">
        <f t="shared" si="2"/>
        <v>7989.397669467955</v>
      </c>
      <c r="H18" s="36">
        <f t="shared" si="3"/>
        <v>-45.210597238379705</v>
      </c>
      <c r="I18" s="36">
        <f t="shared" si="4"/>
        <v>2043.9981026509865</v>
      </c>
      <c r="J18" s="1"/>
    </row>
    <row r="19" spans="1:10" x14ac:dyDescent="0.25">
      <c r="A19" s="32"/>
      <c r="B19" s="32">
        <v>5</v>
      </c>
      <c r="C19" s="33">
        <v>1325.94</v>
      </c>
      <c r="D19" s="33">
        <v>4545.13</v>
      </c>
      <c r="E19" s="34">
        <f t="shared" si="0"/>
        <v>7445.238555147781</v>
      </c>
      <c r="F19" s="35">
        <f t="shared" si="1"/>
        <v>4515.4560734508359</v>
      </c>
      <c r="G19" s="35">
        <f t="shared" si="2"/>
        <v>8101.779215063445</v>
      </c>
      <c r="H19" s="36">
        <f t="shared" si="3"/>
        <v>-29.673926549164207</v>
      </c>
      <c r="I19" s="36">
        <f t="shared" si="4"/>
        <v>880.54191684519242</v>
      </c>
      <c r="J19" s="1"/>
    </row>
    <row r="20" spans="1:10" x14ac:dyDescent="0.25">
      <c r="A20" s="32"/>
      <c r="B20" s="32">
        <v>6</v>
      </c>
      <c r="C20" s="33">
        <v>1335.74</v>
      </c>
      <c r="D20" s="33">
        <v>4582.97</v>
      </c>
      <c r="E20" s="34">
        <f t="shared" si="0"/>
        <v>7722.4489795919026</v>
      </c>
      <c r="F20" s="35">
        <f t="shared" si="1"/>
        <v>4555.2073233121373</v>
      </c>
      <c r="G20" s="35">
        <f t="shared" si="2"/>
        <v>8123.2301817190692</v>
      </c>
      <c r="H20" s="36">
        <f t="shared" si="3"/>
        <v>-27.76267668786295</v>
      </c>
      <c r="I20" s="36">
        <f t="shared" si="4"/>
        <v>770.76621687480883</v>
      </c>
      <c r="J20" s="1"/>
    </row>
    <row r="21" spans="1:10" x14ac:dyDescent="0.25">
      <c r="A21" s="32"/>
      <c r="B21" s="32">
        <v>7</v>
      </c>
      <c r="C21" s="33">
        <v>1357.57</v>
      </c>
      <c r="D21" s="33">
        <v>4669.03</v>
      </c>
      <c r="E21" s="34">
        <f t="shared" si="0"/>
        <v>7884.5625286303057</v>
      </c>
      <c r="F21" s="35">
        <f t="shared" si="1"/>
        <v>4644.1340154895715</v>
      </c>
      <c r="G21" s="35">
        <f t="shared" si="2"/>
        <v>8171.2176919319263</v>
      </c>
      <c r="H21" s="36">
        <f t="shared" si="3"/>
        <v>-24.895984510428207</v>
      </c>
      <c r="I21" s="36">
        <f t="shared" si="4"/>
        <v>619.81004474348117</v>
      </c>
      <c r="J21" s="1"/>
    </row>
    <row r="22" spans="1:10" x14ac:dyDescent="0.25">
      <c r="A22" s="32"/>
      <c r="B22" s="32">
        <v>8</v>
      </c>
      <c r="C22" s="33">
        <v>1400.21</v>
      </c>
      <c r="D22" s="33">
        <v>4845.47</v>
      </c>
      <c r="E22" s="34">
        <f t="shared" si="0"/>
        <v>8275.7973733583531</v>
      </c>
      <c r="F22" s="35">
        <f t="shared" si="1"/>
        <v>4819.3503683164845</v>
      </c>
      <c r="G22" s="35">
        <f t="shared" si="2"/>
        <v>8265.7696910545783</v>
      </c>
      <c r="H22" s="36">
        <f t="shared" si="3"/>
        <v>-26.119631683515763</v>
      </c>
      <c r="I22" s="36">
        <f t="shared" si="4"/>
        <v>682.2351592825205</v>
      </c>
      <c r="J22" s="1"/>
    </row>
    <row r="23" spans="1:10" x14ac:dyDescent="0.25">
      <c r="A23" s="32"/>
      <c r="B23" s="32">
        <v>9</v>
      </c>
      <c r="C23" s="33">
        <v>1460.91</v>
      </c>
      <c r="D23" s="33">
        <v>5107.97</v>
      </c>
      <c r="E23" s="34">
        <f t="shared" si="0"/>
        <v>8649.0939044480983</v>
      </c>
      <c r="F23" s="35">
        <f t="shared" si="1"/>
        <v>5072.2820532958749</v>
      </c>
      <c r="G23" s="35">
        <f t="shared" si="2"/>
        <v>8402.2592142664143</v>
      </c>
      <c r="H23" s="36">
        <f t="shared" si="3"/>
        <v>-35.687946704125352</v>
      </c>
      <c r="I23" s="36">
        <f t="shared" si="4"/>
        <v>1273.6295399564915</v>
      </c>
      <c r="J23" s="1"/>
    </row>
    <row r="24" spans="1:10" x14ac:dyDescent="0.25">
      <c r="A24" s="32"/>
      <c r="B24" s="32">
        <v>10</v>
      </c>
      <c r="C24" s="33">
        <v>1489.14</v>
      </c>
      <c r="D24" s="33">
        <v>5227.68</v>
      </c>
      <c r="E24" s="34">
        <f t="shared" si="0"/>
        <v>8481.048529932692</v>
      </c>
      <c r="F24" s="35">
        <f t="shared" si="1"/>
        <v>5191.3327638570108</v>
      </c>
      <c r="G24" s="35">
        <f t="shared" si="2"/>
        <v>8466.5025482869969</v>
      </c>
      <c r="H24" s="36">
        <f t="shared" si="3"/>
        <v>-36.347236142989459</v>
      </c>
      <c r="I24" s="36">
        <f t="shared" si="4"/>
        <v>1321.1215752342393</v>
      </c>
      <c r="J24" s="1"/>
    </row>
    <row r="25" spans="1:10" x14ac:dyDescent="0.25">
      <c r="A25" s="32"/>
      <c r="B25" s="32">
        <v>11</v>
      </c>
      <c r="C25" s="33">
        <v>1524.63</v>
      </c>
      <c r="D25" s="33">
        <v>5370.47</v>
      </c>
      <c r="E25" s="34">
        <f t="shared" si="0"/>
        <v>8046.7737390814273</v>
      </c>
      <c r="F25" s="35">
        <f t="shared" si="1"/>
        <v>5342.2924730874274</v>
      </c>
      <c r="G25" s="35">
        <f t="shared" si="2"/>
        <v>8547.9649350130258</v>
      </c>
      <c r="H25" s="36">
        <f t="shared" si="3"/>
        <v>-28.17752691257283</v>
      </c>
      <c r="I25" s="36">
        <f t="shared" si="4"/>
        <v>793.9730229087661</v>
      </c>
      <c r="J25" s="1"/>
    </row>
    <row r="26" spans="1:10" x14ac:dyDescent="0.25">
      <c r="A26" s="32"/>
      <c r="B26" s="32">
        <v>12</v>
      </c>
      <c r="C26" s="33">
        <v>1594.67</v>
      </c>
      <c r="D26" s="33">
        <v>5632.97</v>
      </c>
      <c r="E26" s="34">
        <f t="shared" si="0"/>
        <v>7495.716733295264</v>
      </c>
      <c r="F26" s="35">
        <f t="shared" si="1"/>
        <v>5644.48863934581</v>
      </c>
      <c r="G26" s="35">
        <f t="shared" si="2"/>
        <v>8711.0390498769375</v>
      </c>
      <c r="H26" s="36">
        <f t="shared" si="3"/>
        <v>11.518639345809788</v>
      </c>
      <c r="I26" s="36">
        <f t="shared" si="4"/>
        <v>132.67905237883735</v>
      </c>
      <c r="J26" s="1"/>
    </row>
    <row r="27" spans="1:10" x14ac:dyDescent="0.25">
      <c r="A27" s="32"/>
      <c r="B27" s="32">
        <v>13</v>
      </c>
      <c r="C27" s="33">
        <v>1601.68</v>
      </c>
      <c r="D27" s="33">
        <v>5659.41</v>
      </c>
      <c r="E27" s="34">
        <f t="shared" si="0"/>
        <v>7543.5092724677988</v>
      </c>
      <c r="F27" s="35">
        <f t="shared" si="1"/>
        <v>5675.0497237701074</v>
      </c>
      <c r="G27" s="35">
        <f t="shared" si="2"/>
        <v>8727.5307276287731</v>
      </c>
      <c r="H27" s="36">
        <f t="shared" si="3"/>
        <v>15.639723770107594</v>
      </c>
      <c r="I27" s="36">
        <f t="shared" si="4"/>
        <v>244.60095960526849</v>
      </c>
      <c r="J27" s="1"/>
    </row>
    <row r="28" spans="1:10" x14ac:dyDescent="0.25">
      <c r="A28" s="32"/>
      <c r="B28" s="32">
        <v>14</v>
      </c>
      <c r="C28" s="33">
        <v>1613.73</v>
      </c>
      <c r="D28" s="33">
        <v>5705.46</v>
      </c>
      <c r="E28" s="34">
        <f t="shared" si="0"/>
        <v>7643.153526971013</v>
      </c>
      <c r="F28" s="35">
        <f t="shared" si="1"/>
        <v>5727.7186705099321</v>
      </c>
      <c r="G28" s="35">
        <f t="shared" si="2"/>
        <v>8755.9524709511807</v>
      </c>
      <c r="H28" s="36">
        <f t="shared" si="3"/>
        <v>22.258670509932017</v>
      </c>
      <c r="I28" s="36">
        <f t="shared" si="4"/>
        <v>495.44841286971723</v>
      </c>
      <c r="J28" s="1"/>
    </row>
    <row r="29" spans="1:10" x14ac:dyDescent="0.25">
      <c r="A29" s="32"/>
      <c r="B29" s="32">
        <v>15</v>
      </c>
      <c r="C29" s="33">
        <v>1644.09</v>
      </c>
      <c r="D29" s="33">
        <v>5826.34</v>
      </c>
      <c r="E29" s="34">
        <f t="shared" si="0"/>
        <v>7963.1093544137357</v>
      </c>
      <c r="F29" s="35">
        <f t="shared" si="1"/>
        <v>5861.1799121643944</v>
      </c>
      <c r="G29" s="35">
        <f t="shared" si="2"/>
        <v>8827.9721597543503</v>
      </c>
      <c r="H29" s="36">
        <f t="shared" si="3"/>
        <v>34.839912164394264</v>
      </c>
      <c r="I29" s="36">
        <f t="shared" si="4"/>
        <v>1213.8194796227074</v>
      </c>
      <c r="J29" s="1"/>
    </row>
    <row r="30" spans="1:10" x14ac:dyDescent="0.25">
      <c r="A30" s="32"/>
      <c r="B30" s="32">
        <v>16</v>
      </c>
      <c r="C30" s="33">
        <v>1660.72</v>
      </c>
      <c r="D30" s="33">
        <v>5895.47</v>
      </c>
      <c r="E30" s="34">
        <f t="shared" si="0"/>
        <v>8313.8905592302654</v>
      </c>
      <c r="F30" s="35">
        <f t="shared" si="1"/>
        <v>5934.749431315664</v>
      </c>
      <c r="G30" s="35">
        <f t="shared" si="2"/>
        <v>8867.6724788057145</v>
      </c>
      <c r="H30" s="36">
        <f t="shared" si="3"/>
        <v>39.279431315663714</v>
      </c>
      <c r="I30" s="36">
        <f t="shared" si="4"/>
        <v>1542.8737244819433</v>
      </c>
      <c r="J30" s="1"/>
    </row>
    <row r="31" spans="1:10" x14ac:dyDescent="0.25">
      <c r="A31" s="32"/>
      <c r="B31" s="32">
        <v>17</v>
      </c>
      <c r="C31" s="33">
        <v>1682.72</v>
      </c>
      <c r="D31" s="33">
        <v>5995.47</v>
      </c>
      <c r="E31" s="34">
        <f t="shared" si="0"/>
        <v>9090.9090909090919</v>
      </c>
      <c r="F31" s="35">
        <f t="shared" si="1"/>
        <v>6032.5839106202684</v>
      </c>
      <c r="G31" s="35">
        <f t="shared" si="2"/>
        <v>8920.4668981172053</v>
      </c>
      <c r="H31" s="36">
        <f t="shared" si="3"/>
        <v>37.113910620268143</v>
      </c>
      <c r="I31" s="36">
        <f t="shared" si="4"/>
        <v>1377.4423615292524</v>
      </c>
      <c r="J31" s="1"/>
    </row>
    <row r="32" spans="1:10" x14ac:dyDescent="0.25">
      <c r="A32" s="32"/>
      <c r="B32" s="32">
        <v>18</v>
      </c>
      <c r="C32" s="33">
        <v>1726.72</v>
      </c>
      <c r="D32" s="33">
        <v>6185.47</v>
      </c>
      <c r="E32" s="34">
        <f t="shared" si="0"/>
        <v>8636.363636363636</v>
      </c>
      <c r="F32" s="35">
        <f t="shared" si="1"/>
        <v>6230.00373390596</v>
      </c>
      <c r="G32" s="35">
        <f t="shared" si="2"/>
        <v>9027.0005558320336</v>
      </c>
      <c r="H32" s="36">
        <f t="shared" si="3"/>
        <v>44.533733905959707</v>
      </c>
      <c r="I32" s="36">
        <f t="shared" si="4"/>
        <v>1983.2534556068251</v>
      </c>
      <c r="J32" s="1"/>
    </row>
    <row r="33" spans="1:10" x14ac:dyDescent="0.25">
      <c r="A33" s="32"/>
      <c r="B33" s="32">
        <v>19</v>
      </c>
      <c r="C33" s="33">
        <v>1760.71</v>
      </c>
      <c r="D33" s="33">
        <v>6343.47</v>
      </c>
      <c r="E33" s="34">
        <f t="shared" si="0"/>
        <v>9296.8520152986148</v>
      </c>
      <c r="F33" s="35">
        <f t="shared" si="1"/>
        <v>6384.123244054008</v>
      </c>
      <c r="G33" s="35">
        <f t="shared" si="2"/>
        <v>9110.1680659028389</v>
      </c>
      <c r="H33" s="36">
        <f t="shared" si="3"/>
        <v>40.6532440540077</v>
      </c>
      <c r="I33" s="36">
        <f t="shared" si="4"/>
        <v>1652.6862521147125</v>
      </c>
      <c r="J33" s="1"/>
    </row>
    <row r="34" spans="1:10" x14ac:dyDescent="0.25">
      <c r="A34" s="32"/>
      <c r="B34" s="32">
        <v>20</v>
      </c>
      <c r="C34" s="33">
        <v>1798.61</v>
      </c>
      <c r="D34" s="33">
        <v>6519.47</v>
      </c>
      <c r="E34" s="34">
        <f t="shared" si="0"/>
        <v>9287.5989445910618</v>
      </c>
      <c r="F34" s="35">
        <f t="shared" si="1"/>
        <v>6557.6466408991982</v>
      </c>
      <c r="G34" s="35">
        <f t="shared" si="2"/>
        <v>9203.8064952021487</v>
      </c>
      <c r="H34" s="36">
        <f t="shared" si="3"/>
        <v>38.176640899197992</v>
      </c>
      <c r="I34" s="36">
        <f t="shared" si="4"/>
        <v>1457.4559103463168</v>
      </c>
      <c r="J34" s="1"/>
    </row>
    <row r="35" spans="1:10" x14ac:dyDescent="0.25">
      <c r="A35" s="32"/>
      <c r="B35" s="32">
        <v>21</v>
      </c>
      <c r="C35" s="33">
        <v>1835.39</v>
      </c>
      <c r="D35" s="33">
        <v>6695.47</v>
      </c>
      <c r="E35" s="34">
        <f t="shared" si="0"/>
        <v>9570.418705818327</v>
      </c>
      <c r="F35" s="35">
        <f t="shared" si="1"/>
        <v>6727.7472682900052</v>
      </c>
      <c r="G35" s="35">
        <f t="shared" si="2"/>
        <v>9295.5978954472284</v>
      </c>
      <c r="H35" s="36">
        <f t="shared" si="3"/>
        <v>32.27726829000494</v>
      </c>
      <c r="I35" s="36">
        <f t="shared" si="4"/>
        <v>1041.8220482649585</v>
      </c>
      <c r="J35" s="1"/>
    </row>
    <row r="36" spans="1:10" x14ac:dyDescent="0.25">
      <c r="A36" s="32"/>
      <c r="B36" s="32">
        <v>22</v>
      </c>
      <c r="C36" s="33">
        <v>1865.79</v>
      </c>
      <c r="D36" s="33">
        <v>6845.47</v>
      </c>
      <c r="E36" s="34">
        <f t="shared" si="0"/>
        <v>9868.4210526316238</v>
      </c>
      <c r="F36" s="35">
        <f t="shared" si="1"/>
        <v>6869.6214134059628</v>
      </c>
      <c r="G36" s="35">
        <f t="shared" si="2"/>
        <v>9372.1574392803468</v>
      </c>
      <c r="H36" s="36">
        <f t="shared" si="3"/>
        <v>24.151413405962558</v>
      </c>
      <c r="I36" s="36">
        <f t="shared" si="4"/>
        <v>583.290769505708</v>
      </c>
      <c r="J36" s="1"/>
    </row>
    <row r="37" spans="1:10" x14ac:dyDescent="0.25">
      <c r="A37" s="32"/>
      <c r="B37" s="32">
        <v>23</v>
      </c>
      <c r="C37" s="33">
        <v>1879.25</v>
      </c>
      <c r="D37" s="33">
        <v>6911.47</v>
      </c>
      <c r="E37" s="34">
        <f t="shared" si="0"/>
        <v>9806.8350668647581</v>
      </c>
      <c r="F37" s="35">
        <f t="shared" si="1"/>
        <v>6932.8107061086694</v>
      </c>
      <c r="G37" s="35">
        <f t="shared" si="2"/>
        <v>9406.2562768134467</v>
      </c>
      <c r="H37" s="36">
        <f t="shared" si="3"/>
        <v>21.34070610866911</v>
      </c>
      <c r="I37" s="36">
        <f t="shared" si="4"/>
        <v>455.42573721658709</v>
      </c>
      <c r="J37" s="1"/>
    </row>
    <row r="38" spans="1:10" x14ac:dyDescent="0.25">
      <c r="A38" s="32"/>
      <c r="B38" s="32">
        <v>24</v>
      </c>
      <c r="C38" s="33">
        <v>1902.44</v>
      </c>
      <c r="D38" s="33">
        <v>7023.66</v>
      </c>
      <c r="E38" s="34">
        <f t="shared" si="0"/>
        <v>9675.7222940922238</v>
      </c>
      <c r="F38" s="35">
        <f t="shared" si="1"/>
        <v>7042.2181724876318</v>
      </c>
      <c r="G38" s="35">
        <f t="shared" si="2"/>
        <v>9465.295827050486</v>
      </c>
      <c r="H38" s="36">
        <f t="shared" si="3"/>
        <v>18.558172487631964</v>
      </c>
      <c r="I38" s="36">
        <f t="shared" si="4"/>
        <v>344.40576608069995</v>
      </c>
      <c r="J38" s="1"/>
    </row>
    <row r="39" spans="1:10" x14ac:dyDescent="0.25">
      <c r="A39" s="32"/>
      <c r="B39" s="32">
        <v>25</v>
      </c>
      <c r="C39" s="33">
        <v>1925.28</v>
      </c>
      <c r="D39" s="33">
        <v>7130.47</v>
      </c>
      <c r="E39" s="34">
        <f t="shared" si="0"/>
        <v>9352.8896672505052</v>
      </c>
      <c r="F39" s="35">
        <f t="shared" si="1"/>
        <v>7150.6456037462485</v>
      </c>
      <c r="G39" s="35">
        <f t="shared" si="2"/>
        <v>9523.8065209431024</v>
      </c>
      <c r="H39" s="36">
        <f t="shared" si="3"/>
        <v>20.175603746248271</v>
      </c>
      <c r="I39" s="36">
        <f t="shared" si="4"/>
        <v>407.05498652562727</v>
      </c>
      <c r="J39" s="1"/>
    </row>
    <row r="40" spans="1:10" x14ac:dyDescent="0.25">
      <c r="A40" s="32"/>
      <c r="B40" s="32">
        <v>26</v>
      </c>
      <c r="C40" s="33">
        <v>1986.76</v>
      </c>
      <c r="D40" s="33">
        <v>7405.47</v>
      </c>
      <c r="E40" s="34">
        <f t="shared" si="0"/>
        <v>8945.9986987638222</v>
      </c>
      <c r="F40" s="35">
        <f t="shared" si="1"/>
        <v>7445.8490981224631</v>
      </c>
      <c r="G40" s="35">
        <f t="shared" si="2"/>
        <v>9683.1071803332488</v>
      </c>
      <c r="H40" s="36">
        <f t="shared" si="3"/>
        <v>40.379098122462892</v>
      </c>
      <c r="I40" s="36">
        <f t="shared" si="4"/>
        <v>1630.4715651834863</v>
      </c>
      <c r="J40" s="1"/>
    </row>
    <row r="41" spans="1:10" x14ac:dyDescent="0.25">
      <c r="A41" s="32"/>
      <c r="B41" s="32">
        <v>27</v>
      </c>
      <c r="C41" s="33">
        <v>2030.82</v>
      </c>
      <c r="D41" s="33">
        <v>7615.47</v>
      </c>
      <c r="E41" s="34">
        <f t="shared" si="0"/>
        <v>9532.4557421697809</v>
      </c>
      <c r="F41" s="35">
        <f t="shared" si="1"/>
        <v>7660.4409612955506</v>
      </c>
      <c r="G41" s="35">
        <f t="shared" si="2"/>
        <v>9798.9073857998792</v>
      </c>
      <c r="H41" s="36">
        <f t="shared" si="3"/>
        <v>44.970961295550296</v>
      </c>
      <c r="I41" s="36">
        <f t="shared" si="4"/>
        <v>2022.3873598458829</v>
      </c>
      <c r="J41" s="1"/>
    </row>
    <row r="42" spans="1:10" x14ac:dyDescent="0.25">
      <c r="A42" s="32"/>
      <c r="B42" s="32">
        <v>28</v>
      </c>
      <c r="C42" s="33">
        <v>2048.92</v>
      </c>
      <c r="D42" s="33">
        <v>7715.47</v>
      </c>
      <c r="E42" s="34">
        <f t="shared" si="0"/>
        <v>11049.723756905994</v>
      </c>
      <c r="F42" s="35">
        <f t="shared" si="1"/>
        <v>7749.33796744955</v>
      </c>
      <c r="G42" s="35">
        <f t="shared" si="2"/>
        <v>9846.8788765441386</v>
      </c>
      <c r="H42" s="36">
        <f t="shared" si="3"/>
        <v>33.867967449549724</v>
      </c>
      <c r="I42" s="36">
        <f t="shared" si="4"/>
        <v>1147.0392191637595</v>
      </c>
      <c r="J42" s="1"/>
    </row>
    <row r="43" spans="1:10" x14ac:dyDescent="0.25">
      <c r="A43" s="32"/>
      <c r="B43" s="32">
        <v>29</v>
      </c>
      <c r="C43" s="33">
        <v>2066.92</v>
      </c>
      <c r="D43" s="33">
        <v>7805.47</v>
      </c>
      <c r="E43" s="34">
        <f t="shared" si="0"/>
        <v>10000</v>
      </c>
      <c r="F43" s="35">
        <f t="shared" si="1"/>
        <v>7838.1754298354172</v>
      </c>
      <c r="G43" s="35">
        <f t="shared" si="2"/>
        <v>9894.8182356852631</v>
      </c>
      <c r="H43" s="36">
        <f t="shared" si="3"/>
        <v>32.705429835416908</v>
      </c>
      <c r="I43" s="36">
        <f t="shared" si="4"/>
        <v>1069.6451407193783</v>
      </c>
      <c r="J43" s="1"/>
    </row>
    <row r="44" spans="1:10" x14ac:dyDescent="0.25">
      <c r="A44" s="32"/>
      <c r="B44" s="32">
        <v>30</v>
      </c>
      <c r="C44" s="33">
        <v>2101.02</v>
      </c>
      <c r="D44" s="33">
        <v>7985.47</v>
      </c>
      <c r="E44" s="34">
        <f t="shared" si="0"/>
        <v>10557.184750733166</v>
      </c>
      <c r="F44" s="35">
        <f t="shared" si="1"/>
        <v>8007.6605753985523</v>
      </c>
      <c r="G44" s="35">
        <f t="shared" si="2"/>
        <v>9986.2775034764309</v>
      </c>
      <c r="H44" s="36">
        <f t="shared" si="3"/>
        <v>22.190575398552028</v>
      </c>
      <c r="I44" s="36">
        <f t="shared" si="4"/>
        <v>492.42163651882248</v>
      </c>
      <c r="J44" s="1"/>
    </row>
    <row r="45" spans="1:10" x14ac:dyDescent="0.25">
      <c r="A45" s="32"/>
      <c r="B45" s="32">
        <v>31</v>
      </c>
      <c r="C45" s="33">
        <v>2135.12</v>
      </c>
      <c r="D45" s="33">
        <v>8165.47</v>
      </c>
      <c r="E45" s="34">
        <f t="shared" si="0"/>
        <v>10557.184750733166</v>
      </c>
      <c r="F45" s="35">
        <f t="shared" si="1"/>
        <v>8178.7122972186198</v>
      </c>
      <c r="G45" s="35">
        <f t="shared" si="2"/>
        <v>10078.582142801024</v>
      </c>
      <c r="H45" s="36">
        <f t="shared" si="3"/>
        <v>13.242297218619569</v>
      </c>
      <c r="I45" s="36">
        <f t="shared" si="4"/>
        <v>175.35843562625959</v>
      </c>
      <c r="J45" s="1"/>
    </row>
    <row r="46" spans="1:10" x14ac:dyDescent="0.25">
      <c r="A46" s="32"/>
      <c r="B46" s="32">
        <v>32</v>
      </c>
      <c r="C46" s="33">
        <v>2171.12</v>
      </c>
      <c r="D46" s="33">
        <v>8364.4699999999993</v>
      </c>
      <c r="E46" s="34">
        <f t="shared" si="0"/>
        <v>11055.555555555506</v>
      </c>
      <c r="F46" s="35">
        <f t="shared" si="1"/>
        <v>8361.0107056844572</v>
      </c>
      <c r="G46" s="35">
        <f t="shared" si="2"/>
        <v>10176.955831553409</v>
      </c>
      <c r="H46" s="36">
        <f t="shared" si="3"/>
        <v>-3.4592943155421381</v>
      </c>
      <c r="I46" s="36">
        <f t="shared" si="4"/>
        <v>11.966717161542149</v>
      </c>
      <c r="J46" s="1"/>
    </row>
    <row r="47" spans="1:10" x14ac:dyDescent="0.25">
      <c r="A47" s="32"/>
      <c r="B47" s="32">
        <v>33</v>
      </c>
      <c r="C47" s="33">
        <v>2207.12</v>
      </c>
      <c r="D47" s="33">
        <v>8545.4699999999993</v>
      </c>
      <c r="E47" s="34">
        <f t="shared" si="0"/>
        <v>10055.555555555557</v>
      </c>
      <c r="F47" s="35">
        <f t="shared" si="1"/>
        <v>8545.0884682936012</v>
      </c>
      <c r="G47" s="35">
        <f t="shared" si="2"/>
        <v>10276.289713168404</v>
      </c>
      <c r="H47" s="36">
        <f t="shared" si="3"/>
        <v>-0.38153170639816381</v>
      </c>
      <c r="I47" s="36">
        <f t="shared" si="4"/>
        <v>0.14556644298709467</v>
      </c>
      <c r="J47" s="1"/>
    </row>
    <row r="48" spans="1:10" x14ac:dyDescent="0.25">
      <c r="A48" s="32"/>
      <c r="B48" s="32">
        <v>34</v>
      </c>
      <c r="C48" s="33">
        <v>2223.12</v>
      </c>
      <c r="D48" s="33">
        <v>8635.4699999999993</v>
      </c>
      <c r="E48" s="34">
        <f t="shared" si="0"/>
        <v>11250</v>
      </c>
      <c r="F48" s="35">
        <f t="shared" si="1"/>
        <v>8627.4764942438869</v>
      </c>
      <c r="G48" s="35">
        <f t="shared" si="2"/>
        <v>10320.748762975609</v>
      </c>
      <c r="H48" s="36">
        <f t="shared" si="3"/>
        <v>-7.9935057561124268</v>
      </c>
      <c r="I48" s="36">
        <f t="shared" si="4"/>
        <v>63.896134273002502</v>
      </c>
      <c r="J48" s="1"/>
    </row>
    <row r="49" spans="1:10" x14ac:dyDescent="0.25">
      <c r="A49" s="32"/>
      <c r="B49" s="32">
        <v>35</v>
      </c>
      <c r="C49" s="33">
        <v>2243.3200000000002</v>
      </c>
      <c r="D49" s="33">
        <v>8740.4699999999993</v>
      </c>
      <c r="E49" s="34">
        <f t="shared" si="0"/>
        <v>10396.039603960255</v>
      </c>
      <c r="F49" s="35">
        <f t="shared" si="1"/>
        <v>8732.0006400442235</v>
      </c>
      <c r="G49" s="35">
        <f t="shared" si="2"/>
        <v>10377.153126966521</v>
      </c>
      <c r="H49" s="36">
        <f t="shared" si="3"/>
        <v>-8.4693599557758716</v>
      </c>
      <c r="I49" s="36">
        <f t="shared" si="4"/>
        <v>71.730058060499871</v>
      </c>
      <c r="J49" s="1"/>
    </row>
    <row r="50" spans="1:10" x14ac:dyDescent="0.25">
      <c r="A50" s="32"/>
      <c r="B50" s="32">
        <v>36</v>
      </c>
      <c r="C50" s="33">
        <v>2263.12</v>
      </c>
      <c r="D50" s="33">
        <v>8839.4699999999993</v>
      </c>
      <c r="E50" s="34">
        <f t="shared" si="0"/>
        <v>10000.000000000138</v>
      </c>
      <c r="F50" s="35">
        <f t="shared" si="1"/>
        <v>8835.0093646638779</v>
      </c>
      <c r="G50" s="35">
        <f t="shared" si="2"/>
        <v>10432.739724237406</v>
      </c>
      <c r="H50" s="36">
        <f t="shared" si="3"/>
        <v>-4.4606353361214133</v>
      </c>
      <c r="I50" s="36">
        <f t="shared" si="4"/>
        <v>19.897267601854992</v>
      </c>
      <c r="J50" s="1"/>
    </row>
    <row r="51" spans="1:10" x14ac:dyDescent="0.25">
      <c r="A51" s="32"/>
      <c r="B51" s="32">
        <v>37</v>
      </c>
      <c r="C51" s="33">
        <v>2287.12</v>
      </c>
      <c r="D51" s="33">
        <v>8965.4699999999993</v>
      </c>
      <c r="E51" s="34">
        <f t="shared" si="0"/>
        <v>10500</v>
      </c>
      <c r="F51" s="35">
        <f t="shared" si="1"/>
        <v>8960.6084647090647</v>
      </c>
      <c r="G51" s="35">
        <f t="shared" si="2"/>
        <v>10500.51676562469</v>
      </c>
      <c r="H51" s="36">
        <f t="shared" si="3"/>
        <v>-4.8615352909346257</v>
      </c>
      <c r="I51" s="36">
        <f t="shared" si="4"/>
        <v>23.634525385002814</v>
      </c>
      <c r="J51" s="1"/>
    </row>
    <row r="52" spans="1:10" x14ac:dyDescent="0.25">
      <c r="A52" s="32"/>
      <c r="B52" s="32">
        <v>38</v>
      </c>
      <c r="C52" s="33">
        <v>2303.12</v>
      </c>
      <c r="D52" s="33">
        <v>9055.4699999999993</v>
      </c>
      <c r="E52" s="34">
        <f t="shared" si="0"/>
        <v>11250</v>
      </c>
      <c r="F52" s="35">
        <f t="shared" si="1"/>
        <v>9044.794184645425</v>
      </c>
      <c r="G52" s="35">
        <f t="shared" si="2"/>
        <v>10545.945905023716</v>
      </c>
      <c r="H52" s="36">
        <f t="shared" si="3"/>
        <v>-10.675815354574297</v>
      </c>
      <c r="I52" s="36">
        <f t="shared" si="4"/>
        <v>113.97303348496432</v>
      </c>
      <c r="J52" s="1"/>
    </row>
    <row r="53" spans="1:10" x14ac:dyDescent="0.25">
      <c r="A53" s="32"/>
      <c r="B53" s="32">
        <v>39</v>
      </c>
      <c r="C53" s="33">
        <v>2321.12</v>
      </c>
      <c r="D53" s="33">
        <v>9149.4699999999993</v>
      </c>
      <c r="E53" s="34">
        <f t="shared" si="0"/>
        <v>10444.444444444445</v>
      </c>
      <c r="F53" s="35">
        <f t="shared" si="1"/>
        <v>9139.9385531714397</v>
      </c>
      <c r="G53" s="35">
        <f t="shared" si="2"/>
        <v>10597.288659876533</v>
      </c>
      <c r="H53" s="36">
        <f t="shared" si="3"/>
        <v>-9.5314468285596377</v>
      </c>
      <c r="I53" s="36">
        <f t="shared" si="4"/>
        <v>90.848478645659569</v>
      </c>
      <c r="J53" s="1"/>
    </row>
    <row r="54" spans="1:10" x14ac:dyDescent="0.25">
      <c r="A54" s="32"/>
      <c r="B54" s="32">
        <v>40</v>
      </c>
      <c r="C54" s="33">
        <v>2345.12</v>
      </c>
      <c r="D54" s="33">
        <v>9285.4699999999993</v>
      </c>
      <c r="E54" s="34">
        <f t="shared" si="0"/>
        <v>11333.333333333334</v>
      </c>
      <c r="F54" s="35">
        <f t="shared" si="1"/>
        <v>9267.5186475456285</v>
      </c>
      <c r="G54" s="35">
        <f t="shared" si="2"/>
        <v>10666.134705218275</v>
      </c>
      <c r="H54" s="36">
        <f t="shared" si="3"/>
        <v>-17.951352454370863</v>
      </c>
      <c r="I54" s="36">
        <f t="shared" si="4"/>
        <v>322.25105494104679</v>
      </c>
      <c r="J54" s="1"/>
    </row>
    <row r="55" spans="1:10" x14ac:dyDescent="0.25">
      <c r="A55" s="32"/>
      <c r="B55" s="32">
        <v>41</v>
      </c>
      <c r="C55" s="33">
        <v>2367.12</v>
      </c>
      <c r="D55" s="33">
        <v>9411.4699999999993</v>
      </c>
      <c r="E55" s="34">
        <f t="shared" si="0"/>
        <v>11454.545454545456</v>
      </c>
      <c r="F55" s="35">
        <f t="shared" si="1"/>
        <v>9385.195043191934</v>
      </c>
      <c r="G55" s="35">
        <f t="shared" si="2"/>
        <v>10729.636417691981</v>
      </c>
      <c r="H55" s="36">
        <f t="shared" si="3"/>
        <v>-26.274956808065326</v>
      </c>
      <c r="I55" s="36">
        <f t="shared" si="4"/>
        <v>690.37335526569848</v>
      </c>
      <c r="J55" s="1"/>
    </row>
    <row r="56" spans="1:10" x14ac:dyDescent="0.25">
      <c r="A56" s="32"/>
      <c r="B56" s="32">
        <v>42</v>
      </c>
      <c r="C56" s="33">
        <v>2391.12</v>
      </c>
      <c r="D56" s="33">
        <v>9545.4699999999993</v>
      </c>
      <c r="E56" s="34">
        <f t="shared" si="0"/>
        <v>11166.666666666666</v>
      </c>
      <c r="F56" s="35">
        <f t="shared" si="1"/>
        <v>9514.368463932351</v>
      </c>
      <c r="G56" s="35">
        <f t="shared" si="2"/>
        <v>10799.342269728426</v>
      </c>
      <c r="H56" s="36">
        <f t="shared" si="3"/>
        <v>-31.10153606764834</v>
      </c>
      <c r="I56" s="36">
        <f t="shared" si="4"/>
        <v>967.30554576723057</v>
      </c>
      <c r="J56" s="1"/>
    </row>
    <row r="57" spans="1:10" x14ac:dyDescent="0.25">
      <c r="A57" s="32"/>
      <c r="B57" s="32">
        <v>43</v>
      </c>
      <c r="C57" s="33">
        <v>2405.12</v>
      </c>
      <c r="D57" s="33">
        <v>9620.4699999999993</v>
      </c>
      <c r="E57" s="34">
        <f t="shared" si="0"/>
        <v>10714.285714285714</v>
      </c>
      <c r="F57" s="35">
        <f t="shared" si="1"/>
        <v>9590.1068171667539</v>
      </c>
      <c r="G57" s="35">
        <f t="shared" si="2"/>
        <v>10840.212956699319</v>
      </c>
      <c r="H57" s="36">
        <f t="shared" si="3"/>
        <v>-30.363182833245446</v>
      </c>
      <c r="I57" s="36">
        <f t="shared" si="4"/>
        <v>921.92287176509092</v>
      </c>
      <c r="J57" s="1"/>
    </row>
    <row r="58" spans="1:10" x14ac:dyDescent="0.25">
      <c r="A58" s="32"/>
      <c r="B58" s="32">
        <v>44</v>
      </c>
      <c r="C58" s="33">
        <v>2417.12</v>
      </c>
      <c r="D58" s="33">
        <v>9678.4699999999993</v>
      </c>
      <c r="E58" s="34">
        <f t="shared" si="0"/>
        <v>9666.6666666666661</v>
      </c>
      <c r="F58" s="35">
        <f t="shared" si="1"/>
        <v>9655.2535033119384</v>
      </c>
      <c r="G58" s="35">
        <f t="shared" si="2"/>
        <v>10875.368062440666</v>
      </c>
      <c r="H58" s="36">
        <f t="shared" si="3"/>
        <v>-23.216496688060943</v>
      </c>
      <c r="I58" s="36">
        <f t="shared" si="4"/>
        <v>539.00571846674472</v>
      </c>
      <c r="J58" s="1"/>
    </row>
    <row r="59" spans="1:10" x14ac:dyDescent="0.25">
      <c r="A59" s="32"/>
      <c r="B59" s="32">
        <v>45</v>
      </c>
      <c r="C59" s="33">
        <v>2439.12</v>
      </c>
      <c r="D59" s="33">
        <v>9793.4699999999993</v>
      </c>
      <c r="E59" s="34">
        <f t="shared" si="0"/>
        <v>10454.545454545456</v>
      </c>
      <c r="F59" s="35">
        <f t="shared" si="1"/>
        <v>9775.2383103938155</v>
      </c>
      <c r="G59" s="35">
        <f t="shared" si="2"/>
        <v>10940.115462959522</v>
      </c>
      <c r="H59" s="36">
        <f t="shared" si="3"/>
        <v>-18.231689606183863</v>
      </c>
      <c r="I59" s="36">
        <f t="shared" si="4"/>
        <v>332.39450589623272</v>
      </c>
      <c r="J59" s="1"/>
    </row>
    <row r="60" spans="1:10" x14ac:dyDescent="0.25">
      <c r="A60" s="32"/>
      <c r="B60" s="32">
        <v>46</v>
      </c>
      <c r="C60" s="33">
        <v>2455.12</v>
      </c>
      <c r="D60" s="33">
        <v>9879.4699999999993</v>
      </c>
      <c r="E60" s="34">
        <f t="shared" si="0"/>
        <v>10750</v>
      </c>
      <c r="F60" s="35">
        <f t="shared" si="1"/>
        <v>9862.9484219048245</v>
      </c>
      <c r="G60" s="35">
        <f t="shared" si="2"/>
        <v>10987.446469756753</v>
      </c>
      <c r="H60" s="36">
        <f t="shared" si="3"/>
        <v>-16.521578095174846</v>
      </c>
      <c r="I60" s="36">
        <f t="shared" si="4"/>
        <v>272.96254275496131</v>
      </c>
      <c r="J60" s="1"/>
    </row>
    <row r="61" spans="1:10" x14ac:dyDescent="0.25">
      <c r="A61" s="32"/>
      <c r="B61" s="32">
        <v>47</v>
      </c>
      <c r="C61" s="33">
        <v>2490.2199999999998</v>
      </c>
      <c r="D61" s="33">
        <v>10062.469999999999</v>
      </c>
      <c r="E61" s="34">
        <f t="shared" si="0"/>
        <v>10427.350427350455</v>
      </c>
      <c r="F61" s="35">
        <f t="shared" si="1"/>
        <v>10056.694094166973</v>
      </c>
      <c r="G61" s="35">
        <f t="shared" si="2"/>
        <v>11091.997445383124</v>
      </c>
      <c r="H61" s="36">
        <f t="shared" si="3"/>
        <v>-5.7759058330266271</v>
      </c>
      <c r="I61" s="36">
        <f t="shared" si="4"/>
        <v>33.361088191991016</v>
      </c>
      <c r="J61" s="1"/>
    </row>
    <row r="62" spans="1:10" x14ac:dyDescent="0.25">
      <c r="A62" s="32"/>
      <c r="B62" s="32">
        <v>48</v>
      </c>
      <c r="C62" s="33">
        <v>2525.3200000000002</v>
      </c>
      <c r="D62" s="33">
        <v>10245.469999999999</v>
      </c>
      <c r="E62" s="34">
        <f t="shared" si="0"/>
        <v>10427.350427350319</v>
      </c>
      <c r="F62" s="35">
        <f t="shared" si="1"/>
        <v>10252.28335211704</v>
      </c>
      <c r="G62" s="35">
        <f t="shared" si="2"/>
        <v>11197.543275140028</v>
      </c>
      <c r="H62" s="36">
        <f t="shared" si="3"/>
        <v>6.8133521170402673</v>
      </c>
      <c r="I62" s="36">
        <f t="shared" si="4"/>
        <v>46.421767070777094</v>
      </c>
      <c r="J62" s="1"/>
    </row>
    <row r="63" spans="1:10" x14ac:dyDescent="0.25">
      <c r="A63" s="32"/>
      <c r="B63" s="32">
        <v>49</v>
      </c>
      <c r="C63" s="33"/>
      <c r="D63" s="33"/>
      <c r="E63" s="34" t="str">
        <f t="shared" si="0"/>
        <v/>
      </c>
      <c r="F63" s="35" t="str">
        <f t="shared" si="1"/>
        <v/>
      </c>
      <c r="G63" s="35" t="str">
        <f t="shared" si="2"/>
        <v/>
      </c>
      <c r="H63" s="36" t="str">
        <f t="shared" si="3"/>
        <v/>
      </c>
      <c r="I63" s="36" t="str">
        <f t="shared" si="4"/>
        <v/>
      </c>
      <c r="J63" s="1"/>
    </row>
    <row r="64" spans="1:10" x14ac:dyDescent="0.25">
      <c r="A64" s="32"/>
      <c r="B64" s="32">
        <v>50</v>
      </c>
      <c r="C64" s="33"/>
      <c r="D64" s="33"/>
      <c r="E64" s="34" t="str">
        <f t="shared" si="0"/>
        <v/>
      </c>
      <c r="F64" s="35" t="str">
        <f t="shared" si="1"/>
        <v/>
      </c>
      <c r="G64" s="35" t="str">
        <f t="shared" si="2"/>
        <v/>
      </c>
      <c r="H64" s="36" t="str">
        <f t="shared" si="3"/>
        <v/>
      </c>
      <c r="I64" s="36" t="str">
        <f t="shared" si="4"/>
        <v/>
      </c>
      <c r="J64" s="1"/>
    </row>
    <row r="65" spans="1:10" x14ac:dyDescent="0.25">
      <c r="A65" s="32"/>
      <c r="B65" s="32">
        <v>51</v>
      </c>
      <c r="C65" s="33"/>
      <c r="D65" s="33"/>
      <c r="E65" s="34" t="str">
        <f t="shared" si="0"/>
        <v/>
      </c>
      <c r="F65" s="35" t="str">
        <f t="shared" si="1"/>
        <v/>
      </c>
      <c r="G65" s="35" t="str">
        <f t="shared" si="2"/>
        <v/>
      </c>
      <c r="H65" s="36" t="str">
        <f t="shared" si="3"/>
        <v/>
      </c>
      <c r="I65" s="36" t="str">
        <f t="shared" si="4"/>
        <v/>
      </c>
      <c r="J65" s="1"/>
    </row>
    <row r="66" spans="1:10" x14ac:dyDescent="0.25">
      <c r="A66" s="32"/>
      <c r="B66" s="32">
        <v>52</v>
      </c>
      <c r="C66" s="33"/>
      <c r="D66" s="33"/>
      <c r="E66" s="34" t="str">
        <f t="shared" si="0"/>
        <v/>
      </c>
      <c r="F66" s="35" t="str">
        <f t="shared" si="1"/>
        <v/>
      </c>
      <c r="G66" s="35" t="str">
        <f t="shared" si="2"/>
        <v/>
      </c>
      <c r="H66" s="36" t="str">
        <f t="shared" si="3"/>
        <v/>
      </c>
      <c r="I66" s="36" t="str">
        <f t="shared" si="4"/>
        <v/>
      </c>
      <c r="J66" s="1"/>
    </row>
    <row r="67" spans="1:10" x14ac:dyDescent="0.25">
      <c r="A67" s="32"/>
      <c r="B67" s="32">
        <v>53</v>
      </c>
      <c r="C67" s="33"/>
      <c r="D67" s="33"/>
      <c r="E67" s="34" t="str">
        <f t="shared" si="0"/>
        <v/>
      </c>
      <c r="F67" s="35" t="str">
        <f t="shared" si="1"/>
        <v/>
      </c>
      <c r="G67" s="35" t="str">
        <f t="shared" si="2"/>
        <v/>
      </c>
      <c r="H67" s="36" t="str">
        <f t="shared" si="3"/>
        <v/>
      </c>
      <c r="I67" s="36" t="str">
        <f t="shared" si="4"/>
        <v/>
      </c>
      <c r="J67" s="1"/>
    </row>
    <row r="68" spans="1:10" x14ac:dyDescent="0.25">
      <c r="A68" s="32"/>
      <c r="B68" s="32">
        <v>54</v>
      </c>
      <c r="C68" s="33"/>
      <c r="D68" s="33"/>
      <c r="E68" s="34" t="str">
        <f t="shared" si="0"/>
        <v/>
      </c>
      <c r="F68" s="35" t="str">
        <f t="shared" si="1"/>
        <v/>
      </c>
      <c r="G68" s="35" t="str">
        <f t="shared" si="2"/>
        <v/>
      </c>
      <c r="H68" s="36" t="str">
        <f t="shared" si="3"/>
        <v/>
      </c>
      <c r="I68" s="36" t="str">
        <f t="shared" si="4"/>
        <v/>
      </c>
      <c r="J68" s="1"/>
    </row>
    <row r="69" spans="1:10" x14ac:dyDescent="0.25">
      <c r="A69" s="32"/>
      <c r="B69" s="32">
        <v>55</v>
      </c>
      <c r="C69" s="33"/>
      <c r="D69" s="33"/>
      <c r="E69" s="34" t="str">
        <f t="shared" si="0"/>
        <v/>
      </c>
      <c r="F69" s="35" t="str">
        <f t="shared" si="1"/>
        <v/>
      </c>
      <c r="G69" s="35" t="str">
        <f t="shared" si="2"/>
        <v/>
      </c>
      <c r="H69" s="36" t="str">
        <f t="shared" si="3"/>
        <v/>
      </c>
      <c r="I69" s="36" t="str">
        <f t="shared" si="4"/>
        <v/>
      </c>
      <c r="J69" s="1"/>
    </row>
    <row r="70" spans="1:10" x14ac:dyDescent="0.25">
      <c r="A70" s="32"/>
      <c r="B70" s="32">
        <v>56</v>
      </c>
      <c r="C70" s="33"/>
      <c r="D70" s="33"/>
      <c r="E70" s="34" t="str">
        <f t="shared" si="0"/>
        <v/>
      </c>
      <c r="F70" s="35" t="str">
        <f t="shared" si="1"/>
        <v/>
      </c>
      <c r="G70" s="35" t="str">
        <f t="shared" si="2"/>
        <v/>
      </c>
      <c r="H70" s="36" t="str">
        <f t="shared" si="3"/>
        <v/>
      </c>
      <c r="I70" s="36" t="str">
        <f t="shared" si="4"/>
        <v/>
      </c>
      <c r="J70" s="1"/>
    </row>
    <row r="71" spans="1:10" x14ac:dyDescent="0.25">
      <c r="A71" s="32"/>
      <c r="B71" s="32">
        <v>57</v>
      </c>
      <c r="C71" s="33"/>
      <c r="D71" s="33"/>
      <c r="E71" s="34" t="str">
        <f t="shared" si="0"/>
        <v/>
      </c>
      <c r="F71" s="35" t="str">
        <f t="shared" si="1"/>
        <v/>
      </c>
      <c r="G71" s="35" t="str">
        <f t="shared" si="2"/>
        <v/>
      </c>
      <c r="H71" s="36" t="str">
        <f t="shared" si="3"/>
        <v/>
      </c>
      <c r="I71" s="36" t="str">
        <f t="shared" si="4"/>
        <v/>
      </c>
      <c r="J71" s="1"/>
    </row>
    <row r="72" spans="1:10" x14ac:dyDescent="0.25">
      <c r="A72" s="32"/>
      <c r="B72" s="32">
        <v>58</v>
      </c>
      <c r="C72" s="33"/>
      <c r="D72" s="33"/>
      <c r="E72" s="34" t="str">
        <f t="shared" si="0"/>
        <v/>
      </c>
      <c r="F72" s="35" t="str">
        <f t="shared" si="1"/>
        <v/>
      </c>
      <c r="G72" s="35" t="str">
        <f t="shared" si="2"/>
        <v/>
      </c>
      <c r="H72" s="36" t="str">
        <f t="shared" si="3"/>
        <v/>
      </c>
      <c r="I72" s="36" t="str">
        <f t="shared" si="4"/>
        <v/>
      </c>
      <c r="J72" s="1"/>
    </row>
    <row r="73" spans="1:10" x14ac:dyDescent="0.25">
      <c r="A73" s="32"/>
      <c r="B73" s="32">
        <v>59</v>
      </c>
      <c r="C73" s="33"/>
      <c r="D73" s="33"/>
      <c r="E73" s="34" t="str">
        <f t="shared" si="0"/>
        <v/>
      </c>
      <c r="F73" s="35" t="str">
        <f t="shared" si="1"/>
        <v/>
      </c>
      <c r="G73" s="35" t="str">
        <f t="shared" si="2"/>
        <v/>
      </c>
      <c r="H73" s="36" t="str">
        <f t="shared" si="3"/>
        <v/>
      </c>
      <c r="I73" s="36" t="str">
        <f t="shared" si="4"/>
        <v/>
      </c>
      <c r="J73" s="1"/>
    </row>
    <row r="74" spans="1:10" x14ac:dyDescent="0.25">
      <c r="A74" s="32"/>
      <c r="B74" s="32">
        <v>60</v>
      </c>
      <c r="C74" s="33"/>
      <c r="D74" s="33"/>
      <c r="E74" s="34" t="str">
        <f t="shared" si="0"/>
        <v/>
      </c>
      <c r="F74" s="35" t="str">
        <f t="shared" si="1"/>
        <v/>
      </c>
      <c r="G74" s="35" t="str">
        <f t="shared" si="2"/>
        <v/>
      </c>
      <c r="H74" s="36" t="str">
        <f t="shared" si="3"/>
        <v/>
      </c>
      <c r="I74" s="36" t="str">
        <f t="shared" si="4"/>
        <v/>
      </c>
      <c r="J74" s="1"/>
    </row>
    <row r="75" spans="1:10" x14ac:dyDescent="0.25">
      <c r="A75" s="32"/>
      <c r="B75" s="32">
        <v>61</v>
      </c>
      <c r="C75" s="33"/>
      <c r="D75" s="33"/>
      <c r="E75" s="34" t="str">
        <f t="shared" si="0"/>
        <v/>
      </c>
      <c r="F75" s="35" t="str">
        <f t="shared" si="1"/>
        <v/>
      </c>
      <c r="G75" s="35" t="str">
        <f t="shared" si="2"/>
        <v/>
      </c>
      <c r="H75" s="36" t="str">
        <f t="shared" si="3"/>
        <v/>
      </c>
      <c r="I75" s="36" t="str">
        <f t="shared" si="4"/>
        <v/>
      </c>
      <c r="J75" s="1"/>
    </row>
    <row r="76" spans="1:10" x14ac:dyDescent="0.25">
      <c r="A76" s="32"/>
      <c r="B76" s="32">
        <v>62</v>
      </c>
      <c r="C76" s="33"/>
      <c r="D76" s="33"/>
      <c r="E76" s="34" t="str">
        <f t="shared" si="0"/>
        <v/>
      </c>
      <c r="F76" s="35" t="str">
        <f t="shared" si="1"/>
        <v/>
      </c>
      <c r="G76" s="35" t="str">
        <f t="shared" si="2"/>
        <v/>
      </c>
      <c r="H76" s="36" t="str">
        <f t="shared" si="3"/>
        <v/>
      </c>
      <c r="I76" s="36" t="str">
        <f t="shared" si="4"/>
        <v/>
      </c>
      <c r="J76" s="1"/>
    </row>
    <row r="77" spans="1:10" x14ac:dyDescent="0.25">
      <c r="A77" s="32"/>
      <c r="B77" s="32">
        <v>63</v>
      </c>
      <c r="C77" s="33"/>
      <c r="D77" s="33"/>
      <c r="E77" s="34" t="str">
        <f t="shared" si="0"/>
        <v/>
      </c>
      <c r="F77" s="35" t="str">
        <f t="shared" si="1"/>
        <v/>
      </c>
      <c r="G77" s="35" t="str">
        <f t="shared" si="2"/>
        <v/>
      </c>
      <c r="H77" s="36" t="str">
        <f t="shared" si="3"/>
        <v/>
      </c>
      <c r="I77" s="36" t="str">
        <f t="shared" si="4"/>
        <v/>
      </c>
      <c r="J77" s="1"/>
    </row>
    <row r="78" spans="1:10" x14ac:dyDescent="0.25">
      <c r="A78" s="32"/>
      <c r="B78" s="32">
        <v>64</v>
      </c>
      <c r="C78" s="37"/>
      <c r="D78" s="37"/>
      <c r="E78" s="34" t="str">
        <f t="shared" si="0"/>
        <v/>
      </c>
      <c r="F78" s="35" t="str">
        <f t="shared" si="1"/>
        <v/>
      </c>
      <c r="G78" s="35" t="str">
        <f t="shared" si="2"/>
        <v/>
      </c>
      <c r="H78" s="36" t="str">
        <f t="shared" si="3"/>
        <v/>
      </c>
      <c r="I78" s="36" t="str">
        <f t="shared" si="4"/>
        <v/>
      </c>
      <c r="J78" s="1"/>
    </row>
    <row r="79" spans="1:10" x14ac:dyDescent="0.25">
      <c r="A79" s="32"/>
      <c r="B79" s="32">
        <v>65</v>
      </c>
      <c r="C79" s="37"/>
      <c r="D79" s="37"/>
      <c r="E79" s="34" t="str">
        <f t="shared" ref="E79:E142" si="5">IF(C79="","",2*(D79-D78)/((C79-C78)/1000))</f>
        <v/>
      </c>
      <c r="F79" s="35" t="str">
        <f t="shared" ref="F79:F142" si="6">IF(C79="","",F$7+(F$9/F$10)*(EXP(F$10*(C79-F$8)/2000)-1))</f>
        <v/>
      </c>
      <c r="G79" s="35" t="str">
        <f t="shared" ref="G79:G142" si="7">IF(E79="","",F$9+(F79-F$7)*F$10)</f>
        <v/>
      </c>
      <c r="H79" s="36" t="str">
        <f t="shared" ref="H79:H142" si="8">IF(F79="","",F79-D79)</f>
        <v/>
      </c>
      <c r="I79" s="36" t="str">
        <f t="shared" ref="I79:I142" si="9">IF(H79="","",H79^2)</f>
        <v/>
      </c>
      <c r="J79" s="1"/>
    </row>
    <row r="80" spans="1:10" x14ac:dyDescent="0.25">
      <c r="A80" s="32"/>
      <c r="B80" s="32">
        <v>66</v>
      </c>
      <c r="C80" s="37"/>
      <c r="D80" s="37"/>
      <c r="E80" s="34" t="str">
        <f t="shared" si="5"/>
        <v/>
      </c>
      <c r="F80" s="35" t="str">
        <f t="shared" si="6"/>
        <v/>
      </c>
      <c r="G80" s="35" t="str">
        <f t="shared" si="7"/>
        <v/>
      </c>
      <c r="H80" s="36" t="str">
        <f t="shared" si="8"/>
        <v/>
      </c>
      <c r="I80" s="36" t="str">
        <f t="shared" si="9"/>
        <v/>
      </c>
      <c r="J80" s="1"/>
    </row>
    <row r="81" spans="1:22" x14ac:dyDescent="0.25">
      <c r="A81" s="32"/>
      <c r="B81" s="32">
        <v>67</v>
      </c>
      <c r="C81" s="37"/>
      <c r="D81" s="37"/>
      <c r="E81" s="34" t="str">
        <f t="shared" si="5"/>
        <v/>
      </c>
      <c r="F81" s="35" t="str">
        <f t="shared" si="6"/>
        <v/>
      </c>
      <c r="G81" s="35" t="str">
        <f t="shared" si="7"/>
        <v/>
      </c>
      <c r="H81" s="36" t="str">
        <f t="shared" si="8"/>
        <v/>
      </c>
      <c r="I81" s="36" t="str">
        <f t="shared" si="9"/>
        <v/>
      </c>
      <c r="J81" s="1"/>
    </row>
    <row r="82" spans="1:22" x14ac:dyDescent="0.25">
      <c r="A82" s="32"/>
      <c r="B82" s="32">
        <v>68</v>
      </c>
      <c r="C82" s="37"/>
      <c r="D82" s="37"/>
      <c r="E82" s="34" t="str">
        <f t="shared" si="5"/>
        <v/>
      </c>
      <c r="F82" s="35" t="str">
        <f t="shared" si="6"/>
        <v/>
      </c>
      <c r="G82" s="35" t="str">
        <f t="shared" si="7"/>
        <v/>
      </c>
      <c r="H82" s="36" t="str">
        <f t="shared" si="8"/>
        <v/>
      </c>
      <c r="I82" s="36" t="str">
        <f t="shared" si="9"/>
        <v/>
      </c>
      <c r="J82" s="1"/>
    </row>
    <row r="83" spans="1:22" x14ac:dyDescent="0.25">
      <c r="A83" s="32"/>
      <c r="B83" s="32">
        <v>69</v>
      </c>
      <c r="C83" s="37"/>
      <c r="D83" s="37"/>
      <c r="E83" s="34" t="str">
        <f t="shared" si="5"/>
        <v/>
      </c>
      <c r="F83" s="35" t="str">
        <f t="shared" si="6"/>
        <v/>
      </c>
      <c r="G83" s="35" t="str">
        <f t="shared" si="7"/>
        <v/>
      </c>
      <c r="H83" s="36" t="str">
        <f t="shared" si="8"/>
        <v/>
      </c>
      <c r="I83" s="36" t="str">
        <f t="shared" si="9"/>
        <v/>
      </c>
      <c r="J83" s="1"/>
    </row>
    <row r="84" spans="1:22" x14ac:dyDescent="0.25">
      <c r="A84" s="32"/>
      <c r="B84" s="32">
        <v>70</v>
      </c>
      <c r="C84" s="37"/>
      <c r="D84" s="37"/>
      <c r="E84" s="34" t="str">
        <f t="shared" si="5"/>
        <v/>
      </c>
      <c r="F84" s="35" t="str">
        <f t="shared" si="6"/>
        <v/>
      </c>
      <c r="G84" s="35" t="str">
        <f t="shared" si="7"/>
        <v/>
      </c>
      <c r="H84" s="36" t="str">
        <f t="shared" si="8"/>
        <v/>
      </c>
      <c r="I84" s="36" t="str">
        <f t="shared" si="9"/>
        <v/>
      </c>
      <c r="J84" s="1"/>
    </row>
    <row r="85" spans="1:22" x14ac:dyDescent="0.25">
      <c r="A85" s="32"/>
      <c r="B85" s="32">
        <v>71</v>
      </c>
      <c r="C85" s="37"/>
      <c r="D85" s="37"/>
      <c r="E85" s="34" t="str">
        <f t="shared" si="5"/>
        <v/>
      </c>
      <c r="F85" s="35" t="str">
        <f t="shared" si="6"/>
        <v/>
      </c>
      <c r="G85" s="35" t="str">
        <f t="shared" si="7"/>
        <v/>
      </c>
      <c r="H85" s="36" t="str">
        <f t="shared" si="8"/>
        <v/>
      </c>
      <c r="I85" s="36" t="str">
        <f t="shared" si="9"/>
        <v/>
      </c>
      <c r="J85" s="1"/>
    </row>
    <row r="86" spans="1:22" x14ac:dyDescent="0.25">
      <c r="A86" s="32"/>
      <c r="B86" s="32">
        <v>72</v>
      </c>
      <c r="C86" s="37"/>
      <c r="D86" s="37"/>
      <c r="E86" s="34" t="str">
        <f t="shared" si="5"/>
        <v/>
      </c>
      <c r="F86" s="35" t="str">
        <f t="shared" si="6"/>
        <v/>
      </c>
      <c r="G86" s="35" t="str">
        <f t="shared" si="7"/>
        <v/>
      </c>
      <c r="H86" s="36" t="str">
        <f t="shared" si="8"/>
        <v/>
      </c>
      <c r="I86" s="36" t="str">
        <f t="shared" si="9"/>
        <v/>
      </c>
      <c r="J86" s="1"/>
    </row>
    <row r="87" spans="1:22" x14ac:dyDescent="0.25">
      <c r="A87" s="32"/>
      <c r="B87" s="32">
        <v>73</v>
      </c>
      <c r="C87" s="37"/>
      <c r="D87" s="37"/>
      <c r="E87" s="34" t="str">
        <f t="shared" si="5"/>
        <v/>
      </c>
      <c r="F87" s="35" t="str">
        <f t="shared" si="6"/>
        <v/>
      </c>
      <c r="G87" s="35" t="str">
        <f t="shared" si="7"/>
        <v/>
      </c>
      <c r="H87" s="36" t="str">
        <f t="shared" si="8"/>
        <v/>
      </c>
      <c r="I87" s="36" t="str">
        <f t="shared" si="9"/>
        <v/>
      </c>
      <c r="J87" s="1"/>
    </row>
    <row r="88" spans="1:22" x14ac:dyDescent="0.25">
      <c r="A88" s="32"/>
      <c r="B88" s="32">
        <v>74</v>
      </c>
      <c r="C88" s="37"/>
      <c r="D88" s="37"/>
      <c r="E88" s="34" t="str">
        <f t="shared" si="5"/>
        <v/>
      </c>
      <c r="F88" s="35" t="str">
        <f t="shared" si="6"/>
        <v/>
      </c>
      <c r="G88" s="35" t="str">
        <f t="shared" si="7"/>
        <v/>
      </c>
      <c r="H88" s="36" t="str">
        <f t="shared" si="8"/>
        <v/>
      </c>
      <c r="I88" s="36" t="str">
        <f t="shared" si="9"/>
        <v/>
      </c>
      <c r="J88" s="1"/>
    </row>
    <row r="89" spans="1:22" x14ac:dyDescent="0.25">
      <c r="A89" s="32"/>
      <c r="B89" s="32">
        <v>75</v>
      </c>
      <c r="C89" s="37"/>
      <c r="D89" s="37"/>
      <c r="E89" s="34" t="str">
        <f t="shared" si="5"/>
        <v/>
      </c>
      <c r="F89" s="35" t="str">
        <f t="shared" si="6"/>
        <v/>
      </c>
      <c r="G89" s="35" t="str">
        <f t="shared" si="7"/>
        <v/>
      </c>
      <c r="H89" s="36" t="str">
        <f t="shared" si="8"/>
        <v/>
      </c>
      <c r="I89" s="36" t="str">
        <f t="shared" si="9"/>
        <v/>
      </c>
      <c r="J89" s="1"/>
    </row>
    <row r="90" spans="1:22" x14ac:dyDescent="0.25">
      <c r="A90" s="32"/>
      <c r="B90" s="32">
        <v>76</v>
      </c>
      <c r="C90" s="37"/>
      <c r="D90" s="37"/>
      <c r="E90" s="34" t="str">
        <f t="shared" si="5"/>
        <v/>
      </c>
      <c r="F90" s="35" t="str">
        <f t="shared" si="6"/>
        <v/>
      </c>
      <c r="G90" s="35" t="str">
        <f t="shared" si="7"/>
        <v/>
      </c>
      <c r="H90" s="36" t="str">
        <f t="shared" si="8"/>
        <v/>
      </c>
      <c r="I90" s="36" t="str">
        <f t="shared" si="9"/>
        <v/>
      </c>
      <c r="J90" s="1"/>
    </row>
    <row r="91" spans="1:22" x14ac:dyDescent="0.25">
      <c r="A91" s="32"/>
      <c r="B91" s="32">
        <v>77</v>
      </c>
      <c r="C91" s="37"/>
      <c r="D91" s="37"/>
      <c r="E91" s="34" t="str">
        <f t="shared" si="5"/>
        <v/>
      </c>
      <c r="F91" s="35" t="str">
        <f t="shared" si="6"/>
        <v/>
      </c>
      <c r="G91" s="35" t="str">
        <f t="shared" si="7"/>
        <v/>
      </c>
      <c r="H91" s="36" t="str">
        <f t="shared" si="8"/>
        <v/>
      </c>
      <c r="I91" s="36" t="str">
        <f t="shared" si="9"/>
        <v/>
      </c>
      <c r="J91" s="1"/>
      <c r="M91" s="38"/>
    </row>
    <row r="92" spans="1:22" x14ac:dyDescent="0.25">
      <c r="A92" s="32"/>
      <c r="B92" s="32">
        <v>78</v>
      </c>
      <c r="C92" s="37"/>
      <c r="D92" s="37"/>
      <c r="E92" s="34" t="str">
        <f t="shared" si="5"/>
        <v/>
      </c>
      <c r="F92" s="35" t="str">
        <f t="shared" si="6"/>
        <v/>
      </c>
      <c r="G92" s="35" t="str">
        <f t="shared" si="7"/>
        <v/>
      </c>
      <c r="H92" s="36" t="str">
        <f t="shared" si="8"/>
        <v/>
      </c>
      <c r="I92" s="36" t="str">
        <f t="shared" si="9"/>
        <v/>
      </c>
      <c r="J92" s="1"/>
    </row>
    <row r="93" spans="1:22" x14ac:dyDescent="0.25">
      <c r="A93" s="32"/>
      <c r="B93" s="32">
        <v>79</v>
      </c>
      <c r="C93" s="37"/>
      <c r="D93" s="37"/>
      <c r="E93" s="34" t="str">
        <f t="shared" si="5"/>
        <v/>
      </c>
      <c r="F93" s="35" t="str">
        <f t="shared" si="6"/>
        <v/>
      </c>
      <c r="G93" s="35" t="str">
        <f t="shared" si="7"/>
        <v/>
      </c>
      <c r="H93" s="36" t="str">
        <f t="shared" si="8"/>
        <v/>
      </c>
      <c r="I93" s="36" t="str">
        <f t="shared" si="9"/>
        <v/>
      </c>
      <c r="J93" s="1"/>
    </row>
    <row r="94" spans="1:22" x14ac:dyDescent="0.25">
      <c r="A94" s="32"/>
      <c r="B94" s="32">
        <v>80</v>
      </c>
      <c r="C94" s="37"/>
      <c r="D94" s="37"/>
      <c r="E94" s="34" t="str">
        <f t="shared" si="5"/>
        <v/>
      </c>
      <c r="F94" s="35" t="str">
        <f t="shared" si="6"/>
        <v/>
      </c>
      <c r="G94" s="35" t="str">
        <f t="shared" si="7"/>
        <v/>
      </c>
      <c r="H94" s="36" t="str">
        <f t="shared" si="8"/>
        <v/>
      </c>
      <c r="I94" s="36" t="str">
        <f t="shared" si="9"/>
        <v/>
      </c>
      <c r="J94" s="1"/>
    </row>
    <row r="95" spans="1:22" x14ac:dyDescent="0.25">
      <c r="A95" s="32"/>
      <c r="B95" s="32">
        <v>81</v>
      </c>
      <c r="C95" s="37"/>
      <c r="D95" s="37"/>
      <c r="E95" s="34" t="str">
        <f t="shared" si="5"/>
        <v/>
      </c>
      <c r="F95" s="35" t="str">
        <f t="shared" si="6"/>
        <v/>
      </c>
      <c r="G95" s="35" t="str">
        <f t="shared" si="7"/>
        <v/>
      </c>
      <c r="H95" s="36" t="str">
        <f t="shared" si="8"/>
        <v/>
      </c>
      <c r="I95" s="36" t="str">
        <f t="shared" si="9"/>
        <v/>
      </c>
      <c r="J95" s="1"/>
      <c r="N95" s="39"/>
      <c r="O95" s="39"/>
      <c r="P95" s="39"/>
      <c r="Q95" s="39"/>
      <c r="R95" s="39"/>
      <c r="S95" s="39"/>
      <c r="T95" s="39"/>
      <c r="U95" s="39"/>
      <c r="V95" s="39"/>
    </row>
    <row r="96" spans="1:22" x14ac:dyDescent="0.25">
      <c r="A96" s="32"/>
      <c r="B96" s="32">
        <v>82</v>
      </c>
      <c r="C96" s="37"/>
      <c r="D96" s="37"/>
      <c r="E96" s="34" t="str">
        <f t="shared" si="5"/>
        <v/>
      </c>
      <c r="F96" s="35" t="str">
        <f t="shared" si="6"/>
        <v/>
      </c>
      <c r="G96" s="35" t="str">
        <f t="shared" si="7"/>
        <v/>
      </c>
      <c r="H96" s="36" t="str">
        <f t="shared" si="8"/>
        <v/>
      </c>
      <c r="I96" s="36" t="str">
        <f t="shared" si="9"/>
        <v/>
      </c>
      <c r="J96" s="1"/>
      <c r="N96" s="39"/>
      <c r="O96" s="39"/>
      <c r="P96" s="39"/>
      <c r="Q96" s="39"/>
      <c r="R96" s="39"/>
      <c r="S96" s="39"/>
      <c r="T96" s="39"/>
      <c r="U96" s="39"/>
      <c r="V96" s="39"/>
    </row>
    <row r="97" spans="1:10" x14ac:dyDescent="0.25">
      <c r="A97" s="32"/>
      <c r="B97" s="32">
        <v>83</v>
      </c>
      <c r="C97" s="37"/>
      <c r="D97" s="37"/>
      <c r="E97" s="34" t="str">
        <f t="shared" si="5"/>
        <v/>
      </c>
      <c r="F97" s="35" t="str">
        <f t="shared" si="6"/>
        <v/>
      </c>
      <c r="G97" s="35" t="str">
        <f t="shared" si="7"/>
        <v/>
      </c>
      <c r="H97" s="36" t="str">
        <f t="shared" si="8"/>
        <v/>
      </c>
      <c r="I97" s="36" t="str">
        <f t="shared" si="9"/>
        <v/>
      </c>
      <c r="J97" s="1"/>
    </row>
    <row r="98" spans="1:10" x14ac:dyDescent="0.25">
      <c r="A98" s="32"/>
      <c r="B98" s="32">
        <v>84</v>
      </c>
      <c r="C98" s="37"/>
      <c r="D98" s="37"/>
      <c r="E98" s="34" t="str">
        <f t="shared" si="5"/>
        <v/>
      </c>
      <c r="F98" s="35" t="str">
        <f t="shared" si="6"/>
        <v/>
      </c>
      <c r="G98" s="35" t="str">
        <f t="shared" si="7"/>
        <v/>
      </c>
      <c r="H98" s="36" t="str">
        <f t="shared" si="8"/>
        <v/>
      </c>
      <c r="I98" s="36" t="str">
        <f t="shared" si="9"/>
        <v/>
      </c>
      <c r="J98" s="1"/>
    </row>
    <row r="99" spans="1:10" x14ac:dyDescent="0.25">
      <c r="A99" s="32"/>
      <c r="B99" s="32">
        <v>85</v>
      </c>
      <c r="C99" s="37"/>
      <c r="D99" s="37"/>
      <c r="E99" s="34" t="str">
        <f t="shared" si="5"/>
        <v/>
      </c>
      <c r="F99" s="35" t="str">
        <f t="shared" si="6"/>
        <v/>
      </c>
      <c r="G99" s="35" t="str">
        <f t="shared" si="7"/>
        <v/>
      </c>
      <c r="H99" s="36" t="str">
        <f t="shared" si="8"/>
        <v/>
      </c>
      <c r="I99" s="36" t="str">
        <f t="shared" si="9"/>
        <v/>
      </c>
      <c r="J99" s="1"/>
    </row>
    <row r="100" spans="1:10" x14ac:dyDescent="0.25">
      <c r="A100" s="32"/>
      <c r="B100" s="32">
        <v>86</v>
      </c>
      <c r="C100" s="37"/>
      <c r="D100" s="37"/>
      <c r="E100" s="34" t="str">
        <f t="shared" si="5"/>
        <v/>
      </c>
      <c r="F100" s="35" t="str">
        <f t="shared" si="6"/>
        <v/>
      </c>
      <c r="G100" s="35" t="str">
        <f t="shared" si="7"/>
        <v/>
      </c>
      <c r="H100" s="36" t="str">
        <f t="shared" si="8"/>
        <v/>
      </c>
      <c r="I100" s="36" t="str">
        <f t="shared" si="9"/>
        <v/>
      </c>
      <c r="J100" s="1"/>
    </row>
    <row r="101" spans="1:10" x14ac:dyDescent="0.25">
      <c r="A101" s="32"/>
      <c r="B101" s="32">
        <v>87</v>
      </c>
      <c r="C101" s="37"/>
      <c r="D101" s="37"/>
      <c r="E101" s="34" t="str">
        <f t="shared" si="5"/>
        <v/>
      </c>
      <c r="F101" s="35" t="str">
        <f t="shared" si="6"/>
        <v/>
      </c>
      <c r="G101" s="35" t="str">
        <f t="shared" si="7"/>
        <v/>
      </c>
      <c r="H101" s="36" t="str">
        <f t="shared" si="8"/>
        <v/>
      </c>
      <c r="I101" s="36" t="str">
        <f t="shared" si="9"/>
        <v/>
      </c>
      <c r="J101" s="1"/>
    </row>
    <row r="102" spans="1:10" x14ac:dyDescent="0.25">
      <c r="A102" s="32"/>
      <c r="B102" s="32">
        <v>88</v>
      </c>
      <c r="C102" s="37"/>
      <c r="D102" s="37"/>
      <c r="E102" s="34" t="str">
        <f t="shared" si="5"/>
        <v/>
      </c>
      <c r="F102" s="35" t="str">
        <f t="shared" si="6"/>
        <v/>
      </c>
      <c r="G102" s="35" t="str">
        <f t="shared" si="7"/>
        <v/>
      </c>
      <c r="H102" s="36" t="str">
        <f t="shared" si="8"/>
        <v/>
      </c>
      <c r="I102" s="36" t="str">
        <f t="shared" si="9"/>
        <v/>
      </c>
      <c r="J102" s="1"/>
    </row>
    <row r="103" spans="1:10" x14ac:dyDescent="0.25">
      <c r="A103" s="32"/>
      <c r="B103" s="32">
        <v>89</v>
      </c>
      <c r="C103" s="37"/>
      <c r="D103" s="37"/>
      <c r="E103" s="34" t="str">
        <f t="shared" si="5"/>
        <v/>
      </c>
      <c r="F103" s="35" t="str">
        <f t="shared" si="6"/>
        <v/>
      </c>
      <c r="G103" s="35" t="str">
        <f t="shared" si="7"/>
        <v/>
      </c>
      <c r="H103" s="36" t="str">
        <f t="shared" si="8"/>
        <v/>
      </c>
      <c r="I103" s="36" t="str">
        <f t="shared" si="9"/>
        <v/>
      </c>
      <c r="J103" s="1"/>
    </row>
    <row r="104" spans="1:10" x14ac:dyDescent="0.25">
      <c r="A104" s="32"/>
      <c r="B104" s="32">
        <v>90</v>
      </c>
      <c r="C104" s="37"/>
      <c r="D104" s="37"/>
      <c r="E104" s="34" t="str">
        <f t="shared" si="5"/>
        <v/>
      </c>
      <c r="F104" s="35" t="str">
        <f t="shared" si="6"/>
        <v/>
      </c>
      <c r="G104" s="35" t="str">
        <f t="shared" si="7"/>
        <v/>
      </c>
      <c r="H104" s="36" t="str">
        <f t="shared" si="8"/>
        <v/>
      </c>
      <c r="I104" s="36" t="str">
        <f t="shared" si="9"/>
        <v/>
      </c>
      <c r="J104" s="1"/>
    </row>
    <row r="105" spans="1:10" x14ac:dyDescent="0.25">
      <c r="A105" s="32"/>
      <c r="B105" s="32">
        <v>91</v>
      </c>
      <c r="C105" s="37"/>
      <c r="D105" s="37"/>
      <c r="E105" s="34" t="str">
        <f t="shared" si="5"/>
        <v/>
      </c>
      <c r="F105" s="35" t="str">
        <f t="shared" si="6"/>
        <v/>
      </c>
      <c r="G105" s="35" t="str">
        <f t="shared" si="7"/>
        <v/>
      </c>
      <c r="H105" s="36" t="str">
        <f t="shared" si="8"/>
        <v/>
      </c>
      <c r="I105" s="36" t="str">
        <f t="shared" si="9"/>
        <v/>
      </c>
      <c r="J105" s="1"/>
    </row>
    <row r="106" spans="1:10" x14ac:dyDescent="0.25">
      <c r="A106" s="32"/>
      <c r="B106" s="32">
        <v>92</v>
      </c>
      <c r="C106" s="37"/>
      <c r="D106" s="37"/>
      <c r="E106" s="34" t="str">
        <f t="shared" si="5"/>
        <v/>
      </c>
      <c r="F106" s="35" t="str">
        <f t="shared" si="6"/>
        <v/>
      </c>
      <c r="G106" s="35" t="str">
        <f t="shared" si="7"/>
        <v/>
      </c>
      <c r="H106" s="36" t="str">
        <f t="shared" si="8"/>
        <v/>
      </c>
      <c r="I106" s="36" t="str">
        <f t="shared" si="9"/>
        <v/>
      </c>
      <c r="J106" s="1"/>
    </row>
    <row r="107" spans="1:10" x14ac:dyDescent="0.25">
      <c r="A107" s="32"/>
      <c r="B107" s="32">
        <v>93</v>
      </c>
      <c r="C107" s="37"/>
      <c r="D107" s="37"/>
      <c r="E107" s="34" t="str">
        <f t="shared" si="5"/>
        <v/>
      </c>
      <c r="F107" s="35" t="str">
        <f t="shared" si="6"/>
        <v/>
      </c>
      <c r="G107" s="35" t="str">
        <f t="shared" si="7"/>
        <v/>
      </c>
      <c r="H107" s="36" t="str">
        <f t="shared" si="8"/>
        <v/>
      </c>
      <c r="I107" s="36" t="str">
        <f t="shared" si="9"/>
        <v/>
      </c>
      <c r="J107" s="1"/>
    </row>
    <row r="108" spans="1:10" x14ac:dyDescent="0.25">
      <c r="A108" s="32"/>
      <c r="B108" s="32">
        <v>94</v>
      </c>
      <c r="C108" s="37"/>
      <c r="D108" s="37"/>
      <c r="E108" s="34" t="str">
        <f t="shared" si="5"/>
        <v/>
      </c>
      <c r="F108" s="35" t="str">
        <f t="shared" si="6"/>
        <v/>
      </c>
      <c r="G108" s="35" t="str">
        <f t="shared" si="7"/>
        <v/>
      </c>
      <c r="H108" s="36" t="str">
        <f t="shared" si="8"/>
        <v/>
      </c>
      <c r="I108" s="36" t="str">
        <f t="shared" si="9"/>
        <v/>
      </c>
      <c r="J108" s="1"/>
    </row>
    <row r="109" spans="1:10" x14ac:dyDescent="0.25">
      <c r="A109" s="32"/>
      <c r="B109" s="32">
        <v>95</v>
      </c>
      <c r="C109" s="37"/>
      <c r="D109" s="37"/>
      <c r="E109" s="34" t="str">
        <f t="shared" si="5"/>
        <v/>
      </c>
      <c r="F109" s="35" t="str">
        <f t="shared" si="6"/>
        <v/>
      </c>
      <c r="G109" s="35" t="str">
        <f t="shared" si="7"/>
        <v/>
      </c>
      <c r="H109" s="36" t="str">
        <f t="shared" si="8"/>
        <v/>
      </c>
      <c r="I109" s="36" t="str">
        <f t="shared" si="9"/>
        <v/>
      </c>
      <c r="J109" s="1"/>
    </row>
    <row r="110" spans="1:10" x14ac:dyDescent="0.25">
      <c r="A110" s="32"/>
      <c r="B110" s="32">
        <v>96</v>
      </c>
      <c r="C110" s="37"/>
      <c r="D110" s="37"/>
      <c r="E110" s="34" t="str">
        <f t="shared" si="5"/>
        <v/>
      </c>
      <c r="F110" s="35" t="str">
        <f t="shared" si="6"/>
        <v/>
      </c>
      <c r="G110" s="35" t="str">
        <f t="shared" si="7"/>
        <v/>
      </c>
      <c r="H110" s="36" t="str">
        <f t="shared" si="8"/>
        <v/>
      </c>
      <c r="I110" s="36" t="str">
        <f t="shared" si="9"/>
        <v/>
      </c>
      <c r="J110" s="1"/>
    </row>
    <row r="111" spans="1:10" x14ac:dyDescent="0.25">
      <c r="A111" s="32"/>
      <c r="B111" s="32">
        <v>97</v>
      </c>
      <c r="C111" s="37"/>
      <c r="D111" s="37"/>
      <c r="E111" s="34" t="str">
        <f t="shared" si="5"/>
        <v/>
      </c>
      <c r="F111" s="35" t="str">
        <f t="shared" si="6"/>
        <v/>
      </c>
      <c r="G111" s="35" t="str">
        <f t="shared" si="7"/>
        <v/>
      </c>
      <c r="H111" s="36" t="str">
        <f t="shared" si="8"/>
        <v/>
      </c>
      <c r="I111" s="36" t="str">
        <f t="shared" si="9"/>
        <v/>
      </c>
      <c r="J111" s="1"/>
    </row>
    <row r="112" spans="1:10" x14ac:dyDescent="0.25">
      <c r="A112" s="32"/>
      <c r="B112" s="32">
        <v>98</v>
      </c>
      <c r="C112" s="37"/>
      <c r="D112" s="37"/>
      <c r="E112" s="34" t="str">
        <f t="shared" si="5"/>
        <v/>
      </c>
      <c r="F112" s="35" t="str">
        <f t="shared" si="6"/>
        <v/>
      </c>
      <c r="G112" s="35" t="str">
        <f t="shared" si="7"/>
        <v/>
      </c>
      <c r="H112" s="36" t="str">
        <f t="shared" si="8"/>
        <v/>
      </c>
      <c r="I112" s="36" t="str">
        <f t="shared" si="9"/>
        <v/>
      </c>
      <c r="J112" s="1"/>
    </row>
    <row r="113" spans="1:22" x14ac:dyDescent="0.25">
      <c r="A113" s="32"/>
      <c r="B113" s="32">
        <v>99</v>
      </c>
      <c r="C113" s="37"/>
      <c r="D113" s="37"/>
      <c r="E113" s="34" t="str">
        <f t="shared" si="5"/>
        <v/>
      </c>
      <c r="F113" s="35" t="str">
        <f t="shared" si="6"/>
        <v/>
      </c>
      <c r="G113" s="35" t="str">
        <f t="shared" si="7"/>
        <v/>
      </c>
      <c r="H113" s="36" t="str">
        <f t="shared" si="8"/>
        <v/>
      </c>
      <c r="I113" s="36" t="str">
        <f t="shared" si="9"/>
        <v/>
      </c>
      <c r="J113" s="1"/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:22" x14ac:dyDescent="0.25">
      <c r="A114" s="32"/>
      <c r="B114" s="32">
        <v>100</v>
      </c>
      <c r="C114" s="37"/>
      <c r="D114" s="37"/>
      <c r="E114" s="34" t="str">
        <f t="shared" si="5"/>
        <v/>
      </c>
      <c r="F114" s="35" t="str">
        <f t="shared" si="6"/>
        <v/>
      </c>
      <c r="G114" s="35" t="str">
        <f t="shared" si="7"/>
        <v/>
      </c>
      <c r="H114" s="36" t="str">
        <f t="shared" si="8"/>
        <v/>
      </c>
      <c r="I114" s="36" t="str">
        <f t="shared" si="9"/>
        <v/>
      </c>
      <c r="J114" s="1"/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:22" x14ac:dyDescent="0.25">
      <c r="A115" s="32"/>
      <c r="B115" s="32">
        <v>101</v>
      </c>
      <c r="C115" s="37"/>
      <c r="D115" s="37"/>
      <c r="E115" s="34" t="str">
        <f t="shared" si="5"/>
        <v/>
      </c>
      <c r="F115" s="35" t="str">
        <f t="shared" si="6"/>
        <v/>
      </c>
      <c r="G115" s="35" t="str">
        <f t="shared" si="7"/>
        <v/>
      </c>
      <c r="H115" s="36" t="str">
        <f t="shared" si="8"/>
        <v/>
      </c>
      <c r="I115" s="36" t="str">
        <f t="shared" si="9"/>
        <v/>
      </c>
      <c r="J115" s="1"/>
    </row>
    <row r="116" spans="1:22" x14ac:dyDescent="0.25">
      <c r="A116" s="32"/>
      <c r="B116" s="32">
        <v>102</v>
      </c>
      <c r="C116" s="37"/>
      <c r="D116" s="37"/>
      <c r="E116" s="34" t="str">
        <f t="shared" si="5"/>
        <v/>
      </c>
      <c r="F116" s="35" t="str">
        <f t="shared" si="6"/>
        <v/>
      </c>
      <c r="G116" s="35" t="str">
        <f t="shared" si="7"/>
        <v/>
      </c>
      <c r="H116" s="36" t="str">
        <f t="shared" si="8"/>
        <v/>
      </c>
      <c r="I116" s="36" t="str">
        <f t="shared" si="9"/>
        <v/>
      </c>
      <c r="J116" s="1"/>
    </row>
    <row r="117" spans="1:22" x14ac:dyDescent="0.25">
      <c r="A117" s="32"/>
      <c r="B117" s="32">
        <v>103</v>
      </c>
      <c r="C117" s="37"/>
      <c r="D117" s="37"/>
      <c r="E117" s="34" t="str">
        <f t="shared" si="5"/>
        <v/>
      </c>
      <c r="F117" s="35" t="str">
        <f t="shared" si="6"/>
        <v/>
      </c>
      <c r="G117" s="35" t="str">
        <f t="shared" si="7"/>
        <v/>
      </c>
      <c r="H117" s="36" t="str">
        <f t="shared" si="8"/>
        <v/>
      </c>
      <c r="I117" s="36" t="str">
        <f t="shared" si="9"/>
        <v/>
      </c>
      <c r="J117" s="1"/>
    </row>
    <row r="118" spans="1:22" x14ac:dyDescent="0.25">
      <c r="A118" s="32"/>
      <c r="B118" s="32">
        <v>104</v>
      </c>
      <c r="C118" s="37"/>
      <c r="D118" s="37"/>
      <c r="E118" s="34" t="str">
        <f t="shared" si="5"/>
        <v/>
      </c>
      <c r="F118" s="35" t="str">
        <f t="shared" si="6"/>
        <v/>
      </c>
      <c r="G118" s="35" t="str">
        <f t="shared" si="7"/>
        <v/>
      </c>
      <c r="H118" s="36" t="str">
        <f t="shared" si="8"/>
        <v/>
      </c>
      <c r="I118" s="36" t="str">
        <f t="shared" si="9"/>
        <v/>
      </c>
      <c r="J118" s="1"/>
    </row>
    <row r="119" spans="1:22" x14ac:dyDescent="0.25">
      <c r="A119" s="32"/>
      <c r="B119" s="32">
        <v>105</v>
      </c>
      <c r="C119" s="37"/>
      <c r="D119" s="37"/>
      <c r="E119" s="34" t="str">
        <f t="shared" si="5"/>
        <v/>
      </c>
      <c r="F119" s="35" t="str">
        <f t="shared" si="6"/>
        <v/>
      </c>
      <c r="G119" s="35" t="str">
        <f t="shared" si="7"/>
        <v/>
      </c>
      <c r="H119" s="36" t="str">
        <f t="shared" si="8"/>
        <v/>
      </c>
      <c r="I119" s="36" t="str">
        <f t="shared" si="9"/>
        <v/>
      </c>
      <c r="J119" s="1"/>
    </row>
    <row r="120" spans="1:22" x14ac:dyDescent="0.25">
      <c r="A120" s="32"/>
      <c r="B120" s="32">
        <v>106</v>
      </c>
      <c r="C120" s="37"/>
      <c r="D120" s="37"/>
      <c r="E120" s="34" t="str">
        <f t="shared" si="5"/>
        <v/>
      </c>
      <c r="F120" s="35" t="str">
        <f t="shared" si="6"/>
        <v/>
      </c>
      <c r="G120" s="35" t="str">
        <f t="shared" si="7"/>
        <v/>
      </c>
      <c r="H120" s="36" t="str">
        <f t="shared" si="8"/>
        <v/>
      </c>
      <c r="I120" s="36" t="str">
        <f t="shared" si="9"/>
        <v/>
      </c>
      <c r="J120" s="1"/>
    </row>
    <row r="121" spans="1:22" x14ac:dyDescent="0.25">
      <c r="A121" s="32"/>
      <c r="B121" s="32">
        <v>107</v>
      </c>
      <c r="C121" s="37"/>
      <c r="D121" s="37"/>
      <c r="E121" s="34" t="str">
        <f t="shared" si="5"/>
        <v/>
      </c>
      <c r="F121" s="35" t="str">
        <f t="shared" si="6"/>
        <v/>
      </c>
      <c r="G121" s="35" t="str">
        <f t="shared" si="7"/>
        <v/>
      </c>
      <c r="H121" s="36" t="str">
        <f t="shared" si="8"/>
        <v/>
      </c>
      <c r="I121" s="36" t="str">
        <f t="shared" si="9"/>
        <v/>
      </c>
      <c r="J121" s="1"/>
    </row>
    <row r="122" spans="1:22" x14ac:dyDescent="0.25">
      <c r="A122" s="32"/>
      <c r="B122" s="32">
        <v>108</v>
      </c>
      <c r="C122" s="37"/>
      <c r="D122" s="37"/>
      <c r="E122" s="34" t="str">
        <f t="shared" si="5"/>
        <v/>
      </c>
      <c r="F122" s="35" t="str">
        <f t="shared" si="6"/>
        <v/>
      </c>
      <c r="G122" s="35" t="str">
        <f t="shared" si="7"/>
        <v/>
      </c>
      <c r="H122" s="36" t="str">
        <f t="shared" si="8"/>
        <v/>
      </c>
      <c r="I122" s="36" t="str">
        <f t="shared" si="9"/>
        <v/>
      </c>
      <c r="J122" s="1"/>
    </row>
    <row r="123" spans="1:22" x14ac:dyDescent="0.25">
      <c r="A123" s="32"/>
      <c r="B123" s="32">
        <v>109</v>
      </c>
      <c r="C123" s="37"/>
      <c r="D123" s="37"/>
      <c r="E123" s="34" t="str">
        <f t="shared" si="5"/>
        <v/>
      </c>
      <c r="F123" s="35" t="str">
        <f t="shared" si="6"/>
        <v/>
      </c>
      <c r="G123" s="35" t="str">
        <f t="shared" si="7"/>
        <v/>
      </c>
      <c r="H123" s="36" t="str">
        <f t="shared" si="8"/>
        <v/>
      </c>
      <c r="I123" s="36" t="str">
        <f t="shared" si="9"/>
        <v/>
      </c>
      <c r="J123" s="1"/>
    </row>
    <row r="124" spans="1:22" x14ac:dyDescent="0.25">
      <c r="A124" s="32"/>
      <c r="B124" s="32">
        <v>110</v>
      </c>
      <c r="C124" s="37"/>
      <c r="D124" s="37"/>
      <c r="E124" s="34" t="str">
        <f t="shared" si="5"/>
        <v/>
      </c>
      <c r="F124" s="35" t="str">
        <f t="shared" si="6"/>
        <v/>
      </c>
      <c r="G124" s="35" t="str">
        <f t="shared" si="7"/>
        <v/>
      </c>
      <c r="H124" s="36" t="str">
        <f t="shared" si="8"/>
        <v/>
      </c>
      <c r="I124" s="36" t="str">
        <f t="shared" si="9"/>
        <v/>
      </c>
      <c r="J124" s="1"/>
    </row>
    <row r="125" spans="1:22" x14ac:dyDescent="0.25">
      <c r="A125" s="32"/>
      <c r="B125" s="32">
        <v>111</v>
      </c>
      <c r="C125" s="40"/>
      <c r="D125" s="40"/>
      <c r="E125" s="34" t="str">
        <f t="shared" si="5"/>
        <v/>
      </c>
      <c r="F125" s="35" t="str">
        <f t="shared" si="6"/>
        <v/>
      </c>
      <c r="G125" s="35" t="str">
        <f t="shared" si="7"/>
        <v/>
      </c>
      <c r="H125" s="36" t="str">
        <f t="shared" si="8"/>
        <v/>
      </c>
      <c r="I125" s="36" t="str">
        <f t="shared" si="9"/>
        <v/>
      </c>
      <c r="J125" s="1"/>
    </row>
    <row r="126" spans="1:22" x14ac:dyDescent="0.25">
      <c r="A126" s="32"/>
      <c r="B126" s="32">
        <v>112</v>
      </c>
      <c r="C126" s="40"/>
      <c r="D126" s="40"/>
      <c r="E126" s="34" t="str">
        <f t="shared" si="5"/>
        <v/>
      </c>
      <c r="F126" s="35" t="str">
        <f t="shared" si="6"/>
        <v/>
      </c>
      <c r="G126" s="35" t="str">
        <f t="shared" si="7"/>
        <v/>
      </c>
      <c r="H126" s="36" t="str">
        <f t="shared" si="8"/>
        <v/>
      </c>
      <c r="I126" s="36" t="str">
        <f t="shared" si="9"/>
        <v/>
      </c>
      <c r="J126" s="1"/>
    </row>
    <row r="127" spans="1:22" x14ac:dyDescent="0.25">
      <c r="A127" s="32"/>
      <c r="B127" s="32">
        <v>113</v>
      </c>
      <c r="C127" s="40"/>
      <c r="D127" s="40"/>
      <c r="E127" s="34" t="str">
        <f t="shared" si="5"/>
        <v/>
      </c>
      <c r="F127" s="35" t="str">
        <f t="shared" si="6"/>
        <v/>
      </c>
      <c r="G127" s="35" t="str">
        <f t="shared" si="7"/>
        <v/>
      </c>
      <c r="H127" s="36" t="str">
        <f t="shared" si="8"/>
        <v/>
      </c>
      <c r="I127" s="36" t="str">
        <f t="shared" si="9"/>
        <v/>
      </c>
      <c r="J127" s="1"/>
    </row>
    <row r="128" spans="1:22" x14ac:dyDescent="0.25">
      <c r="A128" s="32"/>
      <c r="B128" s="32">
        <v>114</v>
      </c>
      <c r="C128" s="40"/>
      <c r="D128" s="40"/>
      <c r="E128" s="34" t="str">
        <f t="shared" si="5"/>
        <v/>
      </c>
      <c r="F128" s="35" t="str">
        <f t="shared" si="6"/>
        <v/>
      </c>
      <c r="G128" s="35" t="str">
        <f t="shared" si="7"/>
        <v/>
      </c>
      <c r="H128" s="36" t="str">
        <f t="shared" si="8"/>
        <v/>
      </c>
      <c r="I128" s="36" t="str">
        <f t="shared" si="9"/>
        <v/>
      </c>
      <c r="J128" s="1"/>
    </row>
    <row r="129" spans="1:10" x14ac:dyDescent="0.25">
      <c r="A129" s="32"/>
      <c r="B129" s="32">
        <v>115</v>
      </c>
      <c r="C129" s="40"/>
      <c r="D129" s="40"/>
      <c r="E129" s="34" t="str">
        <f t="shared" si="5"/>
        <v/>
      </c>
      <c r="F129" s="35" t="str">
        <f t="shared" si="6"/>
        <v/>
      </c>
      <c r="G129" s="35" t="str">
        <f t="shared" si="7"/>
        <v/>
      </c>
      <c r="H129" s="36" t="str">
        <f t="shared" si="8"/>
        <v/>
      </c>
      <c r="I129" s="36" t="str">
        <f t="shared" si="9"/>
        <v/>
      </c>
      <c r="J129" s="1"/>
    </row>
    <row r="130" spans="1:10" x14ac:dyDescent="0.25">
      <c r="A130" s="32"/>
      <c r="B130" s="32">
        <v>116</v>
      </c>
      <c r="C130" s="40"/>
      <c r="D130" s="40"/>
      <c r="E130" s="34" t="str">
        <f t="shared" si="5"/>
        <v/>
      </c>
      <c r="F130" s="35" t="str">
        <f t="shared" si="6"/>
        <v/>
      </c>
      <c r="G130" s="35" t="str">
        <f t="shared" si="7"/>
        <v/>
      </c>
      <c r="H130" s="36" t="str">
        <f t="shared" si="8"/>
        <v/>
      </c>
      <c r="I130" s="36" t="str">
        <f t="shared" si="9"/>
        <v/>
      </c>
      <c r="J130" s="1"/>
    </row>
    <row r="131" spans="1:10" x14ac:dyDescent="0.25">
      <c r="A131" s="32"/>
      <c r="B131" s="32">
        <v>117</v>
      </c>
      <c r="C131" s="40"/>
      <c r="D131" s="40"/>
      <c r="E131" s="34" t="str">
        <f t="shared" si="5"/>
        <v/>
      </c>
      <c r="F131" s="35" t="str">
        <f t="shared" si="6"/>
        <v/>
      </c>
      <c r="G131" s="35" t="str">
        <f t="shared" si="7"/>
        <v/>
      </c>
      <c r="H131" s="36" t="str">
        <f t="shared" si="8"/>
        <v/>
      </c>
      <c r="I131" s="36" t="str">
        <f t="shared" si="9"/>
        <v/>
      </c>
      <c r="J131" s="1"/>
    </row>
    <row r="132" spans="1:10" x14ac:dyDescent="0.25">
      <c r="A132" s="32"/>
      <c r="B132" s="32">
        <v>118</v>
      </c>
      <c r="C132" s="40"/>
      <c r="D132" s="40"/>
      <c r="E132" s="34" t="str">
        <f t="shared" si="5"/>
        <v/>
      </c>
      <c r="F132" s="35" t="str">
        <f t="shared" si="6"/>
        <v/>
      </c>
      <c r="G132" s="35" t="str">
        <f t="shared" si="7"/>
        <v/>
      </c>
      <c r="H132" s="36" t="str">
        <f t="shared" si="8"/>
        <v/>
      </c>
      <c r="I132" s="36" t="str">
        <f t="shared" si="9"/>
        <v/>
      </c>
      <c r="J132" s="1"/>
    </row>
    <row r="133" spans="1:10" x14ac:dyDescent="0.25">
      <c r="A133" s="32"/>
      <c r="B133" s="32">
        <v>119</v>
      </c>
      <c r="C133" s="40"/>
      <c r="D133" s="40"/>
      <c r="E133" s="34" t="str">
        <f t="shared" si="5"/>
        <v/>
      </c>
      <c r="F133" s="35" t="str">
        <f t="shared" si="6"/>
        <v/>
      </c>
      <c r="G133" s="35" t="str">
        <f t="shared" si="7"/>
        <v/>
      </c>
      <c r="H133" s="36" t="str">
        <f t="shared" si="8"/>
        <v/>
      </c>
      <c r="I133" s="36" t="str">
        <f t="shared" si="9"/>
        <v/>
      </c>
      <c r="J133" s="1"/>
    </row>
    <row r="134" spans="1:10" x14ac:dyDescent="0.25">
      <c r="A134" s="32"/>
      <c r="B134" s="32">
        <v>120</v>
      </c>
      <c r="C134" s="40"/>
      <c r="D134" s="40"/>
      <c r="E134" s="34" t="str">
        <f t="shared" si="5"/>
        <v/>
      </c>
      <c r="F134" s="35" t="str">
        <f t="shared" si="6"/>
        <v/>
      </c>
      <c r="G134" s="35" t="str">
        <f t="shared" si="7"/>
        <v/>
      </c>
      <c r="H134" s="36" t="str">
        <f t="shared" si="8"/>
        <v/>
      </c>
      <c r="I134" s="36" t="str">
        <f t="shared" si="9"/>
        <v/>
      </c>
      <c r="J134" s="1"/>
    </row>
    <row r="135" spans="1:10" x14ac:dyDescent="0.25">
      <c r="A135" s="32"/>
      <c r="B135" s="32">
        <v>121</v>
      </c>
      <c r="C135" s="40"/>
      <c r="D135" s="40"/>
      <c r="E135" s="34" t="str">
        <f t="shared" si="5"/>
        <v/>
      </c>
      <c r="F135" s="35" t="str">
        <f t="shared" si="6"/>
        <v/>
      </c>
      <c r="G135" s="35" t="str">
        <f t="shared" si="7"/>
        <v/>
      </c>
      <c r="H135" s="36" t="str">
        <f t="shared" si="8"/>
        <v/>
      </c>
      <c r="I135" s="36" t="str">
        <f t="shared" si="9"/>
        <v/>
      </c>
      <c r="J135" s="1"/>
    </row>
    <row r="136" spans="1:10" x14ac:dyDescent="0.25">
      <c r="A136" s="32"/>
      <c r="B136" s="32">
        <v>122</v>
      </c>
      <c r="C136" s="40"/>
      <c r="D136" s="40"/>
      <c r="E136" s="34" t="str">
        <f t="shared" si="5"/>
        <v/>
      </c>
      <c r="F136" s="35" t="str">
        <f t="shared" si="6"/>
        <v/>
      </c>
      <c r="G136" s="35" t="str">
        <f t="shared" si="7"/>
        <v/>
      </c>
      <c r="H136" s="36" t="str">
        <f t="shared" si="8"/>
        <v/>
      </c>
      <c r="I136" s="36" t="str">
        <f t="shared" si="9"/>
        <v/>
      </c>
      <c r="J136" s="1"/>
    </row>
    <row r="137" spans="1:10" x14ac:dyDescent="0.25">
      <c r="A137" s="32"/>
      <c r="B137" s="32">
        <v>123</v>
      </c>
      <c r="C137" s="40"/>
      <c r="D137" s="40"/>
      <c r="E137" s="34" t="str">
        <f t="shared" si="5"/>
        <v/>
      </c>
      <c r="F137" s="35" t="str">
        <f t="shared" si="6"/>
        <v/>
      </c>
      <c r="G137" s="35" t="str">
        <f t="shared" si="7"/>
        <v/>
      </c>
      <c r="H137" s="36" t="str">
        <f t="shared" si="8"/>
        <v/>
      </c>
      <c r="I137" s="36" t="str">
        <f t="shared" si="9"/>
        <v/>
      </c>
      <c r="J137" s="1"/>
    </row>
    <row r="138" spans="1:10" x14ac:dyDescent="0.25">
      <c r="A138" s="32"/>
      <c r="B138" s="32">
        <v>124</v>
      </c>
      <c r="C138" s="40"/>
      <c r="D138" s="40"/>
      <c r="E138" s="34" t="str">
        <f t="shared" si="5"/>
        <v/>
      </c>
      <c r="F138" s="35" t="str">
        <f t="shared" si="6"/>
        <v/>
      </c>
      <c r="G138" s="35" t="str">
        <f t="shared" si="7"/>
        <v/>
      </c>
      <c r="H138" s="36" t="str">
        <f t="shared" si="8"/>
        <v/>
      </c>
      <c r="I138" s="36" t="str">
        <f t="shared" si="9"/>
        <v/>
      </c>
      <c r="J138" s="1"/>
    </row>
    <row r="139" spans="1:10" x14ac:dyDescent="0.25">
      <c r="A139" s="32"/>
      <c r="B139" s="32">
        <v>125</v>
      </c>
      <c r="C139" s="40"/>
      <c r="D139" s="40"/>
      <c r="E139" s="34" t="str">
        <f t="shared" si="5"/>
        <v/>
      </c>
      <c r="F139" s="35" t="str">
        <f t="shared" si="6"/>
        <v/>
      </c>
      <c r="G139" s="35" t="str">
        <f t="shared" si="7"/>
        <v/>
      </c>
      <c r="H139" s="36" t="str">
        <f t="shared" si="8"/>
        <v/>
      </c>
      <c r="I139" s="36" t="str">
        <f t="shared" si="9"/>
        <v/>
      </c>
      <c r="J139" s="1"/>
    </row>
    <row r="140" spans="1:10" x14ac:dyDescent="0.25">
      <c r="A140" s="32"/>
      <c r="B140" s="32">
        <v>126</v>
      </c>
      <c r="C140" s="40"/>
      <c r="D140" s="40"/>
      <c r="E140" s="34" t="str">
        <f t="shared" si="5"/>
        <v/>
      </c>
      <c r="F140" s="35" t="str">
        <f t="shared" si="6"/>
        <v/>
      </c>
      <c r="G140" s="35" t="str">
        <f t="shared" si="7"/>
        <v/>
      </c>
      <c r="H140" s="36" t="str">
        <f t="shared" si="8"/>
        <v/>
      </c>
      <c r="I140" s="36" t="str">
        <f t="shared" si="9"/>
        <v/>
      </c>
      <c r="J140" s="1"/>
    </row>
    <row r="141" spans="1:10" x14ac:dyDescent="0.25">
      <c r="A141" s="32"/>
      <c r="B141" s="32">
        <v>127</v>
      </c>
      <c r="C141" s="40"/>
      <c r="D141" s="40"/>
      <c r="E141" s="34" t="str">
        <f t="shared" si="5"/>
        <v/>
      </c>
      <c r="F141" s="35" t="str">
        <f t="shared" si="6"/>
        <v/>
      </c>
      <c r="G141" s="35" t="str">
        <f t="shared" si="7"/>
        <v/>
      </c>
      <c r="H141" s="36" t="str">
        <f t="shared" si="8"/>
        <v/>
      </c>
      <c r="I141" s="36" t="str">
        <f t="shared" si="9"/>
        <v/>
      </c>
      <c r="J141" s="1"/>
    </row>
    <row r="142" spans="1:10" x14ac:dyDescent="0.25">
      <c r="A142" s="32"/>
      <c r="B142" s="32">
        <v>128</v>
      </c>
      <c r="C142" s="40"/>
      <c r="D142" s="40"/>
      <c r="E142" s="34" t="str">
        <f t="shared" si="5"/>
        <v/>
      </c>
      <c r="F142" s="35" t="str">
        <f t="shared" si="6"/>
        <v/>
      </c>
      <c r="G142" s="35" t="str">
        <f t="shared" si="7"/>
        <v/>
      </c>
      <c r="H142" s="36" t="str">
        <f t="shared" si="8"/>
        <v/>
      </c>
      <c r="I142" s="36" t="str">
        <f t="shared" si="9"/>
        <v/>
      </c>
      <c r="J142" s="1"/>
    </row>
    <row r="143" spans="1:10" x14ac:dyDescent="0.25">
      <c r="A143" s="32"/>
      <c r="B143" s="32">
        <v>129</v>
      </c>
      <c r="C143" s="40"/>
      <c r="D143" s="40"/>
      <c r="E143" s="34" t="str">
        <f t="shared" ref="E143:E200" si="10">IF(C143="","",2*(D143-D142)/((C143-C142)/1000))</f>
        <v/>
      </c>
      <c r="F143" s="35" t="str">
        <f t="shared" ref="F143:F200" si="11">IF(C143="","",F$7+(F$9/F$10)*(EXP(F$10*(C143-F$8)/2000)-1))</f>
        <v/>
      </c>
      <c r="G143" s="35" t="str">
        <f t="shared" ref="G143:G200" si="12">IF(E143="","",F$9+(F143-F$7)*F$10)</f>
        <v/>
      </c>
      <c r="H143" s="36" t="str">
        <f t="shared" ref="H143:H200" si="13">IF(F143="","",F143-D143)</f>
        <v/>
      </c>
      <c r="I143" s="36" t="str">
        <f t="shared" ref="I143:I200" si="14">IF(H143="","",H143^2)</f>
        <v/>
      </c>
      <c r="J143" s="1"/>
    </row>
    <row r="144" spans="1:10" x14ac:dyDescent="0.25">
      <c r="A144" s="32"/>
      <c r="B144" s="32">
        <v>130</v>
      </c>
      <c r="C144" s="40"/>
      <c r="D144" s="40"/>
      <c r="E144" s="34" t="str">
        <f t="shared" si="10"/>
        <v/>
      </c>
      <c r="F144" s="35" t="str">
        <f t="shared" si="11"/>
        <v/>
      </c>
      <c r="G144" s="35" t="str">
        <f t="shared" si="12"/>
        <v/>
      </c>
      <c r="H144" s="36" t="str">
        <f t="shared" si="13"/>
        <v/>
      </c>
      <c r="I144" s="36" t="str">
        <f t="shared" si="14"/>
        <v/>
      </c>
      <c r="J144" s="1"/>
    </row>
    <row r="145" spans="1:10" x14ac:dyDescent="0.25">
      <c r="A145" s="32"/>
      <c r="B145" s="32">
        <v>131</v>
      </c>
      <c r="C145" s="40"/>
      <c r="D145" s="40"/>
      <c r="E145" s="34" t="str">
        <f t="shared" si="10"/>
        <v/>
      </c>
      <c r="F145" s="35" t="str">
        <f t="shared" si="11"/>
        <v/>
      </c>
      <c r="G145" s="35" t="str">
        <f t="shared" si="12"/>
        <v/>
      </c>
      <c r="H145" s="36" t="str">
        <f t="shared" si="13"/>
        <v/>
      </c>
      <c r="I145" s="36" t="str">
        <f t="shared" si="14"/>
        <v/>
      </c>
      <c r="J145" s="1"/>
    </row>
    <row r="146" spans="1:10" x14ac:dyDescent="0.25">
      <c r="A146" s="32"/>
      <c r="B146" s="32">
        <v>132</v>
      </c>
      <c r="C146" s="40"/>
      <c r="D146" s="40"/>
      <c r="E146" s="34" t="str">
        <f t="shared" si="10"/>
        <v/>
      </c>
      <c r="F146" s="35" t="str">
        <f t="shared" si="11"/>
        <v/>
      </c>
      <c r="G146" s="35" t="str">
        <f t="shared" si="12"/>
        <v/>
      </c>
      <c r="H146" s="36" t="str">
        <f t="shared" si="13"/>
        <v/>
      </c>
      <c r="I146" s="36" t="str">
        <f t="shared" si="14"/>
        <v/>
      </c>
      <c r="J146" s="1"/>
    </row>
    <row r="147" spans="1:10" x14ac:dyDescent="0.25">
      <c r="A147" s="32"/>
      <c r="B147" s="32">
        <v>133</v>
      </c>
      <c r="C147" s="40"/>
      <c r="D147" s="40"/>
      <c r="E147" s="34" t="str">
        <f t="shared" si="10"/>
        <v/>
      </c>
      <c r="F147" s="35" t="str">
        <f t="shared" si="11"/>
        <v/>
      </c>
      <c r="G147" s="35" t="str">
        <f t="shared" si="12"/>
        <v/>
      </c>
      <c r="H147" s="36" t="str">
        <f t="shared" si="13"/>
        <v/>
      </c>
      <c r="I147" s="36" t="str">
        <f t="shared" si="14"/>
        <v/>
      </c>
      <c r="J147" s="1"/>
    </row>
    <row r="148" spans="1:10" x14ac:dyDescent="0.25">
      <c r="A148" s="32"/>
      <c r="B148" s="32">
        <v>134</v>
      </c>
      <c r="C148" s="40"/>
      <c r="D148" s="40"/>
      <c r="E148" s="34" t="str">
        <f t="shared" si="10"/>
        <v/>
      </c>
      <c r="F148" s="35" t="str">
        <f t="shared" si="11"/>
        <v/>
      </c>
      <c r="G148" s="35" t="str">
        <f t="shared" si="12"/>
        <v/>
      </c>
      <c r="H148" s="36" t="str">
        <f t="shared" si="13"/>
        <v/>
      </c>
      <c r="I148" s="36" t="str">
        <f t="shared" si="14"/>
        <v/>
      </c>
      <c r="J148" s="1"/>
    </row>
    <row r="149" spans="1:10" x14ac:dyDescent="0.25">
      <c r="A149" s="32"/>
      <c r="B149" s="32">
        <v>135</v>
      </c>
      <c r="C149" s="40"/>
      <c r="D149" s="40"/>
      <c r="E149" s="34" t="str">
        <f t="shared" si="10"/>
        <v/>
      </c>
      <c r="F149" s="35" t="str">
        <f t="shared" si="11"/>
        <v/>
      </c>
      <c r="G149" s="35" t="str">
        <f t="shared" si="12"/>
        <v/>
      </c>
      <c r="H149" s="36" t="str">
        <f t="shared" si="13"/>
        <v/>
      </c>
      <c r="I149" s="36" t="str">
        <f t="shared" si="14"/>
        <v/>
      </c>
      <c r="J149" s="1"/>
    </row>
    <row r="150" spans="1:10" x14ac:dyDescent="0.25">
      <c r="A150" s="32"/>
      <c r="B150" s="32">
        <v>136</v>
      </c>
      <c r="C150" s="40"/>
      <c r="D150" s="40"/>
      <c r="E150" s="34" t="str">
        <f t="shared" si="10"/>
        <v/>
      </c>
      <c r="F150" s="35" t="str">
        <f t="shared" si="11"/>
        <v/>
      </c>
      <c r="G150" s="35" t="str">
        <f t="shared" si="12"/>
        <v/>
      </c>
      <c r="H150" s="36" t="str">
        <f t="shared" si="13"/>
        <v/>
      </c>
      <c r="I150" s="36" t="str">
        <f t="shared" si="14"/>
        <v/>
      </c>
      <c r="J150" s="1"/>
    </row>
    <row r="151" spans="1:10" x14ac:dyDescent="0.25">
      <c r="A151" s="32"/>
      <c r="B151" s="32">
        <v>137</v>
      </c>
      <c r="C151" s="40"/>
      <c r="D151" s="40"/>
      <c r="E151" s="34" t="str">
        <f t="shared" si="10"/>
        <v/>
      </c>
      <c r="F151" s="35" t="str">
        <f t="shared" si="11"/>
        <v/>
      </c>
      <c r="G151" s="35" t="str">
        <f t="shared" si="12"/>
        <v/>
      </c>
      <c r="H151" s="36" t="str">
        <f t="shared" si="13"/>
        <v/>
      </c>
      <c r="I151" s="36" t="str">
        <f t="shared" si="14"/>
        <v/>
      </c>
      <c r="J151" s="1"/>
    </row>
    <row r="152" spans="1:10" x14ac:dyDescent="0.25">
      <c r="A152" s="32"/>
      <c r="B152" s="32">
        <v>138</v>
      </c>
      <c r="C152" s="40"/>
      <c r="D152" s="40"/>
      <c r="E152" s="34" t="str">
        <f t="shared" si="10"/>
        <v/>
      </c>
      <c r="F152" s="35" t="str">
        <f t="shared" si="11"/>
        <v/>
      </c>
      <c r="G152" s="35" t="str">
        <f t="shared" si="12"/>
        <v/>
      </c>
      <c r="H152" s="36" t="str">
        <f t="shared" si="13"/>
        <v/>
      </c>
      <c r="I152" s="36" t="str">
        <f t="shared" si="14"/>
        <v/>
      </c>
      <c r="J152" s="1"/>
    </row>
    <row r="153" spans="1:10" x14ac:dyDescent="0.25">
      <c r="A153" s="32"/>
      <c r="B153" s="32">
        <v>139</v>
      </c>
      <c r="C153" s="40"/>
      <c r="D153" s="40"/>
      <c r="E153" s="34" t="str">
        <f t="shared" si="10"/>
        <v/>
      </c>
      <c r="F153" s="35" t="str">
        <f t="shared" si="11"/>
        <v/>
      </c>
      <c r="G153" s="35" t="str">
        <f t="shared" si="12"/>
        <v/>
      </c>
      <c r="H153" s="36" t="str">
        <f t="shared" si="13"/>
        <v/>
      </c>
      <c r="I153" s="36" t="str">
        <f t="shared" si="14"/>
        <v/>
      </c>
      <c r="J153" s="1"/>
    </row>
    <row r="154" spans="1:10" x14ac:dyDescent="0.25">
      <c r="A154" s="32"/>
      <c r="B154" s="32">
        <v>140</v>
      </c>
      <c r="C154" s="40"/>
      <c r="D154" s="40"/>
      <c r="E154" s="34" t="str">
        <f t="shared" si="10"/>
        <v/>
      </c>
      <c r="F154" s="35" t="str">
        <f t="shared" si="11"/>
        <v/>
      </c>
      <c r="G154" s="35" t="str">
        <f t="shared" si="12"/>
        <v/>
      </c>
      <c r="H154" s="36" t="str">
        <f t="shared" si="13"/>
        <v/>
      </c>
      <c r="I154" s="36" t="str">
        <f t="shared" si="14"/>
        <v/>
      </c>
      <c r="J154" s="1"/>
    </row>
    <row r="155" spans="1:10" x14ac:dyDescent="0.25">
      <c r="A155" s="32"/>
      <c r="B155" s="32">
        <v>141</v>
      </c>
      <c r="C155" s="40"/>
      <c r="D155" s="40"/>
      <c r="E155" s="34" t="str">
        <f t="shared" si="10"/>
        <v/>
      </c>
      <c r="F155" s="35" t="str">
        <f t="shared" si="11"/>
        <v/>
      </c>
      <c r="G155" s="35" t="str">
        <f t="shared" si="12"/>
        <v/>
      </c>
      <c r="H155" s="36" t="str">
        <f t="shared" si="13"/>
        <v/>
      </c>
      <c r="I155" s="36" t="str">
        <f t="shared" si="14"/>
        <v/>
      </c>
      <c r="J155" s="1"/>
    </row>
    <row r="156" spans="1:10" x14ac:dyDescent="0.25">
      <c r="A156" s="32"/>
      <c r="B156" s="32">
        <v>142</v>
      </c>
      <c r="C156" s="40"/>
      <c r="D156" s="40"/>
      <c r="E156" s="34" t="str">
        <f t="shared" si="10"/>
        <v/>
      </c>
      <c r="F156" s="35" t="str">
        <f t="shared" si="11"/>
        <v/>
      </c>
      <c r="G156" s="35" t="str">
        <f t="shared" si="12"/>
        <v/>
      </c>
      <c r="H156" s="36" t="str">
        <f t="shared" si="13"/>
        <v/>
      </c>
      <c r="I156" s="36" t="str">
        <f t="shared" si="14"/>
        <v/>
      </c>
      <c r="J156" s="1"/>
    </row>
    <row r="157" spans="1:10" x14ac:dyDescent="0.25">
      <c r="A157" s="32"/>
      <c r="B157" s="32">
        <v>143</v>
      </c>
      <c r="C157" s="40"/>
      <c r="D157" s="40"/>
      <c r="E157" s="34" t="str">
        <f t="shared" si="10"/>
        <v/>
      </c>
      <c r="F157" s="35" t="str">
        <f t="shared" si="11"/>
        <v/>
      </c>
      <c r="G157" s="35" t="str">
        <f t="shared" si="12"/>
        <v/>
      </c>
      <c r="H157" s="36" t="str">
        <f t="shared" si="13"/>
        <v/>
      </c>
      <c r="I157" s="36" t="str">
        <f t="shared" si="14"/>
        <v/>
      </c>
      <c r="J157" s="1"/>
    </row>
    <row r="158" spans="1:10" x14ac:dyDescent="0.25">
      <c r="A158" s="32"/>
      <c r="B158" s="32">
        <v>144</v>
      </c>
      <c r="C158" s="40"/>
      <c r="D158" s="40"/>
      <c r="E158" s="34" t="str">
        <f t="shared" si="10"/>
        <v/>
      </c>
      <c r="F158" s="35" t="str">
        <f t="shared" si="11"/>
        <v/>
      </c>
      <c r="G158" s="35" t="str">
        <f t="shared" si="12"/>
        <v/>
      </c>
      <c r="H158" s="36" t="str">
        <f t="shared" si="13"/>
        <v/>
      </c>
      <c r="I158" s="36" t="str">
        <f t="shared" si="14"/>
        <v/>
      </c>
      <c r="J158" s="1"/>
    </row>
    <row r="159" spans="1:10" x14ac:dyDescent="0.25">
      <c r="A159" s="32"/>
      <c r="B159" s="32">
        <v>145</v>
      </c>
      <c r="C159" s="40"/>
      <c r="D159" s="40"/>
      <c r="E159" s="34" t="str">
        <f t="shared" si="10"/>
        <v/>
      </c>
      <c r="F159" s="35" t="str">
        <f t="shared" si="11"/>
        <v/>
      </c>
      <c r="G159" s="35" t="str">
        <f t="shared" si="12"/>
        <v/>
      </c>
      <c r="H159" s="36" t="str">
        <f t="shared" si="13"/>
        <v/>
      </c>
      <c r="I159" s="36" t="str">
        <f t="shared" si="14"/>
        <v/>
      </c>
      <c r="J159" s="1"/>
    </row>
    <row r="160" spans="1:10" x14ac:dyDescent="0.25">
      <c r="A160" s="32"/>
      <c r="B160" s="32">
        <v>146</v>
      </c>
      <c r="C160" s="40"/>
      <c r="D160" s="40"/>
      <c r="E160" s="34" t="str">
        <f t="shared" si="10"/>
        <v/>
      </c>
      <c r="F160" s="35" t="str">
        <f t="shared" si="11"/>
        <v/>
      </c>
      <c r="G160" s="35" t="str">
        <f t="shared" si="12"/>
        <v/>
      </c>
      <c r="H160" s="36" t="str">
        <f t="shared" si="13"/>
        <v/>
      </c>
      <c r="I160" s="36" t="str">
        <f t="shared" si="14"/>
        <v/>
      </c>
      <c r="J160" s="1"/>
    </row>
    <row r="161" spans="1:10" x14ac:dyDescent="0.25">
      <c r="A161" s="32"/>
      <c r="B161" s="32">
        <v>147</v>
      </c>
      <c r="C161" s="40"/>
      <c r="D161" s="40"/>
      <c r="E161" s="34" t="str">
        <f t="shared" si="10"/>
        <v/>
      </c>
      <c r="F161" s="35" t="str">
        <f t="shared" si="11"/>
        <v/>
      </c>
      <c r="G161" s="35" t="str">
        <f t="shared" si="12"/>
        <v/>
      </c>
      <c r="H161" s="36" t="str">
        <f t="shared" si="13"/>
        <v/>
      </c>
      <c r="I161" s="36" t="str">
        <f t="shared" si="14"/>
        <v/>
      </c>
      <c r="J161" s="1"/>
    </row>
    <row r="162" spans="1:10" x14ac:dyDescent="0.25">
      <c r="A162" s="32"/>
      <c r="B162" s="32">
        <v>148</v>
      </c>
      <c r="C162" s="40"/>
      <c r="D162" s="40"/>
      <c r="E162" s="34" t="str">
        <f t="shared" si="10"/>
        <v/>
      </c>
      <c r="F162" s="35" t="str">
        <f t="shared" si="11"/>
        <v/>
      </c>
      <c r="G162" s="35" t="str">
        <f t="shared" si="12"/>
        <v/>
      </c>
      <c r="H162" s="36" t="str">
        <f t="shared" si="13"/>
        <v/>
      </c>
      <c r="I162" s="36" t="str">
        <f t="shared" si="14"/>
        <v/>
      </c>
      <c r="J162" s="1"/>
    </row>
    <row r="163" spans="1:10" x14ac:dyDescent="0.25">
      <c r="A163" s="32"/>
      <c r="B163" s="32">
        <v>149</v>
      </c>
      <c r="C163" s="40"/>
      <c r="D163" s="40"/>
      <c r="E163" s="34" t="str">
        <f t="shared" si="10"/>
        <v/>
      </c>
      <c r="F163" s="35" t="str">
        <f t="shared" si="11"/>
        <v/>
      </c>
      <c r="G163" s="35" t="str">
        <f t="shared" si="12"/>
        <v/>
      </c>
      <c r="H163" s="36" t="str">
        <f t="shared" si="13"/>
        <v/>
      </c>
      <c r="I163" s="36" t="str">
        <f t="shared" si="14"/>
        <v/>
      </c>
      <c r="J163" s="1"/>
    </row>
    <row r="164" spans="1:10" x14ac:dyDescent="0.25">
      <c r="A164" s="32"/>
      <c r="B164" s="32">
        <v>150</v>
      </c>
      <c r="C164" s="40"/>
      <c r="D164" s="40"/>
      <c r="E164" s="34" t="str">
        <f t="shared" si="10"/>
        <v/>
      </c>
      <c r="F164" s="35" t="str">
        <f t="shared" si="11"/>
        <v/>
      </c>
      <c r="G164" s="35" t="str">
        <f t="shared" si="12"/>
        <v/>
      </c>
      <c r="H164" s="36" t="str">
        <f t="shared" si="13"/>
        <v/>
      </c>
      <c r="I164" s="36" t="str">
        <f t="shared" si="14"/>
        <v/>
      </c>
      <c r="J164" s="1"/>
    </row>
    <row r="165" spans="1:10" x14ac:dyDescent="0.25">
      <c r="A165" s="32"/>
      <c r="B165" s="32">
        <v>151</v>
      </c>
      <c r="C165" s="40"/>
      <c r="D165" s="40"/>
      <c r="E165" s="34" t="str">
        <f t="shared" si="10"/>
        <v/>
      </c>
      <c r="F165" s="35" t="str">
        <f t="shared" si="11"/>
        <v/>
      </c>
      <c r="G165" s="35" t="str">
        <f t="shared" si="12"/>
        <v/>
      </c>
      <c r="H165" s="36" t="str">
        <f t="shared" si="13"/>
        <v/>
      </c>
      <c r="I165" s="36" t="str">
        <f t="shared" si="14"/>
        <v/>
      </c>
      <c r="J165" s="1"/>
    </row>
    <row r="166" spans="1:10" x14ac:dyDescent="0.25">
      <c r="A166" s="32"/>
      <c r="B166" s="32">
        <v>152</v>
      </c>
      <c r="C166" s="40"/>
      <c r="D166" s="40"/>
      <c r="E166" s="34" t="str">
        <f t="shared" si="10"/>
        <v/>
      </c>
      <c r="F166" s="35" t="str">
        <f t="shared" si="11"/>
        <v/>
      </c>
      <c r="G166" s="35" t="str">
        <f t="shared" si="12"/>
        <v/>
      </c>
      <c r="H166" s="36" t="str">
        <f t="shared" si="13"/>
        <v/>
      </c>
      <c r="I166" s="36" t="str">
        <f t="shared" si="14"/>
        <v/>
      </c>
      <c r="J166" s="1"/>
    </row>
    <row r="167" spans="1:10" x14ac:dyDescent="0.25">
      <c r="A167" s="32"/>
      <c r="B167" s="32">
        <v>153</v>
      </c>
      <c r="C167" s="40"/>
      <c r="D167" s="40"/>
      <c r="E167" s="34" t="str">
        <f t="shared" si="10"/>
        <v/>
      </c>
      <c r="F167" s="35" t="str">
        <f t="shared" si="11"/>
        <v/>
      </c>
      <c r="G167" s="35" t="str">
        <f t="shared" si="12"/>
        <v/>
      </c>
      <c r="H167" s="36" t="str">
        <f t="shared" si="13"/>
        <v/>
      </c>
      <c r="I167" s="36" t="str">
        <f t="shared" si="14"/>
        <v/>
      </c>
      <c r="J167" s="1"/>
    </row>
    <row r="168" spans="1:10" x14ac:dyDescent="0.25">
      <c r="A168" s="32"/>
      <c r="B168" s="32">
        <v>154</v>
      </c>
      <c r="C168" s="40"/>
      <c r="D168" s="40"/>
      <c r="E168" s="34" t="str">
        <f t="shared" si="10"/>
        <v/>
      </c>
      <c r="F168" s="35" t="str">
        <f t="shared" si="11"/>
        <v/>
      </c>
      <c r="G168" s="35" t="str">
        <f t="shared" si="12"/>
        <v/>
      </c>
      <c r="H168" s="36" t="str">
        <f t="shared" si="13"/>
        <v/>
      </c>
      <c r="I168" s="36" t="str">
        <f t="shared" si="14"/>
        <v/>
      </c>
      <c r="J168" s="1"/>
    </row>
    <row r="169" spans="1:10" x14ac:dyDescent="0.25">
      <c r="A169" s="32"/>
      <c r="B169" s="32">
        <v>155</v>
      </c>
      <c r="C169" s="40"/>
      <c r="D169" s="40"/>
      <c r="E169" s="34" t="str">
        <f t="shared" si="10"/>
        <v/>
      </c>
      <c r="F169" s="35" t="str">
        <f t="shared" si="11"/>
        <v/>
      </c>
      <c r="G169" s="35" t="str">
        <f t="shared" si="12"/>
        <v/>
      </c>
      <c r="H169" s="36" t="str">
        <f t="shared" si="13"/>
        <v/>
      </c>
      <c r="I169" s="36" t="str">
        <f t="shared" si="14"/>
        <v/>
      </c>
      <c r="J169" s="1"/>
    </row>
    <row r="170" spans="1:10" x14ac:dyDescent="0.25">
      <c r="A170" s="32"/>
      <c r="B170" s="32">
        <v>156</v>
      </c>
      <c r="C170" s="40"/>
      <c r="D170" s="40"/>
      <c r="E170" s="34" t="str">
        <f t="shared" si="10"/>
        <v/>
      </c>
      <c r="F170" s="35" t="str">
        <f t="shared" si="11"/>
        <v/>
      </c>
      <c r="G170" s="35" t="str">
        <f t="shared" si="12"/>
        <v/>
      </c>
      <c r="H170" s="36" t="str">
        <f t="shared" si="13"/>
        <v/>
      </c>
      <c r="I170" s="36" t="str">
        <f t="shared" si="14"/>
        <v/>
      </c>
      <c r="J170" s="1"/>
    </row>
    <row r="171" spans="1:10" x14ac:dyDescent="0.25">
      <c r="A171" s="32"/>
      <c r="B171" s="32">
        <v>157</v>
      </c>
      <c r="C171" s="40"/>
      <c r="D171" s="40"/>
      <c r="E171" s="34" t="str">
        <f t="shared" si="10"/>
        <v/>
      </c>
      <c r="F171" s="35" t="str">
        <f t="shared" si="11"/>
        <v/>
      </c>
      <c r="G171" s="35" t="str">
        <f t="shared" si="12"/>
        <v/>
      </c>
      <c r="H171" s="36" t="str">
        <f t="shared" si="13"/>
        <v/>
      </c>
      <c r="I171" s="36" t="str">
        <f t="shared" si="14"/>
        <v/>
      </c>
      <c r="J171" s="1"/>
    </row>
    <row r="172" spans="1:10" x14ac:dyDescent="0.25">
      <c r="A172" s="32"/>
      <c r="B172" s="32">
        <v>158</v>
      </c>
      <c r="C172" s="40"/>
      <c r="D172" s="40"/>
      <c r="E172" s="34" t="str">
        <f t="shared" si="10"/>
        <v/>
      </c>
      <c r="F172" s="35" t="str">
        <f t="shared" si="11"/>
        <v/>
      </c>
      <c r="G172" s="35" t="str">
        <f t="shared" si="12"/>
        <v/>
      </c>
      <c r="H172" s="36" t="str">
        <f t="shared" si="13"/>
        <v/>
      </c>
      <c r="I172" s="36" t="str">
        <f t="shared" si="14"/>
        <v/>
      </c>
      <c r="J172" s="1"/>
    </row>
    <row r="173" spans="1:10" x14ac:dyDescent="0.25">
      <c r="A173" s="32"/>
      <c r="B173" s="32">
        <v>159</v>
      </c>
      <c r="C173" s="40"/>
      <c r="D173" s="40"/>
      <c r="E173" s="34" t="str">
        <f t="shared" si="10"/>
        <v/>
      </c>
      <c r="F173" s="35" t="str">
        <f t="shared" si="11"/>
        <v/>
      </c>
      <c r="G173" s="35" t="str">
        <f t="shared" si="12"/>
        <v/>
      </c>
      <c r="H173" s="36" t="str">
        <f t="shared" si="13"/>
        <v/>
      </c>
      <c r="I173" s="36" t="str">
        <f t="shared" si="14"/>
        <v/>
      </c>
      <c r="J173" s="1"/>
    </row>
    <row r="174" spans="1:10" x14ac:dyDescent="0.25">
      <c r="A174" s="32"/>
      <c r="B174" s="32">
        <v>160</v>
      </c>
      <c r="C174" s="40"/>
      <c r="D174" s="40"/>
      <c r="E174" s="34" t="str">
        <f t="shared" si="10"/>
        <v/>
      </c>
      <c r="F174" s="35" t="str">
        <f t="shared" si="11"/>
        <v/>
      </c>
      <c r="G174" s="35" t="str">
        <f t="shared" si="12"/>
        <v/>
      </c>
      <c r="H174" s="36" t="str">
        <f t="shared" si="13"/>
        <v/>
      </c>
      <c r="I174" s="36" t="str">
        <f t="shared" si="14"/>
        <v/>
      </c>
      <c r="J174" s="1"/>
    </row>
    <row r="175" spans="1:10" x14ac:dyDescent="0.25">
      <c r="A175" s="32"/>
      <c r="B175" s="32">
        <v>161</v>
      </c>
      <c r="C175" s="40"/>
      <c r="D175" s="40"/>
      <c r="E175" s="34" t="str">
        <f t="shared" si="10"/>
        <v/>
      </c>
      <c r="F175" s="35" t="str">
        <f t="shared" si="11"/>
        <v/>
      </c>
      <c r="G175" s="35" t="str">
        <f t="shared" si="12"/>
        <v/>
      </c>
      <c r="H175" s="36" t="str">
        <f t="shared" si="13"/>
        <v/>
      </c>
      <c r="I175" s="36" t="str">
        <f t="shared" si="14"/>
        <v/>
      </c>
      <c r="J175" s="1"/>
    </row>
    <row r="176" spans="1:10" x14ac:dyDescent="0.25">
      <c r="A176" s="32"/>
      <c r="B176" s="32">
        <v>162</v>
      </c>
      <c r="C176" s="40"/>
      <c r="D176" s="40"/>
      <c r="E176" s="34" t="str">
        <f t="shared" si="10"/>
        <v/>
      </c>
      <c r="F176" s="35" t="str">
        <f t="shared" si="11"/>
        <v/>
      </c>
      <c r="G176" s="35" t="str">
        <f t="shared" si="12"/>
        <v/>
      </c>
      <c r="H176" s="36" t="str">
        <f t="shared" si="13"/>
        <v/>
      </c>
      <c r="I176" s="36" t="str">
        <f t="shared" si="14"/>
        <v/>
      </c>
      <c r="J176" s="1"/>
    </row>
    <row r="177" spans="1:10" x14ac:dyDescent="0.25">
      <c r="A177" s="32"/>
      <c r="B177" s="32">
        <v>163</v>
      </c>
      <c r="C177" s="40"/>
      <c r="D177" s="40"/>
      <c r="E177" s="34" t="str">
        <f t="shared" si="10"/>
        <v/>
      </c>
      <c r="F177" s="35" t="str">
        <f t="shared" si="11"/>
        <v/>
      </c>
      <c r="G177" s="35" t="str">
        <f t="shared" si="12"/>
        <v/>
      </c>
      <c r="H177" s="36" t="str">
        <f t="shared" si="13"/>
        <v/>
      </c>
      <c r="I177" s="36" t="str">
        <f t="shared" si="14"/>
        <v/>
      </c>
      <c r="J177" s="1"/>
    </row>
    <row r="178" spans="1:10" x14ac:dyDescent="0.25">
      <c r="A178" s="32"/>
      <c r="B178" s="32">
        <v>164</v>
      </c>
      <c r="C178" s="40"/>
      <c r="D178" s="40"/>
      <c r="E178" s="34" t="str">
        <f t="shared" si="10"/>
        <v/>
      </c>
      <c r="F178" s="35" t="str">
        <f t="shared" si="11"/>
        <v/>
      </c>
      <c r="G178" s="35" t="str">
        <f t="shared" si="12"/>
        <v/>
      </c>
      <c r="H178" s="36" t="str">
        <f t="shared" si="13"/>
        <v/>
      </c>
      <c r="I178" s="36" t="str">
        <f t="shared" si="14"/>
        <v/>
      </c>
      <c r="J178" s="1"/>
    </row>
    <row r="179" spans="1:10" x14ac:dyDescent="0.25">
      <c r="A179" s="32"/>
      <c r="B179" s="32">
        <v>165</v>
      </c>
      <c r="C179" s="40"/>
      <c r="D179" s="40"/>
      <c r="E179" s="34" t="str">
        <f t="shared" si="10"/>
        <v/>
      </c>
      <c r="F179" s="35" t="str">
        <f t="shared" si="11"/>
        <v/>
      </c>
      <c r="G179" s="35" t="str">
        <f t="shared" si="12"/>
        <v/>
      </c>
      <c r="H179" s="36" t="str">
        <f t="shared" si="13"/>
        <v/>
      </c>
      <c r="I179" s="36" t="str">
        <f t="shared" si="14"/>
        <v/>
      </c>
      <c r="J179" s="1"/>
    </row>
    <row r="180" spans="1:10" x14ac:dyDescent="0.25">
      <c r="A180" s="32"/>
      <c r="B180" s="32">
        <v>166</v>
      </c>
      <c r="C180" s="40"/>
      <c r="D180" s="40"/>
      <c r="E180" s="34" t="str">
        <f t="shared" si="10"/>
        <v/>
      </c>
      <c r="F180" s="35" t="str">
        <f t="shared" si="11"/>
        <v/>
      </c>
      <c r="G180" s="35" t="str">
        <f t="shared" si="12"/>
        <v/>
      </c>
      <c r="H180" s="36" t="str">
        <f t="shared" si="13"/>
        <v/>
      </c>
      <c r="I180" s="36" t="str">
        <f t="shared" si="14"/>
        <v/>
      </c>
      <c r="J180" s="1"/>
    </row>
    <row r="181" spans="1:10" x14ac:dyDescent="0.25">
      <c r="A181" s="32"/>
      <c r="B181" s="32">
        <v>167</v>
      </c>
      <c r="C181" s="40"/>
      <c r="D181" s="40"/>
      <c r="E181" s="34" t="str">
        <f t="shared" si="10"/>
        <v/>
      </c>
      <c r="F181" s="35" t="str">
        <f t="shared" si="11"/>
        <v/>
      </c>
      <c r="G181" s="35" t="str">
        <f t="shared" si="12"/>
        <v/>
      </c>
      <c r="H181" s="36" t="str">
        <f t="shared" si="13"/>
        <v/>
      </c>
      <c r="I181" s="36" t="str">
        <f t="shared" si="14"/>
        <v/>
      </c>
      <c r="J181" s="1"/>
    </row>
    <row r="182" spans="1:10" x14ac:dyDescent="0.25">
      <c r="A182" s="32"/>
      <c r="B182" s="32">
        <v>168</v>
      </c>
      <c r="C182" s="40"/>
      <c r="D182" s="40"/>
      <c r="E182" s="34" t="str">
        <f t="shared" si="10"/>
        <v/>
      </c>
      <c r="F182" s="35" t="str">
        <f t="shared" si="11"/>
        <v/>
      </c>
      <c r="G182" s="35" t="str">
        <f t="shared" si="12"/>
        <v/>
      </c>
      <c r="H182" s="36" t="str">
        <f t="shared" si="13"/>
        <v/>
      </c>
      <c r="I182" s="36" t="str">
        <f t="shared" si="14"/>
        <v/>
      </c>
      <c r="J182" s="1"/>
    </row>
    <row r="183" spans="1:10" x14ac:dyDescent="0.25">
      <c r="A183" s="32"/>
      <c r="B183" s="32">
        <v>169</v>
      </c>
      <c r="C183" s="40"/>
      <c r="D183" s="40"/>
      <c r="E183" s="34" t="str">
        <f t="shared" si="10"/>
        <v/>
      </c>
      <c r="F183" s="35" t="str">
        <f t="shared" si="11"/>
        <v/>
      </c>
      <c r="G183" s="35" t="str">
        <f t="shared" si="12"/>
        <v/>
      </c>
      <c r="H183" s="36" t="str">
        <f t="shared" si="13"/>
        <v/>
      </c>
      <c r="I183" s="36" t="str">
        <f t="shared" si="14"/>
        <v/>
      </c>
      <c r="J183" s="1"/>
    </row>
    <row r="184" spans="1:10" x14ac:dyDescent="0.25">
      <c r="A184" s="32"/>
      <c r="B184" s="32">
        <v>170</v>
      </c>
      <c r="C184" s="40"/>
      <c r="D184" s="40"/>
      <c r="E184" s="34" t="str">
        <f t="shared" si="10"/>
        <v/>
      </c>
      <c r="F184" s="35" t="str">
        <f t="shared" si="11"/>
        <v/>
      </c>
      <c r="G184" s="35" t="str">
        <f t="shared" si="12"/>
        <v/>
      </c>
      <c r="H184" s="36" t="str">
        <f t="shared" si="13"/>
        <v/>
      </c>
      <c r="I184" s="36" t="str">
        <f t="shared" si="14"/>
        <v/>
      </c>
      <c r="J184" s="1"/>
    </row>
    <row r="185" spans="1:10" x14ac:dyDescent="0.25">
      <c r="A185" s="32"/>
      <c r="B185" s="32">
        <v>171</v>
      </c>
      <c r="C185" s="40"/>
      <c r="D185" s="40"/>
      <c r="E185" s="34" t="str">
        <f t="shared" si="10"/>
        <v/>
      </c>
      <c r="F185" s="35" t="str">
        <f t="shared" si="11"/>
        <v/>
      </c>
      <c r="G185" s="35" t="str">
        <f t="shared" si="12"/>
        <v/>
      </c>
      <c r="H185" s="36" t="str">
        <f t="shared" si="13"/>
        <v/>
      </c>
      <c r="I185" s="36" t="str">
        <f t="shared" si="14"/>
        <v/>
      </c>
      <c r="J185" s="1"/>
    </row>
    <row r="186" spans="1:10" x14ac:dyDescent="0.25">
      <c r="A186" s="32"/>
      <c r="B186" s="32">
        <v>172</v>
      </c>
      <c r="C186" s="40"/>
      <c r="D186" s="40"/>
      <c r="E186" s="34" t="str">
        <f t="shared" si="10"/>
        <v/>
      </c>
      <c r="F186" s="35" t="str">
        <f t="shared" si="11"/>
        <v/>
      </c>
      <c r="G186" s="35" t="str">
        <f t="shared" si="12"/>
        <v/>
      </c>
      <c r="H186" s="36" t="str">
        <f t="shared" si="13"/>
        <v/>
      </c>
      <c r="I186" s="36" t="str">
        <f t="shared" si="14"/>
        <v/>
      </c>
      <c r="J186" s="1"/>
    </row>
    <row r="187" spans="1:10" x14ac:dyDescent="0.25">
      <c r="A187" s="32"/>
      <c r="B187" s="32">
        <v>173</v>
      </c>
      <c r="C187" s="40"/>
      <c r="D187" s="40"/>
      <c r="E187" s="34" t="str">
        <f t="shared" si="10"/>
        <v/>
      </c>
      <c r="F187" s="35" t="str">
        <f t="shared" si="11"/>
        <v/>
      </c>
      <c r="G187" s="35" t="str">
        <f t="shared" si="12"/>
        <v/>
      </c>
      <c r="H187" s="36" t="str">
        <f t="shared" si="13"/>
        <v/>
      </c>
      <c r="I187" s="36" t="str">
        <f t="shared" si="14"/>
        <v/>
      </c>
      <c r="J187" s="1"/>
    </row>
    <row r="188" spans="1:10" x14ac:dyDescent="0.25">
      <c r="A188" s="32"/>
      <c r="B188" s="32">
        <v>174</v>
      </c>
      <c r="C188" s="40"/>
      <c r="D188" s="40"/>
      <c r="E188" s="34" t="str">
        <f t="shared" si="10"/>
        <v/>
      </c>
      <c r="F188" s="35" t="str">
        <f t="shared" si="11"/>
        <v/>
      </c>
      <c r="G188" s="35" t="str">
        <f t="shared" si="12"/>
        <v/>
      </c>
      <c r="H188" s="36" t="str">
        <f t="shared" si="13"/>
        <v/>
      </c>
      <c r="I188" s="36" t="str">
        <f t="shared" si="14"/>
        <v/>
      </c>
      <c r="J188" s="1"/>
    </row>
    <row r="189" spans="1:10" x14ac:dyDescent="0.25">
      <c r="A189" s="32"/>
      <c r="B189" s="32">
        <v>175</v>
      </c>
      <c r="C189" s="40"/>
      <c r="D189" s="40"/>
      <c r="E189" s="34" t="str">
        <f t="shared" si="10"/>
        <v/>
      </c>
      <c r="F189" s="35" t="str">
        <f t="shared" si="11"/>
        <v/>
      </c>
      <c r="G189" s="35" t="str">
        <f t="shared" si="12"/>
        <v/>
      </c>
      <c r="H189" s="36" t="str">
        <f t="shared" si="13"/>
        <v/>
      </c>
      <c r="I189" s="36" t="str">
        <f t="shared" si="14"/>
        <v/>
      </c>
      <c r="J189" s="1"/>
    </row>
    <row r="190" spans="1:10" x14ac:dyDescent="0.25">
      <c r="A190" s="32"/>
      <c r="B190" s="32">
        <v>176</v>
      </c>
      <c r="C190" s="40"/>
      <c r="D190" s="40"/>
      <c r="E190" s="34" t="str">
        <f t="shared" si="10"/>
        <v/>
      </c>
      <c r="F190" s="35" t="str">
        <f t="shared" si="11"/>
        <v/>
      </c>
      <c r="G190" s="35" t="str">
        <f t="shared" si="12"/>
        <v/>
      </c>
      <c r="H190" s="36" t="str">
        <f t="shared" si="13"/>
        <v/>
      </c>
      <c r="I190" s="36" t="str">
        <f t="shared" si="14"/>
        <v/>
      </c>
      <c r="J190" s="1"/>
    </row>
    <row r="191" spans="1:10" x14ac:dyDescent="0.25">
      <c r="A191" s="32"/>
      <c r="B191" s="32">
        <v>177</v>
      </c>
      <c r="C191" s="40"/>
      <c r="D191" s="40"/>
      <c r="E191" s="34" t="str">
        <f t="shared" si="10"/>
        <v/>
      </c>
      <c r="F191" s="35" t="str">
        <f t="shared" si="11"/>
        <v/>
      </c>
      <c r="G191" s="35" t="str">
        <f t="shared" si="12"/>
        <v/>
      </c>
      <c r="H191" s="36" t="str">
        <f t="shared" si="13"/>
        <v/>
      </c>
      <c r="I191" s="36" t="str">
        <f t="shared" si="14"/>
        <v/>
      </c>
      <c r="J191" s="1"/>
    </row>
    <row r="192" spans="1:10" x14ac:dyDescent="0.25">
      <c r="A192" s="32"/>
      <c r="B192" s="32">
        <v>178</v>
      </c>
      <c r="C192" s="40"/>
      <c r="D192" s="40"/>
      <c r="E192" s="34" t="str">
        <f t="shared" si="10"/>
        <v/>
      </c>
      <c r="F192" s="35" t="str">
        <f t="shared" si="11"/>
        <v/>
      </c>
      <c r="G192" s="35" t="str">
        <f t="shared" si="12"/>
        <v/>
      </c>
      <c r="H192" s="36" t="str">
        <f t="shared" si="13"/>
        <v/>
      </c>
      <c r="I192" s="36" t="str">
        <f t="shared" si="14"/>
        <v/>
      </c>
      <c r="J192" s="1"/>
    </row>
    <row r="193" spans="1:10" x14ac:dyDescent="0.25">
      <c r="A193" s="32"/>
      <c r="B193" s="32">
        <v>179</v>
      </c>
      <c r="C193" s="40"/>
      <c r="D193" s="40"/>
      <c r="E193" s="34" t="str">
        <f t="shared" si="10"/>
        <v/>
      </c>
      <c r="F193" s="35" t="str">
        <f t="shared" si="11"/>
        <v/>
      </c>
      <c r="G193" s="35" t="str">
        <f t="shared" si="12"/>
        <v/>
      </c>
      <c r="H193" s="36" t="str">
        <f t="shared" si="13"/>
        <v/>
      </c>
      <c r="I193" s="36" t="str">
        <f t="shared" si="14"/>
        <v/>
      </c>
      <c r="J193" s="1"/>
    </row>
    <row r="194" spans="1:10" x14ac:dyDescent="0.25">
      <c r="A194" s="32"/>
      <c r="B194" s="32">
        <v>180</v>
      </c>
      <c r="C194" s="40"/>
      <c r="D194" s="40"/>
      <c r="E194" s="34" t="str">
        <f t="shared" si="10"/>
        <v/>
      </c>
      <c r="F194" s="35" t="str">
        <f t="shared" si="11"/>
        <v/>
      </c>
      <c r="G194" s="35" t="str">
        <f t="shared" si="12"/>
        <v/>
      </c>
      <c r="H194" s="36" t="str">
        <f t="shared" si="13"/>
        <v/>
      </c>
      <c r="I194" s="36" t="str">
        <f t="shared" si="14"/>
        <v/>
      </c>
      <c r="J194" s="1"/>
    </row>
    <row r="195" spans="1:10" x14ac:dyDescent="0.25">
      <c r="A195" s="32"/>
      <c r="B195" s="32">
        <v>181</v>
      </c>
      <c r="C195" s="40"/>
      <c r="D195" s="40"/>
      <c r="E195" s="34" t="str">
        <f t="shared" si="10"/>
        <v/>
      </c>
      <c r="F195" s="35" t="str">
        <f t="shared" si="11"/>
        <v/>
      </c>
      <c r="G195" s="35" t="str">
        <f t="shared" si="12"/>
        <v/>
      </c>
      <c r="H195" s="36" t="str">
        <f t="shared" si="13"/>
        <v/>
      </c>
      <c r="I195" s="36" t="str">
        <f t="shared" si="14"/>
        <v/>
      </c>
      <c r="J195" s="1"/>
    </row>
    <row r="196" spans="1:10" x14ac:dyDescent="0.25">
      <c r="A196" s="32"/>
      <c r="B196" s="32">
        <v>182</v>
      </c>
      <c r="C196" s="40"/>
      <c r="D196" s="40"/>
      <c r="E196" s="34" t="str">
        <f t="shared" si="10"/>
        <v/>
      </c>
      <c r="F196" s="35" t="str">
        <f t="shared" si="11"/>
        <v/>
      </c>
      <c r="G196" s="35" t="str">
        <f t="shared" si="12"/>
        <v/>
      </c>
      <c r="H196" s="36" t="str">
        <f t="shared" si="13"/>
        <v/>
      </c>
      <c r="I196" s="36" t="str">
        <f t="shared" si="14"/>
        <v/>
      </c>
      <c r="J196" s="1"/>
    </row>
    <row r="197" spans="1:10" x14ac:dyDescent="0.25">
      <c r="A197" s="32"/>
      <c r="B197" s="32">
        <v>183</v>
      </c>
      <c r="C197" s="40"/>
      <c r="D197" s="40"/>
      <c r="E197" s="34" t="str">
        <f t="shared" si="10"/>
        <v/>
      </c>
      <c r="F197" s="35" t="str">
        <f t="shared" si="11"/>
        <v/>
      </c>
      <c r="G197" s="35" t="str">
        <f t="shared" si="12"/>
        <v/>
      </c>
      <c r="H197" s="36" t="str">
        <f t="shared" si="13"/>
        <v/>
      </c>
      <c r="I197" s="36" t="str">
        <f t="shared" si="14"/>
        <v/>
      </c>
      <c r="J197" s="1"/>
    </row>
    <row r="198" spans="1:10" x14ac:dyDescent="0.25">
      <c r="A198" s="32"/>
      <c r="B198" s="32">
        <v>184</v>
      </c>
      <c r="C198" s="40"/>
      <c r="D198" s="40"/>
      <c r="E198" s="34" t="str">
        <f t="shared" si="10"/>
        <v/>
      </c>
      <c r="F198" s="35" t="str">
        <f t="shared" si="11"/>
        <v/>
      </c>
      <c r="G198" s="35" t="str">
        <f t="shared" si="12"/>
        <v/>
      </c>
      <c r="H198" s="36" t="str">
        <f t="shared" si="13"/>
        <v/>
      </c>
      <c r="I198" s="36" t="str">
        <f t="shared" si="14"/>
        <v/>
      </c>
      <c r="J198" s="1"/>
    </row>
    <row r="199" spans="1:10" x14ac:dyDescent="0.25">
      <c r="A199" s="32"/>
      <c r="B199" s="32">
        <v>185</v>
      </c>
      <c r="C199" s="40"/>
      <c r="D199" s="40"/>
      <c r="E199" s="34" t="str">
        <f t="shared" si="10"/>
        <v/>
      </c>
      <c r="F199" s="35" t="str">
        <f t="shared" si="11"/>
        <v/>
      </c>
      <c r="G199" s="35" t="str">
        <f t="shared" si="12"/>
        <v/>
      </c>
      <c r="H199" s="36" t="str">
        <f t="shared" si="13"/>
        <v/>
      </c>
      <c r="I199" s="36" t="str">
        <f t="shared" si="14"/>
        <v/>
      </c>
      <c r="J199" s="1"/>
    </row>
    <row r="200" spans="1:10" x14ac:dyDescent="0.25">
      <c r="A200" s="32"/>
      <c r="B200" s="32">
        <v>186</v>
      </c>
      <c r="C200" s="40"/>
      <c r="D200" s="40"/>
      <c r="E200" s="34" t="str">
        <f t="shared" si="10"/>
        <v/>
      </c>
      <c r="F200" s="35" t="str">
        <f t="shared" si="11"/>
        <v/>
      </c>
      <c r="G200" s="35" t="str">
        <f t="shared" si="12"/>
        <v/>
      </c>
      <c r="H200" s="36" t="str">
        <f t="shared" si="13"/>
        <v/>
      </c>
      <c r="I200" s="36" t="str">
        <f t="shared" si="14"/>
        <v/>
      </c>
      <c r="J200" s="1"/>
    </row>
  </sheetData>
  <mergeCells count="7">
    <mergeCell ref="F2:H2"/>
    <mergeCell ref="C5:I5"/>
    <mergeCell ref="H7:I8"/>
    <mergeCell ref="H12:I12"/>
    <mergeCell ref="C13:C14"/>
    <mergeCell ref="F13:F14"/>
    <mergeCell ref="G13:G14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6793-83E9-46E3-962D-A05A85CD4CF2}">
  <dimension ref="A1:V351"/>
  <sheetViews>
    <sheetView zoomScale="90" zoomScaleNormal="90" workbookViewId="0">
      <pane ySplit="14" topLeftCell="A18" activePane="bottomLeft" state="frozenSplit"/>
      <selection activeCell="E7" sqref="E7:J27"/>
      <selection pane="bottomLeft" activeCell="I14" sqref="I14"/>
    </sheetView>
  </sheetViews>
  <sheetFormatPr defaultRowHeight="13.2" x14ac:dyDescent="0.25"/>
  <cols>
    <col min="1" max="1" width="2.5546875" customWidth="1"/>
    <col min="2" max="2" width="3.88671875" customWidth="1"/>
    <col min="3" max="3" width="10.33203125" style="41" customWidth="1"/>
    <col min="4" max="4" width="9.33203125" style="41" customWidth="1"/>
    <col min="5" max="5" width="9.33203125" style="42" customWidth="1"/>
    <col min="6" max="7" width="9.33203125" customWidth="1"/>
    <col min="8" max="8" width="6.6640625" customWidth="1"/>
    <col min="9" max="9" width="13.5546875" customWidth="1"/>
    <col min="10" max="10" width="4.44140625" customWidth="1"/>
    <col min="11" max="13" width="10.109375" customWidth="1"/>
    <col min="16" max="16" width="12" bestFit="1" customWidth="1"/>
  </cols>
  <sheetData>
    <row r="1" spans="1:12" x14ac:dyDescent="0.25">
      <c r="A1" s="1"/>
      <c r="B1" s="1"/>
      <c r="C1" s="2"/>
      <c r="D1" s="2"/>
      <c r="E1" s="3"/>
      <c r="F1" s="1"/>
      <c r="G1" s="1"/>
      <c r="H1" s="1"/>
      <c r="I1" s="1"/>
      <c r="J1" s="1"/>
    </row>
    <row r="2" spans="1:12" ht="18" customHeight="1" x14ac:dyDescent="0.4">
      <c r="A2" s="1"/>
      <c r="B2" s="1"/>
      <c r="C2" s="4" t="s">
        <v>0</v>
      </c>
      <c r="D2" s="4" t="s">
        <v>17</v>
      </c>
      <c r="E2" s="5"/>
      <c r="F2" s="45"/>
      <c r="G2" s="45"/>
      <c r="H2" s="45"/>
      <c r="I2" s="1"/>
      <c r="J2" s="1"/>
    </row>
    <row r="3" spans="1:12" ht="15.75" customHeight="1" x14ac:dyDescent="0.25">
      <c r="A3" s="1"/>
      <c r="B3" s="1"/>
      <c r="C3" s="4" t="s">
        <v>2</v>
      </c>
      <c r="D3" s="4" t="s">
        <v>22</v>
      </c>
      <c r="E3" s="5" t="s">
        <v>4</v>
      </c>
      <c r="F3" s="6"/>
      <c r="G3" s="6"/>
      <c r="H3" s="6"/>
      <c r="I3" s="7"/>
      <c r="J3" s="1"/>
    </row>
    <row r="4" spans="1:12" ht="13.8" thickBot="1" x14ac:dyDescent="0.3">
      <c r="A4" s="1"/>
      <c r="B4" s="1"/>
      <c r="C4" s="8"/>
      <c r="D4" s="2"/>
      <c r="E4" s="3"/>
      <c r="F4" s="9"/>
      <c r="G4" s="9"/>
      <c r="H4" s="1"/>
      <c r="I4" s="7"/>
      <c r="J4" s="1"/>
    </row>
    <row r="5" spans="1:12" x14ac:dyDescent="0.25">
      <c r="A5" s="1"/>
      <c r="B5" s="1"/>
      <c r="C5" s="46" t="s">
        <v>5</v>
      </c>
      <c r="D5" s="47"/>
      <c r="E5" s="47"/>
      <c r="F5" s="47"/>
      <c r="G5" s="47"/>
      <c r="H5" s="47"/>
      <c r="I5" s="48"/>
      <c r="J5" s="1"/>
    </row>
    <row r="6" spans="1:12" x14ac:dyDescent="0.25">
      <c r="A6" s="1"/>
      <c r="B6" s="1"/>
      <c r="C6" s="10"/>
      <c r="D6" s="2"/>
      <c r="E6" s="3"/>
      <c r="F6" s="9"/>
      <c r="G6" s="9"/>
      <c r="H6" s="1"/>
      <c r="I6" s="11"/>
      <c r="J6" s="1"/>
    </row>
    <row r="7" spans="1:12" x14ac:dyDescent="0.25">
      <c r="A7" s="1"/>
      <c r="B7" s="1"/>
      <c r="C7" s="10"/>
      <c r="D7" s="12" t="s">
        <v>6</v>
      </c>
      <c r="E7" s="13"/>
      <c r="F7" s="14">
        <v>0</v>
      </c>
      <c r="G7" s="9"/>
      <c r="H7" s="49" t="s">
        <v>7</v>
      </c>
      <c r="I7" s="50"/>
      <c r="J7" s="1"/>
    </row>
    <row r="8" spans="1:12" x14ac:dyDescent="0.25">
      <c r="A8" s="1"/>
      <c r="B8" s="1"/>
      <c r="C8" s="10"/>
      <c r="D8" s="12" t="s">
        <v>8</v>
      </c>
      <c r="E8" s="13"/>
      <c r="F8" s="14">
        <v>0</v>
      </c>
      <c r="G8" s="9"/>
      <c r="H8" s="49"/>
      <c r="I8" s="50"/>
      <c r="J8" s="1"/>
    </row>
    <row r="9" spans="1:12" x14ac:dyDescent="0.25">
      <c r="A9" s="1"/>
      <c r="B9" s="1"/>
      <c r="C9" s="10"/>
      <c r="D9" s="15" t="s">
        <v>9</v>
      </c>
      <c r="E9" s="13"/>
      <c r="F9" s="16">
        <v>5963.7323894382607</v>
      </c>
      <c r="G9" s="9"/>
      <c r="H9" s="1"/>
      <c r="I9" s="11"/>
      <c r="J9" s="1"/>
    </row>
    <row r="10" spans="1:12" x14ac:dyDescent="0.25">
      <c r="A10" s="1"/>
      <c r="B10" s="1"/>
      <c r="C10" s="10"/>
      <c r="D10" s="15" t="s">
        <v>10</v>
      </c>
      <c r="E10" s="13"/>
      <c r="F10" s="17">
        <v>0.32283064397830863</v>
      </c>
      <c r="G10" s="9"/>
      <c r="H10" s="18"/>
      <c r="I10" s="19"/>
      <c r="J10" s="1"/>
    </row>
    <row r="11" spans="1:12" x14ac:dyDescent="0.25">
      <c r="A11" s="1"/>
      <c r="B11" s="20"/>
      <c r="C11" s="21"/>
      <c r="D11" s="22"/>
      <c r="E11" s="23"/>
      <c r="F11" s="20"/>
      <c r="G11" s="9"/>
      <c r="H11" s="1"/>
      <c r="I11" s="11"/>
      <c r="J11" s="1"/>
    </row>
    <row r="12" spans="1:12" x14ac:dyDescent="0.25">
      <c r="A12" s="1"/>
      <c r="B12" s="20"/>
      <c r="C12" s="21"/>
      <c r="D12" s="22"/>
      <c r="E12" s="23"/>
      <c r="F12" s="20"/>
      <c r="G12" s="9"/>
      <c r="H12" s="51" t="s">
        <v>11</v>
      </c>
      <c r="I12" s="52"/>
      <c r="J12" s="1"/>
    </row>
    <row r="13" spans="1:12" ht="12.75" customHeight="1" x14ac:dyDescent="0.25">
      <c r="A13" s="1"/>
      <c r="B13" s="20"/>
      <c r="C13" s="53" t="s">
        <v>12</v>
      </c>
      <c r="D13" s="24"/>
      <c r="E13" s="25"/>
      <c r="F13" s="55" t="s">
        <v>13</v>
      </c>
      <c r="G13" s="55" t="s">
        <v>14</v>
      </c>
      <c r="H13" s="43" t="s">
        <v>15</v>
      </c>
      <c r="I13" s="44" t="s">
        <v>16</v>
      </c>
      <c r="J13" s="1"/>
      <c r="K13" t="s">
        <v>17</v>
      </c>
    </row>
    <row r="14" spans="1:12" s="31" customFormat="1" ht="12.6" thickBot="1" x14ac:dyDescent="0.3">
      <c r="A14" s="26"/>
      <c r="B14" s="26"/>
      <c r="C14" s="54"/>
      <c r="D14" s="27" t="s">
        <v>18</v>
      </c>
      <c r="E14" s="28" t="s">
        <v>19</v>
      </c>
      <c r="F14" s="55"/>
      <c r="G14" s="55"/>
      <c r="H14" s="29"/>
      <c r="I14" s="30">
        <f>SQRT(SUM(I15:I63))</f>
        <v>64.212103248321839</v>
      </c>
      <c r="J14" s="26"/>
      <c r="K14" s="31" t="s">
        <v>20</v>
      </c>
      <c r="L14" s="31" t="s">
        <v>21</v>
      </c>
    </row>
    <row r="15" spans="1:12" x14ac:dyDescent="0.25">
      <c r="A15" s="32"/>
      <c r="B15" s="32">
        <v>1</v>
      </c>
      <c r="C15" s="33">
        <v>599</v>
      </c>
      <c r="D15" s="33">
        <v>1915</v>
      </c>
      <c r="E15" s="34" t="e">
        <f t="shared" ref="E15:E78" si="0">IF(C15="","",2*(D15-D14)/((C15-C14)/1000))</f>
        <v>#VALUE!</v>
      </c>
      <c r="F15" s="35">
        <f t="shared" ref="F15:F78" si="1">IF(C15="","",F$7+(F$9/F$10)*(EXP(F$10*(C15-F$8)/2000)-1))</f>
        <v>1875.3382516097176</v>
      </c>
      <c r="G15" s="35" t="e">
        <f t="shared" ref="G15:G78" si="2">IF(E15="","",F$9+(F15-F$7)*F$10)</f>
        <v>#VALUE!</v>
      </c>
      <c r="H15" s="36">
        <f t="shared" ref="H15:H78" si="3">IF(F15="","",F15-D15)</f>
        <v>-39.661748390282355</v>
      </c>
      <c r="I15" s="36">
        <f t="shared" ref="I15:I78" si="4">IF(H15="","",H15^2)</f>
        <v>1573.0542853740649</v>
      </c>
      <c r="J15" s="1"/>
    </row>
    <row r="16" spans="1:12" x14ac:dyDescent="0.25">
      <c r="A16" s="32"/>
      <c r="B16" s="32">
        <v>2</v>
      </c>
      <c r="C16" s="33">
        <v>1075</v>
      </c>
      <c r="D16" s="33">
        <v>3452</v>
      </c>
      <c r="E16" s="34">
        <f t="shared" si="0"/>
        <v>6457.9831932773113</v>
      </c>
      <c r="F16" s="35">
        <f t="shared" si="1"/>
        <v>3500.4271283884136</v>
      </c>
      <c r="G16" s="35">
        <f t="shared" si="2"/>
        <v>7093.7775334950338</v>
      </c>
      <c r="H16" s="36">
        <f t="shared" si="3"/>
        <v>48.427128388413621</v>
      </c>
      <c r="I16" s="36">
        <f t="shared" si="4"/>
        <v>2345.1867639478965</v>
      </c>
      <c r="J16" s="1"/>
    </row>
    <row r="17" spans="1:10" x14ac:dyDescent="0.25">
      <c r="A17" s="32"/>
      <c r="B17" s="32">
        <v>3</v>
      </c>
      <c r="C17" s="33">
        <v>1303</v>
      </c>
      <c r="D17" s="33">
        <v>4332</v>
      </c>
      <c r="E17" s="34">
        <f t="shared" si="0"/>
        <v>7719.2982456140344</v>
      </c>
      <c r="F17" s="35">
        <f t="shared" si="1"/>
        <v>4324.183009673231</v>
      </c>
      <c r="G17" s="35">
        <f t="shared" si="2"/>
        <v>7359.7111751311304</v>
      </c>
      <c r="H17" s="36">
        <f t="shared" si="3"/>
        <v>-7.8169903267689733</v>
      </c>
      <c r="I17" s="36">
        <f t="shared" si="4"/>
        <v>61.1053377687997</v>
      </c>
      <c r="J17" s="1"/>
    </row>
    <row r="18" spans="1:10" x14ac:dyDescent="0.25">
      <c r="A18" s="32"/>
      <c r="B18" s="32">
        <v>4</v>
      </c>
      <c r="C18" s="33">
        <v>1514</v>
      </c>
      <c r="D18" s="33">
        <v>5126</v>
      </c>
      <c r="E18" s="34">
        <f t="shared" si="0"/>
        <v>7526.0663507109011</v>
      </c>
      <c r="F18" s="35">
        <f t="shared" si="1"/>
        <v>5114.006342656121</v>
      </c>
      <c r="G18" s="35">
        <f t="shared" si="2"/>
        <v>7614.6903503470912</v>
      </c>
      <c r="H18" s="36">
        <f t="shared" si="3"/>
        <v>-11.993657343879022</v>
      </c>
      <c r="I18" s="36">
        <f t="shared" si="4"/>
        <v>143.84781648238319</v>
      </c>
      <c r="J18" s="1"/>
    </row>
    <row r="19" spans="1:10" x14ac:dyDescent="0.25">
      <c r="A19" s="32"/>
      <c r="B19" s="32">
        <v>5</v>
      </c>
      <c r="C19" s="33"/>
      <c r="D19" s="33"/>
      <c r="E19" s="34" t="str">
        <f t="shared" si="0"/>
        <v/>
      </c>
      <c r="F19" s="35" t="str">
        <f t="shared" si="1"/>
        <v/>
      </c>
      <c r="G19" s="35" t="str">
        <f t="shared" si="2"/>
        <v/>
      </c>
      <c r="H19" s="36" t="str">
        <f t="shared" si="3"/>
        <v/>
      </c>
      <c r="I19" s="36" t="str">
        <f t="shared" si="4"/>
        <v/>
      </c>
      <c r="J19" s="1"/>
    </row>
    <row r="20" spans="1:10" x14ac:dyDescent="0.25">
      <c r="A20" s="32"/>
      <c r="B20" s="32">
        <v>6</v>
      </c>
      <c r="C20" s="33"/>
      <c r="D20" s="33"/>
      <c r="E20" s="34" t="str">
        <f t="shared" si="0"/>
        <v/>
      </c>
      <c r="F20" s="35" t="str">
        <f t="shared" si="1"/>
        <v/>
      </c>
      <c r="G20" s="35" t="str">
        <f t="shared" si="2"/>
        <v/>
      </c>
      <c r="H20" s="36" t="str">
        <f t="shared" si="3"/>
        <v/>
      </c>
      <c r="I20" s="36" t="str">
        <f t="shared" si="4"/>
        <v/>
      </c>
      <c r="J20" s="1"/>
    </row>
    <row r="21" spans="1:10" x14ac:dyDescent="0.25">
      <c r="A21" s="32"/>
      <c r="B21" s="32">
        <v>7</v>
      </c>
      <c r="C21" s="33"/>
      <c r="D21" s="33"/>
      <c r="E21" s="34" t="str">
        <f t="shared" si="0"/>
        <v/>
      </c>
      <c r="F21" s="35" t="str">
        <f t="shared" si="1"/>
        <v/>
      </c>
      <c r="G21" s="35" t="str">
        <f t="shared" si="2"/>
        <v/>
      </c>
      <c r="H21" s="36" t="str">
        <f t="shared" si="3"/>
        <v/>
      </c>
      <c r="I21" s="36" t="str">
        <f t="shared" si="4"/>
        <v/>
      </c>
      <c r="J21" s="1"/>
    </row>
    <row r="22" spans="1:10" x14ac:dyDescent="0.25">
      <c r="A22" s="32"/>
      <c r="B22" s="32">
        <v>8</v>
      </c>
      <c r="C22" s="33"/>
      <c r="D22" s="33"/>
      <c r="E22" s="34" t="str">
        <f t="shared" si="0"/>
        <v/>
      </c>
      <c r="F22" s="35" t="str">
        <f t="shared" si="1"/>
        <v/>
      </c>
      <c r="G22" s="35" t="str">
        <f t="shared" si="2"/>
        <v/>
      </c>
      <c r="H22" s="36" t="str">
        <f t="shared" si="3"/>
        <v/>
      </c>
      <c r="I22" s="36" t="str">
        <f t="shared" si="4"/>
        <v/>
      </c>
      <c r="J22" s="1"/>
    </row>
    <row r="23" spans="1:10" x14ac:dyDescent="0.25">
      <c r="A23" s="32"/>
      <c r="B23" s="32">
        <v>9</v>
      </c>
      <c r="C23" s="33"/>
      <c r="D23" s="33"/>
      <c r="E23" s="34" t="str">
        <f t="shared" si="0"/>
        <v/>
      </c>
      <c r="F23" s="35" t="str">
        <f t="shared" si="1"/>
        <v/>
      </c>
      <c r="G23" s="35" t="str">
        <f t="shared" si="2"/>
        <v/>
      </c>
      <c r="H23" s="36" t="str">
        <f t="shared" si="3"/>
        <v/>
      </c>
      <c r="I23" s="36" t="str">
        <f t="shared" si="4"/>
        <v/>
      </c>
      <c r="J23" s="1"/>
    </row>
    <row r="24" spans="1:10" x14ac:dyDescent="0.25">
      <c r="A24" s="32"/>
      <c r="B24" s="32">
        <v>10</v>
      </c>
      <c r="C24" s="33"/>
      <c r="D24" s="33"/>
      <c r="E24" s="34" t="str">
        <f t="shared" si="0"/>
        <v/>
      </c>
      <c r="F24" s="35" t="str">
        <f t="shared" si="1"/>
        <v/>
      </c>
      <c r="G24" s="35" t="str">
        <f t="shared" si="2"/>
        <v/>
      </c>
      <c r="H24" s="36" t="str">
        <f t="shared" si="3"/>
        <v/>
      </c>
      <c r="I24" s="36" t="str">
        <f t="shared" si="4"/>
        <v/>
      </c>
      <c r="J24" s="1"/>
    </row>
    <row r="25" spans="1:10" x14ac:dyDescent="0.25">
      <c r="A25" s="32"/>
      <c r="B25" s="32">
        <v>11</v>
      </c>
      <c r="C25" s="33"/>
      <c r="D25" s="33"/>
      <c r="E25" s="34" t="str">
        <f t="shared" si="0"/>
        <v/>
      </c>
      <c r="F25" s="35" t="str">
        <f t="shared" si="1"/>
        <v/>
      </c>
      <c r="G25" s="35" t="str">
        <f t="shared" si="2"/>
        <v/>
      </c>
      <c r="H25" s="36" t="str">
        <f t="shared" si="3"/>
        <v/>
      </c>
      <c r="I25" s="36" t="str">
        <f t="shared" si="4"/>
        <v/>
      </c>
      <c r="J25" s="1"/>
    </row>
    <row r="26" spans="1:10" x14ac:dyDescent="0.25">
      <c r="A26" s="32"/>
      <c r="B26" s="32">
        <v>12</v>
      </c>
      <c r="C26" s="33"/>
      <c r="D26" s="33"/>
      <c r="E26" s="34" t="str">
        <f t="shared" si="0"/>
        <v/>
      </c>
      <c r="F26" s="35" t="str">
        <f t="shared" si="1"/>
        <v/>
      </c>
      <c r="G26" s="35" t="str">
        <f t="shared" si="2"/>
        <v/>
      </c>
      <c r="H26" s="36" t="str">
        <f t="shared" si="3"/>
        <v/>
      </c>
      <c r="I26" s="36" t="str">
        <f t="shared" si="4"/>
        <v/>
      </c>
      <c r="J26" s="1"/>
    </row>
    <row r="27" spans="1:10" x14ac:dyDescent="0.25">
      <c r="A27" s="32"/>
      <c r="B27" s="32">
        <v>13</v>
      </c>
      <c r="C27" s="33"/>
      <c r="D27" s="33"/>
      <c r="E27" s="34" t="str">
        <f t="shared" si="0"/>
        <v/>
      </c>
      <c r="F27" s="35" t="str">
        <f t="shared" si="1"/>
        <v/>
      </c>
      <c r="G27" s="35" t="str">
        <f t="shared" si="2"/>
        <v/>
      </c>
      <c r="H27" s="36" t="str">
        <f t="shared" si="3"/>
        <v/>
      </c>
      <c r="I27" s="36" t="str">
        <f t="shared" si="4"/>
        <v/>
      </c>
      <c r="J27" s="1"/>
    </row>
    <row r="28" spans="1:10" x14ac:dyDescent="0.25">
      <c r="A28" s="32"/>
      <c r="B28" s="32">
        <v>14</v>
      </c>
      <c r="C28" s="33"/>
      <c r="D28" s="33"/>
      <c r="E28" s="34" t="str">
        <f t="shared" si="0"/>
        <v/>
      </c>
      <c r="F28" s="35" t="str">
        <f t="shared" si="1"/>
        <v/>
      </c>
      <c r="G28" s="35" t="str">
        <f t="shared" si="2"/>
        <v/>
      </c>
      <c r="H28" s="36" t="str">
        <f t="shared" si="3"/>
        <v/>
      </c>
      <c r="I28" s="36" t="str">
        <f t="shared" si="4"/>
        <v/>
      </c>
      <c r="J28" s="1"/>
    </row>
    <row r="29" spans="1:10" x14ac:dyDescent="0.25">
      <c r="A29" s="32"/>
      <c r="B29" s="32">
        <v>15</v>
      </c>
      <c r="C29" s="33"/>
      <c r="D29" s="33"/>
      <c r="E29" s="34" t="str">
        <f t="shared" si="0"/>
        <v/>
      </c>
      <c r="F29" s="35" t="str">
        <f t="shared" si="1"/>
        <v/>
      </c>
      <c r="G29" s="35" t="str">
        <f t="shared" si="2"/>
        <v/>
      </c>
      <c r="H29" s="36" t="str">
        <f t="shared" si="3"/>
        <v/>
      </c>
      <c r="I29" s="36" t="str">
        <f t="shared" si="4"/>
        <v/>
      </c>
      <c r="J29" s="1"/>
    </row>
    <row r="30" spans="1:10" x14ac:dyDescent="0.25">
      <c r="A30" s="32"/>
      <c r="B30" s="32">
        <v>16</v>
      </c>
      <c r="C30" s="33"/>
      <c r="D30" s="33"/>
      <c r="E30" s="34" t="str">
        <f t="shared" si="0"/>
        <v/>
      </c>
      <c r="F30" s="35" t="str">
        <f t="shared" si="1"/>
        <v/>
      </c>
      <c r="G30" s="35" t="str">
        <f t="shared" si="2"/>
        <v/>
      </c>
      <c r="H30" s="36" t="str">
        <f t="shared" si="3"/>
        <v/>
      </c>
      <c r="I30" s="36" t="str">
        <f t="shared" si="4"/>
        <v/>
      </c>
      <c r="J30" s="1"/>
    </row>
    <row r="31" spans="1:10" x14ac:dyDescent="0.25">
      <c r="A31" s="32"/>
      <c r="B31" s="32">
        <v>17</v>
      </c>
      <c r="C31" s="33"/>
      <c r="D31" s="33"/>
      <c r="E31" s="34" t="str">
        <f t="shared" si="0"/>
        <v/>
      </c>
      <c r="F31" s="35" t="str">
        <f t="shared" si="1"/>
        <v/>
      </c>
      <c r="G31" s="35" t="str">
        <f t="shared" si="2"/>
        <v/>
      </c>
      <c r="H31" s="36" t="str">
        <f t="shared" si="3"/>
        <v/>
      </c>
      <c r="I31" s="36" t="str">
        <f t="shared" si="4"/>
        <v/>
      </c>
      <c r="J31" s="1"/>
    </row>
    <row r="32" spans="1:10" x14ac:dyDescent="0.25">
      <c r="A32" s="32"/>
      <c r="B32" s="32">
        <v>18</v>
      </c>
      <c r="C32" s="33"/>
      <c r="D32" s="33"/>
      <c r="E32" s="34" t="str">
        <f t="shared" si="0"/>
        <v/>
      </c>
      <c r="F32" s="35" t="str">
        <f t="shared" si="1"/>
        <v/>
      </c>
      <c r="G32" s="35" t="str">
        <f t="shared" si="2"/>
        <v/>
      </c>
      <c r="H32" s="36" t="str">
        <f t="shared" si="3"/>
        <v/>
      </c>
      <c r="I32" s="36" t="str">
        <f t="shared" si="4"/>
        <v/>
      </c>
      <c r="J32" s="1"/>
    </row>
    <row r="33" spans="1:10" x14ac:dyDescent="0.25">
      <c r="A33" s="32"/>
      <c r="B33" s="32">
        <v>19</v>
      </c>
      <c r="C33" s="33"/>
      <c r="D33" s="33"/>
      <c r="E33" s="34" t="str">
        <f t="shared" si="0"/>
        <v/>
      </c>
      <c r="F33" s="35" t="str">
        <f t="shared" si="1"/>
        <v/>
      </c>
      <c r="G33" s="35" t="str">
        <f t="shared" si="2"/>
        <v/>
      </c>
      <c r="H33" s="36" t="str">
        <f t="shared" si="3"/>
        <v/>
      </c>
      <c r="I33" s="36" t="str">
        <f t="shared" si="4"/>
        <v/>
      </c>
      <c r="J33" s="1"/>
    </row>
    <row r="34" spans="1:10" x14ac:dyDescent="0.25">
      <c r="A34" s="32"/>
      <c r="B34" s="32">
        <v>20</v>
      </c>
      <c r="C34" s="33"/>
      <c r="D34" s="33"/>
      <c r="E34" s="34" t="str">
        <f t="shared" si="0"/>
        <v/>
      </c>
      <c r="F34" s="35" t="str">
        <f t="shared" si="1"/>
        <v/>
      </c>
      <c r="G34" s="35" t="str">
        <f t="shared" si="2"/>
        <v/>
      </c>
      <c r="H34" s="36" t="str">
        <f t="shared" si="3"/>
        <v/>
      </c>
      <c r="I34" s="36" t="str">
        <f t="shared" si="4"/>
        <v/>
      </c>
      <c r="J34" s="1"/>
    </row>
    <row r="35" spans="1:10" x14ac:dyDescent="0.25">
      <c r="A35" s="32"/>
      <c r="B35" s="32">
        <v>21</v>
      </c>
      <c r="C35" s="33"/>
      <c r="D35" s="33"/>
      <c r="E35" s="34" t="str">
        <f t="shared" si="0"/>
        <v/>
      </c>
      <c r="F35" s="35" t="str">
        <f t="shared" si="1"/>
        <v/>
      </c>
      <c r="G35" s="35" t="str">
        <f t="shared" si="2"/>
        <v/>
      </c>
      <c r="H35" s="36" t="str">
        <f t="shared" si="3"/>
        <v/>
      </c>
      <c r="I35" s="36" t="str">
        <f t="shared" si="4"/>
        <v/>
      </c>
      <c r="J35" s="1"/>
    </row>
    <row r="36" spans="1:10" x14ac:dyDescent="0.25">
      <c r="A36" s="32"/>
      <c r="B36" s="32">
        <v>22</v>
      </c>
      <c r="C36" s="33"/>
      <c r="D36" s="33"/>
      <c r="E36" s="34" t="str">
        <f t="shared" si="0"/>
        <v/>
      </c>
      <c r="F36" s="35" t="str">
        <f t="shared" si="1"/>
        <v/>
      </c>
      <c r="G36" s="35" t="str">
        <f t="shared" si="2"/>
        <v/>
      </c>
      <c r="H36" s="36" t="str">
        <f t="shared" si="3"/>
        <v/>
      </c>
      <c r="I36" s="36" t="str">
        <f t="shared" si="4"/>
        <v/>
      </c>
      <c r="J36" s="1"/>
    </row>
    <row r="37" spans="1:10" x14ac:dyDescent="0.25">
      <c r="A37" s="32"/>
      <c r="B37" s="32">
        <v>23</v>
      </c>
      <c r="C37" s="33"/>
      <c r="D37" s="33"/>
      <c r="E37" s="34" t="str">
        <f t="shared" si="0"/>
        <v/>
      </c>
      <c r="F37" s="35" t="str">
        <f t="shared" si="1"/>
        <v/>
      </c>
      <c r="G37" s="35" t="str">
        <f t="shared" si="2"/>
        <v/>
      </c>
      <c r="H37" s="36" t="str">
        <f t="shared" si="3"/>
        <v/>
      </c>
      <c r="I37" s="36" t="str">
        <f t="shared" si="4"/>
        <v/>
      </c>
      <c r="J37" s="1"/>
    </row>
    <row r="38" spans="1:10" x14ac:dyDescent="0.25">
      <c r="A38" s="32"/>
      <c r="B38" s="32">
        <v>24</v>
      </c>
      <c r="C38" s="33"/>
      <c r="D38" s="33"/>
      <c r="E38" s="34" t="str">
        <f t="shared" si="0"/>
        <v/>
      </c>
      <c r="F38" s="35" t="str">
        <f t="shared" si="1"/>
        <v/>
      </c>
      <c r="G38" s="35" t="str">
        <f t="shared" si="2"/>
        <v/>
      </c>
      <c r="H38" s="36" t="str">
        <f t="shared" si="3"/>
        <v/>
      </c>
      <c r="I38" s="36" t="str">
        <f t="shared" si="4"/>
        <v/>
      </c>
      <c r="J38" s="1"/>
    </row>
    <row r="39" spans="1:10" x14ac:dyDescent="0.25">
      <c r="A39" s="32"/>
      <c r="B39" s="32">
        <v>25</v>
      </c>
      <c r="C39" s="33"/>
      <c r="D39" s="33"/>
      <c r="E39" s="34" t="str">
        <f t="shared" si="0"/>
        <v/>
      </c>
      <c r="F39" s="35" t="str">
        <f t="shared" si="1"/>
        <v/>
      </c>
      <c r="G39" s="35" t="str">
        <f t="shared" si="2"/>
        <v/>
      </c>
      <c r="H39" s="36" t="str">
        <f t="shared" si="3"/>
        <v/>
      </c>
      <c r="I39" s="36" t="str">
        <f t="shared" si="4"/>
        <v/>
      </c>
      <c r="J39" s="1"/>
    </row>
    <row r="40" spans="1:10" x14ac:dyDescent="0.25">
      <c r="A40" s="32"/>
      <c r="B40" s="32">
        <v>26</v>
      </c>
      <c r="C40" s="33"/>
      <c r="D40" s="33"/>
      <c r="E40" s="34" t="str">
        <f t="shared" si="0"/>
        <v/>
      </c>
      <c r="F40" s="35" t="str">
        <f t="shared" si="1"/>
        <v/>
      </c>
      <c r="G40" s="35" t="str">
        <f t="shared" si="2"/>
        <v/>
      </c>
      <c r="H40" s="36" t="str">
        <f t="shared" si="3"/>
        <v/>
      </c>
      <c r="I40" s="36" t="str">
        <f t="shared" si="4"/>
        <v/>
      </c>
      <c r="J40" s="1"/>
    </row>
    <row r="41" spans="1:10" x14ac:dyDescent="0.25">
      <c r="A41" s="32"/>
      <c r="B41" s="32">
        <v>27</v>
      </c>
      <c r="C41" s="33"/>
      <c r="D41" s="33"/>
      <c r="E41" s="34" t="str">
        <f t="shared" si="0"/>
        <v/>
      </c>
      <c r="F41" s="35" t="str">
        <f t="shared" si="1"/>
        <v/>
      </c>
      <c r="G41" s="35" t="str">
        <f t="shared" si="2"/>
        <v/>
      </c>
      <c r="H41" s="36" t="str">
        <f t="shared" si="3"/>
        <v/>
      </c>
      <c r="I41" s="36" t="str">
        <f t="shared" si="4"/>
        <v/>
      </c>
      <c r="J41" s="1"/>
    </row>
    <row r="42" spans="1:10" x14ac:dyDescent="0.25">
      <c r="A42" s="32"/>
      <c r="B42" s="32">
        <v>28</v>
      </c>
      <c r="C42" s="33"/>
      <c r="D42" s="33"/>
      <c r="E42" s="34" t="str">
        <f t="shared" si="0"/>
        <v/>
      </c>
      <c r="F42" s="35" t="str">
        <f t="shared" si="1"/>
        <v/>
      </c>
      <c r="G42" s="35" t="str">
        <f t="shared" si="2"/>
        <v/>
      </c>
      <c r="H42" s="36" t="str">
        <f t="shared" si="3"/>
        <v/>
      </c>
      <c r="I42" s="36" t="str">
        <f t="shared" si="4"/>
        <v/>
      </c>
      <c r="J42" s="1"/>
    </row>
    <row r="43" spans="1:10" x14ac:dyDescent="0.25">
      <c r="A43" s="32"/>
      <c r="B43" s="32">
        <v>29</v>
      </c>
      <c r="C43" s="33"/>
      <c r="D43" s="33"/>
      <c r="E43" s="34" t="str">
        <f t="shared" si="0"/>
        <v/>
      </c>
      <c r="F43" s="35" t="str">
        <f t="shared" si="1"/>
        <v/>
      </c>
      <c r="G43" s="35" t="str">
        <f t="shared" si="2"/>
        <v/>
      </c>
      <c r="H43" s="36" t="str">
        <f t="shared" si="3"/>
        <v/>
      </c>
      <c r="I43" s="36" t="str">
        <f t="shared" si="4"/>
        <v/>
      </c>
      <c r="J43" s="1"/>
    </row>
    <row r="44" spans="1:10" x14ac:dyDescent="0.25">
      <c r="A44" s="32"/>
      <c r="B44" s="32">
        <v>30</v>
      </c>
      <c r="C44" s="33"/>
      <c r="D44" s="33"/>
      <c r="E44" s="34" t="str">
        <f t="shared" si="0"/>
        <v/>
      </c>
      <c r="F44" s="35" t="str">
        <f t="shared" si="1"/>
        <v/>
      </c>
      <c r="G44" s="35" t="str">
        <f t="shared" si="2"/>
        <v/>
      </c>
      <c r="H44" s="36" t="str">
        <f t="shared" si="3"/>
        <v/>
      </c>
      <c r="I44" s="36" t="str">
        <f t="shared" si="4"/>
        <v/>
      </c>
      <c r="J44" s="1"/>
    </row>
    <row r="45" spans="1:10" x14ac:dyDescent="0.25">
      <c r="A45" s="32"/>
      <c r="B45" s="32">
        <v>31</v>
      </c>
      <c r="C45" s="33"/>
      <c r="D45" s="33"/>
      <c r="E45" s="34" t="str">
        <f t="shared" si="0"/>
        <v/>
      </c>
      <c r="F45" s="35" t="str">
        <f t="shared" si="1"/>
        <v/>
      </c>
      <c r="G45" s="35" t="str">
        <f t="shared" si="2"/>
        <v/>
      </c>
      <c r="H45" s="36" t="str">
        <f t="shared" si="3"/>
        <v/>
      </c>
      <c r="I45" s="36" t="str">
        <f t="shared" si="4"/>
        <v/>
      </c>
      <c r="J45" s="1"/>
    </row>
    <row r="46" spans="1:10" x14ac:dyDescent="0.25">
      <c r="A46" s="32"/>
      <c r="B46" s="32">
        <v>32</v>
      </c>
      <c r="C46" s="33"/>
      <c r="D46" s="33"/>
      <c r="E46" s="34" t="str">
        <f t="shared" si="0"/>
        <v/>
      </c>
      <c r="F46" s="35" t="str">
        <f t="shared" si="1"/>
        <v/>
      </c>
      <c r="G46" s="35" t="str">
        <f t="shared" si="2"/>
        <v/>
      </c>
      <c r="H46" s="36" t="str">
        <f t="shared" si="3"/>
        <v/>
      </c>
      <c r="I46" s="36" t="str">
        <f t="shared" si="4"/>
        <v/>
      </c>
      <c r="J46" s="1"/>
    </row>
    <row r="47" spans="1:10" x14ac:dyDescent="0.25">
      <c r="A47" s="32"/>
      <c r="B47" s="32">
        <v>33</v>
      </c>
      <c r="C47" s="33"/>
      <c r="D47" s="33"/>
      <c r="E47" s="34" t="str">
        <f t="shared" si="0"/>
        <v/>
      </c>
      <c r="F47" s="35" t="str">
        <f t="shared" si="1"/>
        <v/>
      </c>
      <c r="G47" s="35" t="str">
        <f t="shared" si="2"/>
        <v/>
      </c>
      <c r="H47" s="36" t="str">
        <f t="shared" si="3"/>
        <v/>
      </c>
      <c r="I47" s="36" t="str">
        <f t="shared" si="4"/>
        <v/>
      </c>
      <c r="J47" s="1"/>
    </row>
    <row r="48" spans="1:10" x14ac:dyDescent="0.25">
      <c r="A48" s="32"/>
      <c r="B48" s="32">
        <v>34</v>
      </c>
      <c r="C48" s="33"/>
      <c r="D48" s="33"/>
      <c r="E48" s="34" t="str">
        <f t="shared" si="0"/>
        <v/>
      </c>
      <c r="F48" s="35" t="str">
        <f t="shared" si="1"/>
        <v/>
      </c>
      <c r="G48" s="35" t="str">
        <f t="shared" si="2"/>
        <v/>
      </c>
      <c r="H48" s="36" t="str">
        <f t="shared" si="3"/>
        <v/>
      </c>
      <c r="I48" s="36" t="str">
        <f t="shared" si="4"/>
        <v/>
      </c>
      <c r="J48" s="1"/>
    </row>
    <row r="49" spans="1:10" x14ac:dyDescent="0.25">
      <c r="A49" s="32"/>
      <c r="B49" s="32">
        <v>35</v>
      </c>
      <c r="C49" s="33"/>
      <c r="D49" s="33"/>
      <c r="E49" s="34" t="str">
        <f t="shared" si="0"/>
        <v/>
      </c>
      <c r="F49" s="35" t="str">
        <f t="shared" si="1"/>
        <v/>
      </c>
      <c r="G49" s="35" t="str">
        <f t="shared" si="2"/>
        <v/>
      </c>
      <c r="H49" s="36" t="str">
        <f t="shared" si="3"/>
        <v/>
      </c>
      <c r="I49" s="36" t="str">
        <f t="shared" si="4"/>
        <v/>
      </c>
      <c r="J49" s="1"/>
    </row>
    <row r="50" spans="1:10" x14ac:dyDescent="0.25">
      <c r="A50" s="32"/>
      <c r="B50" s="32">
        <v>36</v>
      </c>
      <c r="C50" s="33"/>
      <c r="D50" s="33"/>
      <c r="E50" s="34" t="str">
        <f t="shared" si="0"/>
        <v/>
      </c>
      <c r="F50" s="35" t="str">
        <f t="shared" si="1"/>
        <v/>
      </c>
      <c r="G50" s="35" t="str">
        <f t="shared" si="2"/>
        <v/>
      </c>
      <c r="H50" s="36" t="str">
        <f t="shared" si="3"/>
        <v/>
      </c>
      <c r="I50" s="36" t="str">
        <f t="shared" si="4"/>
        <v/>
      </c>
      <c r="J50" s="1"/>
    </row>
    <row r="51" spans="1:10" x14ac:dyDescent="0.25">
      <c r="A51" s="32"/>
      <c r="B51" s="32">
        <v>37</v>
      </c>
      <c r="C51" s="33"/>
      <c r="D51" s="33"/>
      <c r="E51" s="34" t="str">
        <f t="shared" si="0"/>
        <v/>
      </c>
      <c r="F51" s="35" t="str">
        <f t="shared" si="1"/>
        <v/>
      </c>
      <c r="G51" s="35" t="str">
        <f t="shared" si="2"/>
        <v/>
      </c>
      <c r="H51" s="36" t="str">
        <f t="shared" si="3"/>
        <v/>
      </c>
      <c r="I51" s="36" t="str">
        <f t="shared" si="4"/>
        <v/>
      </c>
      <c r="J51" s="1"/>
    </row>
    <row r="52" spans="1:10" x14ac:dyDescent="0.25">
      <c r="A52" s="32"/>
      <c r="B52" s="32">
        <v>38</v>
      </c>
      <c r="C52" s="33"/>
      <c r="D52" s="33"/>
      <c r="E52" s="34" t="str">
        <f t="shared" si="0"/>
        <v/>
      </c>
      <c r="F52" s="35" t="str">
        <f t="shared" si="1"/>
        <v/>
      </c>
      <c r="G52" s="35" t="str">
        <f t="shared" si="2"/>
        <v/>
      </c>
      <c r="H52" s="36" t="str">
        <f t="shared" si="3"/>
        <v/>
      </c>
      <c r="I52" s="36" t="str">
        <f t="shared" si="4"/>
        <v/>
      </c>
      <c r="J52" s="1"/>
    </row>
    <row r="53" spans="1:10" x14ac:dyDescent="0.25">
      <c r="A53" s="32"/>
      <c r="B53" s="32">
        <v>39</v>
      </c>
      <c r="C53" s="33"/>
      <c r="D53" s="33"/>
      <c r="E53" s="34" t="str">
        <f t="shared" si="0"/>
        <v/>
      </c>
      <c r="F53" s="35" t="str">
        <f t="shared" si="1"/>
        <v/>
      </c>
      <c r="G53" s="35" t="str">
        <f t="shared" si="2"/>
        <v/>
      </c>
      <c r="H53" s="36" t="str">
        <f t="shared" si="3"/>
        <v/>
      </c>
      <c r="I53" s="36" t="str">
        <f t="shared" si="4"/>
        <v/>
      </c>
      <c r="J53" s="1"/>
    </row>
    <row r="54" spans="1:10" x14ac:dyDescent="0.25">
      <c r="A54" s="32"/>
      <c r="B54" s="32">
        <v>40</v>
      </c>
      <c r="C54" s="33"/>
      <c r="D54" s="33"/>
      <c r="E54" s="34" t="str">
        <f t="shared" si="0"/>
        <v/>
      </c>
      <c r="F54" s="35" t="str">
        <f t="shared" si="1"/>
        <v/>
      </c>
      <c r="G54" s="35" t="str">
        <f t="shared" si="2"/>
        <v/>
      </c>
      <c r="H54" s="36" t="str">
        <f t="shared" si="3"/>
        <v/>
      </c>
      <c r="I54" s="36" t="str">
        <f t="shared" si="4"/>
        <v/>
      </c>
      <c r="J54" s="1"/>
    </row>
    <row r="55" spans="1:10" x14ac:dyDescent="0.25">
      <c r="A55" s="32"/>
      <c r="B55" s="32">
        <v>41</v>
      </c>
      <c r="C55" s="33"/>
      <c r="D55" s="33"/>
      <c r="E55" s="34" t="str">
        <f t="shared" si="0"/>
        <v/>
      </c>
      <c r="F55" s="35" t="str">
        <f t="shared" si="1"/>
        <v/>
      </c>
      <c r="G55" s="35" t="str">
        <f t="shared" si="2"/>
        <v/>
      </c>
      <c r="H55" s="36" t="str">
        <f t="shared" si="3"/>
        <v/>
      </c>
      <c r="I55" s="36" t="str">
        <f t="shared" si="4"/>
        <v/>
      </c>
      <c r="J55" s="1"/>
    </row>
    <row r="56" spans="1:10" x14ac:dyDescent="0.25">
      <c r="A56" s="32"/>
      <c r="B56" s="32">
        <v>42</v>
      </c>
      <c r="C56" s="33"/>
      <c r="D56" s="33"/>
      <c r="E56" s="34" t="str">
        <f t="shared" si="0"/>
        <v/>
      </c>
      <c r="F56" s="35" t="str">
        <f t="shared" si="1"/>
        <v/>
      </c>
      <c r="G56" s="35" t="str">
        <f t="shared" si="2"/>
        <v/>
      </c>
      <c r="H56" s="36" t="str">
        <f t="shared" si="3"/>
        <v/>
      </c>
      <c r="I56" s="36" t="str">
        <f t="shared" si="4"/>
        <v/>
      </c>
      <c r="J56" s="1"/>
    </row>
    <row r="57" spans="1:10" x14ac:dyDescent="0.25">
      <c r="A57" s="32"/>
      <c r="B57" s="32">
        <v>43</v>
      </c>
      <c r="C57" s="33"/>
      <c r="D57" s="33"/>
      <c r="E57" s="34" t="str">
        <f t="shared" si="0"/>
        <v/>
      </c>
      <c r="F57" s="35" t="str">
        <f t="shared" si="1"/>
        <v/>
      </c>
      <c r="G57" s="35" t="str">
        <f t="shared" si="2"/>
        <v/>
      </c>
      <c r="H57" s="36" t="str">
        <f t="shared" si="3"/>
        <v/>
      </c>
      <c r="I57" s="36" t="str">
        <f t="shared" si="4"/>
        <v/>
      </c>
      <c r="J57" s="1"/>
    </row>
    <row r="58" spans="1:10" x14ac:dyDescent="0.25">
      <c r="A58" s="32"/>
      <c r="B58" s="32">
        <v>44</v>
      </c>
      <c r="C58" s="33"/>
      <c r="D58" s="33"/>
      <c r="E58" s="34" t="str">
        <f t="shared" si="0"/>
        <v/>
      </c>
      <c r="F58" s="35" t="str">
        <f t="shared" si="1"/>
        <v/>
      </c>
      <c r="G58" s="35" t="str">
        <f t="shared" si="2"/>
        <v/>
      </c>
      <c r="H58" s="36" t="str">
        <f t="shared" si="3"/>
        <v/>
      </c>
      <c r="I58" s="36" t="str">
        <f t="shared" si="4"/>
        <v/>
      </c>
      <c r="J58" s="1"/>
    </row>
    <row r="59" spans="1:10" x14ac:dyDescent="0.25">
      <c r="A59" s="32"/>
      <c r="B59" s="32">
        <v>45</v>
      </c>
      <c r="C59" s="33"/>
      <c r="D59" s="33"/>
      <c r="E59" s="34" t="str">
        <f t="shared" si="0"/>
        <v/>
      </c>
      <c r="F59" s="35" t="str">
        <f t="shared" si="1"/>
        <v/>
      </c>
      <c r="G59" s="35" t="str">
        <f t="shared" si="2"/>
        <v/>
      </c>
      <c r="H59" s="36" t="str">
        <f t="shared" si="3"/>
        <v/>
      </c>
      <c r="I59" s="36" t="str">
        <f t="shared" si="4"/>
        <v/>
      </c>
      <c r="J59" s="1"/>
    </row>
    <row r="60" spans="1:10" x14ac:dyDescent="0.25">
      <c r="A60" s="32"/>
      <c r="B60" s="32">
        <v>46</v>
      </c>
      <c r="C60" s="33"/>
      <c r="D60" s="33"/>
      <c r="E60" s="34" t="str">
        <f t="shared" si="0"/>
        <v/>
      </c>
      <c r="F60" s="35" t="str">
        <f t="shared" si="1"/>
        <v/>
      </c>
      <c r="G60" s="35" t="str">
        <f t="shared" si="2"/>
        <v/>
      </c>
      <c r="H60" s="36" t="str">
        <f t="shared" si="3"/>
        <v/>
      </c>
      <c r="I60" s="36" t="str">
        <f t="shared" si="4"/>
        <v/>
      </c>
      <c r="J60" s="1"/>
    </row>
    <row r="61" spans="1:10" x14ac:dyDescent="0.25">
      <c r="A61" s="32"/>
      <c r="B61" s="32">
        <v>47</v>
      </c>
      <c r="C61" s="33"/>
      <c r="D61" s="33"/>
      <c r="E61" s="34" t="str">
        <f t="shared" si="0"/>
        <v/>
      </c>
      <c r="F61" s="35" t="str">
        <f t="shared" si="1"/>
        <v/>
      </c>
      <c r="G61" s="35" t="str">
        <f t="shared" si="2"/>
        <v/>
      </c>
      <c r="H61" s="36" t="str">
        <f t="shared" si="3"/>
        <v/>
      </c>
      <c r="I61" s="36" t="str">
        <f t="shared" si="4"/>
        <v/>
      </c>
      <c r="J61" s="1"/>
    </row>
    <row r="62" spans="1:10" x14ac:dyDescent="0.25">
      <c r="A62" s="32"/>
      <c r="B62" s="32">
        <v>48</v>
      </c>
      <c r="C62" s="33"/>
      <c r="D62" s="33"/>
      <c r="E62" s="34" t="str">
        <f t="shared" si="0"/>
        <v/>
      </c>
      <c r="F62" s="35" t="str">
        <f t="shared" si="1"/>
        <v/>
      </c>
      <c r="G62" s="35" t="str">
        <f t="shared" si="2"/>
        <v/>
      </c>
      <c r="H62" s="36" t="str">
        <f t="shared" si="3"/>
        <v/>
      </c>
      <c r="I62" s="36" t="str">
        <f t="shared" si="4"/>
        <v/>
      </c>
      <c r="J62" s="1"/>
    </row>
    <row r="63" spans="1:10" x14ac:dyDescent="0.25">
      <c r="A63" s="32"/>
      <c r="B63" s="32">
        <v>49</v>
      </c>
      <c r="C63" s="33"/>
      <c r="D63" s="33"/>
      <c r="E63" s="34" t="str">
        <f t="shared" si="0"/>
        <v/>
      </c>
      <c r="F63" s="35" t="str">
        <f t="shared" si="1"/>
        <v/>
      </c>
      <c r="G63" s="35" t="str">
        <f t="shared" si="2"/>
        <v/>
      </c>
      <c r="H63" s="36" t="str">
        <f t="shared" si="3"/>
        <v/>
      </c>
      <c r="I63" s="36" t="str">
        <f t="shared" si="4"/>
        <v/>
      </c>
      <c r="J63" s="1"/>
    </row>
    <row r="64" spans="1:10" x14ac:dyDescent="0.25">
      <c r="A64" s="32"/>
      <c r="B64" s="32">
        <v>50</v>
      </c>
      <c r="C64" s="33"/>
      <c r="D64" s="33"/>
      <c r="E64" s="34" t="str">
        <f t="shared" si="0"/>
        <v/>
      </c>
      <c r="F64" s="35" t="str">
        <f t="shared" si="1"/>
        <v/>
      </c>
      <c r="G64" s="35" t="str">
        <f t="shared" si="2"/>
        <v/>
      </c>
      <c r="H64" s="36" t="str">
        <f t="shared" si="3"/>
        <v/>
      </c>
      <c r="I64" s="36" t="str">
        <f t="shared" si="4"/>
        <v/>
      </c>
      <c r="J64" s="1"/>
    </row>
    <row r="65" spans="1:10" x14ac:dyDescent="0.25">
      <c r="A65" s="32"/>
      <c r="B65" s="32">
        <v>51</v>
      </c>
      <c r="C65" s="33"/>
      <c r="D65" s="33"/>
      <c r="E65" s="34" t="str">
        <f t="shared" si="0"/>
        <v/>
      </c>
      <c r="F65" s="35" t="str">
        <f t="shared" si="1"/>
        <v/>
      </c>
      <c r="G65" s="35" t="str">
        <f t="shared" si="2"/>
        <v/>
      </c>
      <c r="H65" s="36" t="str">
        <f t="shared" si="3"/>
        <v/>
      </c>
      <c r="I65" s="36" t="str">
        <f t="shared" si="4"/>
        <v/>
      </c>
      <c r="J65" s="1"/>
    </row>
    <row r="66" spans="1:10" x14ac:dyDescent="0.25">
      <c r="A66" s="32"/>
      <c r="B66" s="32">
        <v>52</v>
      </c>
      <c r="C66" s="33"/>
      <c r="D66" s="33"/>
      <c r="E66" s="34" t="str">
        <f t="shared" si="0"/>
        <v/>
      </c>
      <c r="F66" s="35" t="str">
        <f t="shared" si="1"/>
        <v/>
      </c>
      <c r="G66" s="35" t="str">
        <f t="shared" si="2"/>
        <v/>
      </c>
      <c r="H66" s="36" t="str">
        <f t="shared" si="3"/>
        <v/>
      </c>
      <c r="I66" s="36" t="str">
        <f t="shared" si="4"/>
        <v/>
      </c>
      <c r="J66" s="1"/>
    </row>
    <row r="67" spans="1:10" x14ac:dyDescent="0.25">
      <c r="A67" s="32"/>
      <c r="B67" s="32">
        <v>53</v>
      </c>
      <c r="C67" s="33"/>
      <c r="D67" s="33"/>
      <c r="E67" s="34" t="str">
        <f t="shared" si="0"/>
        <v/>
      </c>
      <c r="F67" s="35" t="str">
        <f t="shared" si="1"/>
        <v/>
      </c>
      <c r="G67" s="35" t="str">
        <f t="shared" si="2"/>
        <v/>
      </c>
      <c r="H67" s="36" t="str">
        <f t="shared" si="3"/>
        <v/>
      </c>
      <c r="I67" s="36" t="str">
        <f t="shared" si="4"/>
        <v/>
      </c>
      <c r="J67" s="1"/>
    </row>
    <row r="68" spans="1:10" x14ac:dyDescent="0.25">
      <c r="A68" s="32"/>
      <c r="B68" s="32">
        <v>54</v>
      </c>
      <c r="C68" s="33"/>
      <c r="D68" s="33"/>
      <c r="E68" s="34" t="str">
        <f t="shared" si="0"/>
        <v/>
      </c>
      <c r="F68" s="35" t="str">
        <f t="shared" si="1"/>
        <v/>
      </c>
      <c r="G68" s="35" t="str">
        <f t="shared" si="2"/>
        <v/>
      </c>
      <c r="H68" s="36" t="str">
        <f t="shared" si="3"/>
        <v/>
      </c>
      <c r="I68" s="36" t="str">
        <f t="shared" si="4"/>
        <v/>
      </c>
      <c r="J68" s="1"/>
    </row>
    <row r="69" spans="1:10" x14ac:dyDescent="0.25">
      <c r="A69" s="32"/>
      <c r="B69" s="32">
        <v>55</v>
      </c>
      <c r="C69" s="33"/>
      <c r="D69" s="33"/>
      <c r="E69" s="34" t="str">
        <f t="shared" si="0"/>
        <v/>
      </c>
      <c r="F69" s="35" t="str">
        <f t="shared" si="1"/>
        <v/>
      </c>
      <c r="G69" s="35" t="str">
        <f t="shared" si="2"/>
        <v/>
      </c>
      <c r="H69" s="36" t="str">
        <f t="shared" si="3"/>
        <v/>
      </c>
      <c r="I69" s="36" t="str">
        <f t="shared" si="4"/>
        <v/>
      </c>
      <c r="J69" s="1"/>
    </row>
    <row r="70" spans="1:10" x14ac:dyDescent="0.25">
      <c r="A70" s="32"/>
      <c r="B70" s="32">
        <v>56</v>
      </c>
      <c r="C70" s="33"/>
      <c r="D70" s="33"/>
      <c r="E70" s="34" t="str">
        <f t="shared" si="0"/>
        <v/>
      </c>
      <c r="F70" s="35" t="str">
        <f t="shared" si="1"/>
        <v/>
      </c>
      <c r="G70" s="35" t="str">
        <f t="shared" si="2"/>
        <v/>
      </c>
      <c r="H70" s="36" t="str">
        <f t="shared" si="3"/>
        <v/>
      </c>
      <c r="I70" s="36" t="str">
        <f t="shared" si="4"/>
        <v/>
      </c>
      <c r="J70" s="1"/>
    </row>
    <row r="71" spans="1:10" x14ac:dyDescent="0.25">
      <c r="A71" s="32"/>
      <c r="B71" s="32">
        <v>57</v>
      </c>
      <c r="C71" s="33"/>
      <c r="D71" s="33"/>
      <c r="E71" s="34" t="str">
        <f t="shared" si="0"/>
        <v/>
      </c>
      <c r="F71" s="35" t="str">
        <f t="shared" si="1"/>
        <v/>
      </c>
      <c r="G71" s="35" t="str">
        <f t="shared" si="2"/>
        <v/>
      </c>
      <c r="H71" s="36" t="str">
        <f t="shared" si="3"/>
        <v/>
      </c>
      <c r="I71" s="36" t="str">
        <f t="shared" si="4"/>
        <v/>
      </c>
      <c r="J71" s="1"/>
    </row>
    <row r="72" spans="1:10" x14ac:dyDescent="0.25">
      <c r="A72" s="32"/>
      <c r="B72" s="32">
        <v>58</v>
      </c>
      <c r="C72" s="33"/>
      <c r="D72" s="33"/>
      <c r="E72" s="34" t="str">
        <f t="shared" si="0"/>
        <v/>
      </c>
      <c r="F72" s="35" t="str">
        <f t="shared" si="1"/>
        <v/>
      </c>
      <c r="G72" s="35" t="str">
        <f t="shared" si="2"/>
        <v/>
      </c>
      <c r="H72" s="36" t="str">
        <f t="shared" si="3"/>
        <v/>
      </c>
      <c r="I72" s="36" t="str">
        <f t="shared" si="4"/>
        <v/>
      </c>
      <c r="J72" s="1"/>
    </row>
    <row r="73" spans="1:10" x14ac:dyDescent="0.25">
      <c r="A73" s="32"/>
      <c r="B73" s="32">
        <v>59</v>
      </c>
      <c r="C73" s="33"/>
      <c r="D73" s="33"/>
      <c r="E73" s="34" t="str">
        <f t="shared" si="0"/>
        <v/>
      </c>
      <c r="F73" s="35" t="str">
        <f t="shared" si="1"/>
        <v/>
      </c>
      <c r="G73" s="35" t="str">
        <f t="shared" si="2"/>
        <v/>
      </c>
      <c r="H73" s="36" t="str">
        <f t="shared" si="3"/>
        <v/>
      </c>
      <c r="I73" s="36" t="str">
        <f t="shared" si="4"/>
        <v/>
      </c>
      <c r="J73" s="1"/>
    </row>
    <row r="74" spans="1:10" x14ac:dyDescent="0.25">
      <c r="A74" s="32"/>
      <c r="B74" s="32">
        <v>60</v>
      </c>
      <c r="C74" s="33"/>
      <c r="D74" s="33"/>
      <c r="E74" s="34" t="str">
        <f t="shared" si="0"/>
        <v/>
      </c>
      <c r="F74" s="35" t="str">
        <f t="shared" si="1"/>
        <v/>
      </c>
      <c r="G74" s="35" t="str">
        <f t="shared" si="2"/>
        <v/>
      </c>
      <c r="H74" s="36" t="str">
        <f t="shared" si="3"/>
        <v/>
      </c>
      <c r="I74" s="36" t="str">
        <f t="shared" si="4"/>
        <v/>
      </c>
      <c r="J74" s="1"/>
    </row>
    <row r="75" spans="1:10" x14ac:dyDescent="0.25">
      <c r="A75" s="32"/>
      <c r="B75" s="32">
        <v>61</v>
      </c>
      <c r="C75" s="33"/>
      <c r="D75" s="33"/>
      <c r="E75" s="34" t="str">
        <f t="shared" si="0"/>
        <v/>
      </c>
      <c r="F75" s="35" t="str">
        <f t="shared" si="1"/>
        <v/>
      </c>
      <c r="G75" s="35" t="str">
        <f t="shared" si="2"/>
        <v/>
      </c>
      <c r="H75" s="36" t="str">
        <f t="shared" si="3"/>
        <v/>
      </c>
      <c r="I75" s="36" t="str">
        <f t="shared" si="4"/>
        <v/>
      </c>
      <c r="J75" s="1"/>
    </row>
    <row r="76" spans="1:10" x14ac:dyDescent="0.25">
      <c r="A76" s="32"/>
      <c r="B76" s="32">
        <v>62</v>
      </c>
      <c r="C76" s="33"/>
      <c r="D76" s="33"/>
      <c r="E76" s="34" t="str">
        <f t="shared" si="0"/>
        <v/>
      </c>
      <c r="F76" s="35" t="str">
        <f t="shared" si="1"/>
        <v/>
      </c>
      <c r="G76" s="35" t="str">
        <f t="shared" si="2"/>
        <v/>
      </c>
      <c r="H76" s="36" t="str">
        <f t="shared" si="3"/>
        <v/>
      </c>
      <c r="I76" s="36" t="str">
        <f t="shared" si="4"/>
        <v/>
      </c>
      <c r="J76" s="1"/>
    </row>
    <row r="77" spans="1:10" x14ac:dyDescent="0.25">
      <c r="A77" s="32"/>
      <c r="B77" s="32">
        <v>63</v>
      </c>
      <c r="C77" s="33"/>
      <c r="D77" s="33"/>
      <c r="E77" s="34" t="str">
        <f t="shared" si="0"/>
        <v/>
      </c>
      <c r="F77" s="35" t="str">
        <f t="shared" si="1"/>
        <v/>
      </c>
      <c r="G77" s="35" t="str">
        <f t="shared" si="2"/>
        <v/>
      </c>
      <c r="H77" s="36" t="str">
        <f t="shared" si="3"/>
        <v/>
      </c>
      <c r="I77" s="36" t="str">
        <f t="shared" si="4"/>
        <v/>
      </c>
      <c r="J77" s="1"/>
    </row>
    <row r="78" spans="1:10" x14ac:dyDescent="0.25">
      <c r="A78" s="32"/>
      <c r="B78" s="32">
        <v>64</v>
      </c>
      <c r="C78" s="37"/>
      <c r="D78" s="37"/>
      <c r="E78" s="34" t="str">
        <f t="shared" si="0"/>
        <v/>
      </c>
      <c r="F78" s="35" t="str">
        <f t="shared" si="1"/>
        <v/>
      </c>
      <c r="G78" s="35" t="str">
        <f t="shared" si="2"/>
        <v/>
      </c>
      <c r="H78" s="36" t="str">
        <f t="shared" si="3"/>
        <v/>
      </c>
      <c r="I78" s="36" t="str">
        <f t="shared" si="4"/>
        <v/>
      </c>
      <c r="J78" s="1"/>
    </row>
    <row r="79" spans="1:10" x14ac:dyDescent="0.25">
      <c r="A79" s="32"/>
      <c r="B79" s="32">
        <v>65</v>
      </c>
      <c r="C79" s="37"/>
      <c r="D79" s="37"/>
      <c r="E79" s="34" t="str">
        <f t="shared" ref="E79:E142" si="5">IF(C79="","",2*(D79-D78)/((C79-C78)/1000))</f>
        <v/>
      </c>
      <c r="F79" s="35" t="str">
        <f t="shared" ref="F79:F142" si="6">IF(C79="","",F$7+(F$9/F$10)*(EXP(F$10*(C79-F$8)/2000)-1))</f>
        <v/>
      </c>
      <c r="G79" s="35" t="str">
        <f t="shared" ref="G79:G142" si="7">IF(E79="","",F$9+(F79-F$7)*F$10)</f>
        <v/>
      </c>
      <c r="H79" s="36" t="str">
        <f t="shared" ref="H79:H142" si="8">IF(F79="","",F79-D79)</f>
        <v/>
      </c>
      <c r="I79" s="36" t="str">
        <f t="shared" ref="I79:I142" si="9">IF(H79="","",H79^2)</f>
        <v/>
      </c>
      <c r="J79" s="1"/>
    </row>
    <row r="80" spans="1:10" x14ac:dyDescent="0.25">
      <c r="A80" s="32"/>
      <c r="B80" s="32">
        <v>66</v>
      </c>
      <c r="C80" s="37"/>
      <c r="D80" s="37"/>
      <c r="E80" s="34" t="str">
        <f t="shared" si="5"/>
        <v/>
      </c>
      <c r="F80" s="35" t="str">
        <f t="shared" si="6"/>
        <v/>
      </c>
      <c r="G80" s="35" t="str">
        <f t="shared" si="7"/>
        <v/>
      </c>
      <c r="H80" s="36" t="str">
        <f t="shared" si="8"/>
        <v/>
      </c>
      <c r="I80" s="36" t="str">
        <f t="shared" si="9"/>
        <v/>
      </c>
      <c r="J80" s="1"/>
    </row>
    <row r="81" spans="1:22" x14ac:dyDescent="0.25">
      <c r="A81" s="32"/>
      <c r="B81" s="32">
        <v>67</v>
      </c>
      <c r="C81" s="37"/>
      <c r="D81" s="37"/>
      <c r="E81" s="34" t="str">
        <f t="shared" si="5"/>
        <v/>
      </c>
      <c r="F81" s="35" t="str">
        <f t="shared" si="6"/>
        <v/>
      </c>
      <c r="G81" s="35" t="str">
        <f t="shared" si="7"/>
        <v/>
      </c>
      <c r="H81" s="36" t="str">
        <f t="shared" si="8"/>
        <v/>
      </c>
      <c r="I81" s="36" t="str">
        <f t="shared" si="9"/>
        <v/>
      </c>
      <c r="J81" s="1"/>
    </row>
    <row r="82" spans="1:22" x14ac:dyDescent="0.25">
      <c r="A82" s="32"/>
      <c r="B82" s="32">
        <v>68</v>
      </c>
      <c r="C82" s="37"/>
      <c r="D82" s="37"/>
      <c r="E82" s="34" t="str">
        <f t="shared" si="5"/>
        <v/>
      </c>
      <c r="F82" s="35" t="str">
        <f t="shared" si="6"/>
        <v/>
      </c>
      <c r="G82" s="35" t="str">
        <f t="shared" si="7"/>
        <v/>
      </c>
      <c r="H82" s="36" t="str">
        <f t="shared" si="8"/>
        <v/>
      </c>
      <c r="I82" s="36" t="str">
        <f t="shared" si="9"/>
        <v/>
      </c>
      <c r="J82" s="1"/>
    </row>
    <row r="83" spans="1:22" x14ac:dyDescent="0.25">
      <c r="A83" s="32"/>
      <c r="B83" s="32">
        <v>69</v>
      </c>
      <c r="C83" s="37"/>
      <c r="D83" s="37"/>
      <c r="E83" s="34" t="str">
        <f t="shared" si="5"/>
        <v/>
      </c>
      <c r="F83" s="35" t="str">
        <f t="shared" si="6"/>
        <v/>
      </c>
      <c r="G83" s="35" t="str">
        <f t="shared" si="7"/>
        <v/>
      </c>
      <c r="H83" s="36" t="str">
        <f t="shared" si="8"/>
        <v/>
      </c>
      <c r="I83" s="36" t="str">
        <f t="shared" si="9"/>
        <v/>
      </c>
      <c r="J83" s="1"/>
    </row>
    <row r="84" spans="1:22" x14ac:dyDescent="0.25">
      <c r="A84" s="32"/>
      <c r="B84" s="32">
        <v>70</v>
      </c>
      <c r="C84" s="37"/>
      <c r="D84" s="37"/>
      <c r="E84" s="34" t="str">
        <f t="shared" si="5"/>
        <v/>
      </c>
      <c r="F84" s="35" t="str">
        <f t="shared" si="6"/>
        <v/>
      </c>
      <c r="G84" s="35" t="str">
        <f t="shared" si="7"/>
        <v/>
      </c>
      <c r="H84" s="36" t="str">
        <f t="shared" si="8"/>
        <v/>
      </c>
      <c r="I84" s="36" t="str">
        <f t="shared" si="9"/>
        <v/>
      </c>
      <c r="J84" s="1"/>
    </row>
    <row r="85" spans="1:22" x14ac:dyDescent="0.25">
      <c r="A85" s="32"/>
      <c r="B85" s="32">
        <v>71</v>
      </c>
      <c r="C85" s="37"/>
      <c r="D85" s="37"/>
      <c r="E85" s="34" t="str">
        <f t="shared" si="5"/>
        <v/>
      </c>
      <c r="F85" s="35" t="str">
        <f t="shared" si="6"/>
        <v/>
      </c>
      <c r="G85" s="35" t="str">
        <f t="shared" si="7"/>
        <v/>
      </c>
      <c r="H85" s="36" t="str">
        <f t="shared" si="8"/>
        <v/>
      </c>
      <c r="I85" s="36" t="str">
        <f t="shared" si="9"/>
        <v/>
      </c>
      <c r="J85" s="1"/>
    </row>
    <row r="86" spans="1:22" x14ac:dyDescent="0.25">
      <c r="A86" s="32"/>
      <c r="B86" s="32">
        <v>72</v>
      </c>
      <c r="C86" s="37"/>
      <c r="D86" s="37"/>
      <c r="E86" s="34" t="str">
        <f t="shared" si="5"/>
        <v/>
      </c>
      <c r="F86" s="35" t="str">
        <f t="shared" si="6"/>
        <v/>
      </c>
      <c r="G86" s="35" t="str">
        <f t="shared" si="7"/>
        <v/>
      </c>
      <c r="H86" s="36" t="str">
        <f t="shared" si="8"/>
        <v/>
      </c>
      <c r="I86" s="36" t="str">
        <f t="shared" si="9"/>
        <v/>
      </c>
      <c r="J86" s="1"/>
    </row>
    <row r="87" spans="1:22" x14ac:dyDescent="0.25">
      <c r="A87" s="32"/>
      <c r="B87" s="32">
        <v>73</v>
      </c>
      <c r="C87" s="37"/>
      <c r="D87" s="37"/>
      <c r="E87" s="34" t="str">
        <f t="shared" si="5"/>
        <v/>
      </c>
      <c r="F87" s="35" t="str">
        <f t="shared" si="6"/>
        <v/>
      </c>
      <c r="G87" s="35" t="str">
        <f t="shared" si="7"/>
        <v/>
      </c>
      <c r="H87" s="36" t="str">
        <f t="shared" si="8"/>
        <v/>
      </c>
      <c r="I87" s="36" t="str">
        <f t="shared" si="9"/>
        <v/>
      </c>
      <c r="J87" s="1"/>
    </row>
    <row r="88" spans="1:22" x14ac:dyDescent="0.25">
      <c r="A88" s="32"/>
      <c r="B88" s="32">
        <v>74</v>
      </c>
      <c r="C88" s="37"/>
      <c r="D88" s="37"/>
      <c r="E88" s="34" t="str">
        <f t="shared" si="5"/>
        <v/>
      </c>
      <c r="F88" s="35" t="str">
        <f t="shared" si="6"/>
        <v/>
      </c>
      <c r="G88" s="35" t="str">
        <f t="shared" si="7"/>
        <v/>
      </c>
      <c r="H88" s="36" t="str">
        <f t="shared" si="8"/>
        <v/>
      </c>
      <c r="I88" s="36" t="str">
        <f t="shared" si="9"/>
        <v/>
      </c>
      <c r="J88" s="1"/>
    </row>
    <row r="89" spans="1:22" x14ac:dyDescent="0.25">
      <c r="A89" s="32"/>
      <c r="B89" s="32">
        <v>75</v>
      </c>
      <c r="C89" s="37"/>
      <c r="D89" s="37"/>
      <c r="E89" s="34" t="str">
        <f t="shared" si="5"/>
        <v/>
      </c>
      <c r="F89" s="35" t="str">
        <f t="shared" si="6"/>
        <v/>
      </c>
      <c r="G89" s="35" t="str">
        <f t="shared" si="7"/>
        <v/>
      </c>
      <c r="H89" s="36" t="str">
        <f t="shared" si="8"/>
        <v/>
      </c>
      <c r="I89" s="36" t="str">
        <f t="shared" si="9"/>
        <v/>
      </c>
      <c r="J89" s="1"/>
    </row>
    <row r="90" spans="1:22" x14ac:dyDescent="0.25">
      <c r="A90" s="32"/>
      <c r="B90" s="32">
        <v>76</v>
      </c>
      <c r="C90" s="37"/>
      <c r="D90" s="37"/>
      <c r="E90" s="34" t="str">
        <f t="shared" si="5"/>
        <v/>
      </c>
      <c r="F90" s="35" t="str">
        <f t="shared" si="6"/>
        <v/>
      </c>
      <c r="G90" s="35" t="str">
        <f t="shared" si="7"/>
        <v/>
      </c>
      <c r="H90" s="36" t="str">
        <f t="shared" si="8"/>
        <v/>
      </c>
      <c r="I90" s="36" t="str">
        <f t="shared" si="9"/>
        <v/>
      </c>
      <c r="J90" s="1"/>
    </row>
    <row r="91" spans="1:22" x14ac:dyDescent="0.25">
      <c r="A91" s="32"/>
      <c r="B91" s="32">
        <v>77</v>
      </c>
      <c r="C91" s="37"/>
      <c r="D91" s="37"/>
      <c r="E91" s="34" t="str">
        <f t="shared" si="5"/>
        <v/>
      </c>
      <c r="F91" s="35" t="str">
        <f t="shared" si="6"/>
        <v/>
      </c>
      <c r="G91" s="35" t="str">
        <f t="shared" si="7"/>
        <v/>
      </c>
      <c r="H91" s="36" t="str">
        <f t="shared" si="8"/>
        <v/>
      </c>
      <c r="I91" s="36" t="str">
        <f t="shared" si="9"/>
        <v/>
      </c>
      <c r="J91" s="1"/>
      <c r="M91" s="38"/>
    </row>
    <row r="92" spans="1:22" x14ac:dyDescent="0.25">
      <c r="A92" s="32"/>
      <c r="B92" s="32">
        <v>78</v>
      </c>
      <c r="C92" s="37"/>
      <c r="D92" s="37"/>
      <c r="E92" s="34" t="str">
        <f t="shared" si="5"/>
        <v/>
      </c>
      <c r="F92" s="35" t="str">
        <f t="shared" si="6"/>
        <v/>
      </c>
      <c r="G92" s="35" t="str">
        <f t="shared" si="7"/>
        <v/>
      </c>
      <c r="H92" s="36" t="str">
        <f t="shared" si="8"/>
        <v/>
      </c>
      <c r="I92" s="36" t="str">
        <f t="shared" si="9"/>
        <v/>
      </c>
      <c r="J92" s="1"/>
    </row>
    <row r="93" spans="1:22" x14ac:dyDescent="0.25">
      <c r="A93" s="32"/>
      <c r="B93" s="32">
        <v>79</v>
      </c>
      <c r="C93" s="37"/>
      <c r="D93" s="37"/>
      <c r="E93" s="34" t="str">
        <f t="shared" si="5"/>
        <v/>
      </c>
      <c r="F93" s="35" t="str">
        <f t="shared" si="6"/>
        <v/>
      </c>
      <c r="G93" s="35" t="str">
        <f t="shared" si="7"/>
        <v/>
      </c>
      <c r="H93" s="36" t="str">
        <f t="shared" si="8"/>
        <v/>
      </c>
      <c r="I93" s="36" t="str">
        <f t="shared" si="9"/>
        <v/>
      </c>
      <c r="J93" s="1"/>
    </row>
    <row r="94" spans="1:22" x14ac:dyDescent="0.25">
      <c r="A94" s="32"/>
      <c r="B94" s="32">
        <v>80</v>
      </c>
      <c r="C94" s="37"/>
      <c r="D94" s="37"/>
      <c r="E94" s="34" t="str">
        <f t="shared" si="5"/>
        <v/>
      </c>
      <c r="F94" s="35" t="str">
        <f t="shared" si="6"/>
        <v/>
      </c>
      <c r="G94" s="35" t="str">
        <f t="shared" si="7"/>
        <v/>
      </c>
      <c r="H94" s="36" t="str">
        <f t="shared" si="8"/>
        <v/>
      </c>
      <c r="I94" s="36" t="str">
        <f t="shared" si="9"/>
        <v/>
      </c>
      <c r="J94" s="1"/>
    </row>
    <row r="95" spans="1:22" x14ac:dyDescent="0.25">
      <c r="A95" s="32"/>
      <c r="B95" s="32">
        <v>81</v>
      </c>
      <c r="C95" s="37"/>
      <c r="D95" s="37"/>
      <c r="E95" s="34" t="str">
        <f t="shared" si="5"/>
        <v/>
      </c>
      <c r="F95" s="35" t="str">
        <f t="shared" si="6"/>
        <v/>
      </c>
      <c r="G95" s="35" t="str">
        <f t="shared" si="7"/>
        <v/>
      </c>
      <c r="H95" s="36" t="str">
        <f t="shared" si="8"/>
        <v/>
      </c>
      <c r="I95" s="36" t="str">
        <f t="shared" si="9"/>
        <v/>
      </c>
      <c r="J95" s="1"/>
      <c r="N95" s="39"/>
      <c r="O95" s="39"/>
      <c r="P95" s="39"/>
      <c r="Q95" s="39"/>
      <c r="R95" s="39"/>
      <c r="S95" s="39"/>
      <c r="T95" s="39"/>
      <c r="U95" s="39"/>
      <c r="V95" s="39"/>
    </row>
    <row r="96" spans="1:22" x14ac:dyDescent="0.25">
      <c r="A96" s="32"/>
      <c r="B96" s="32">
        <v>82</v>
      </c>
      <c r="C96" s="37"/>
      <c r="D96" s="37"/>
      <c r="E96" s="34" t="str">
        <f t="shared" si="5"/>
        <v/>
      </c>
      <c r="F96" s="35" t="str">
        <f t="shared" si="6"/>
        <v/>
      </c>
      <c r="G96" s="35" t="str">
        <f t="shared" si="7"/>
        <v/>
      </c>
      <c r="H96" s="36" t="str">
        <f t="shared" si="8"/>
        <v/>
      </c>
      <c r="I96" s="36" t="str">
        <f t="shared" si="9"/>
        <v/>
      </c>
      <c r="J96" s="1"/>
      <c r="N96" s="39"/>
      <c r="O96" s="39"/>
      <c r="P96" s="39"/>
      <c r="Q96" s="39"/>
      <c r="R96" s="39"/>
      <c r="S96" s="39"/>
      <c r="T96" s="39"/>
      <c r="U96" s="39"/>
      <c r="V96" s="39"/>
    </row>
    <row r="97" spans="1:10" x14ac:dyDescent="0.25">
      <c r="A97" s="32"/>
      <c r="B97" s="32">
        <v>83</v>
      </c>
      <c r="C97" s="37"/>
      <c r="D97" s="37"/>
      <c r="E97" s="34" t="str">
        <f t="shared" si="5"/>
        <v/>
      </c>
      <c r="F97" s="35" t="str">
        <f t="shared" si="6"/>
        <v/>
      </c>
      <c r="G97" s="35" t="str">
        <f t="shared" si="7"/>
        <v/>
      </c>
      <c r="H97" s="36" t="str">
        <f t="shared" si="8"/>
        <v/>
      </c>
      <c r="I97" s="36" t="str">
        <f t="shared" si="9"/>
        <v/>
      </c>
      <c r="J97" s="1"/>
    </row>
    <row r="98" spans="1:10" x14ac:dyDescent="0.25">
      <c r="A98" s="32"/>
      <c r="B98" s="32">
        <v>84</v>
      </c>
      <c r="C98" s="37"/>
      <c r="D98" s="37"/>
      <c r="E98" s="34" t="str">
        <f t="shared" si="5"/>
        <v/>
      </c>
      <c r="F98" s="35" t="str">
        <f t="shared" si="6"/>
        <v/>
      </c>
      <c r="G98" s="35" t="str">
        <f t="shared" si="7"/>
        <v/>
      </c>
      <c r="H98" s="36" t="str">
        <f t="shared" si="8"/>
        <v/>
      </c>
      <c r="I98" s="36" t="str">
        <f t="shared" si="9"/>
        <v/>
      </c>
      <c r="J98" s="1"/>
    </row>
    <row r="99" spans="1:10" x14ac:dyDescent="0.25">
      <c r="A99" s="32"/>
      <c r="B99" s="32">
        <v>85</v>
      </c>
      <c r="C99" s="37"/>
      <c r="D99" s="37"/>
      <c r="E99" s="34" t="str">
        <f t="shared" si="5"/>
        <v/>
      </c>
      <c r="F99" s="35" t="str">
        <f t="shared" si="6"/>
        <v/>
      </c>
      <c r="G99" s="35" t="str">
        <f t="shared" si="7"/>
        <v/>
      </c>
      <c r="H99" s="36" t="str">
        <f t="shared" si="8"/>
        <v/>
      </c>
      <c r="I99" s="36" t="str">
        <f t="shared" si="9"/>
        <v/>
      </c>
      <c r="J99" s="1"/>
    </row>
    <row r="100" spans="1:10" x14ac:dyDescent="0.25">
      <c r="A100" s="32"/>
      <c r="B100" s="32">
        <v>86</v>
      </c>
      <c r="C100" s="37"/>
      <c r="D100" s="37"/>
      <c r="E100" s="34" t="str">
        <f t="shared" si="5"/>
        <v/>
      </c>
      <c r="F100" s="35" t="str">
        <f t="shared" si="6"/>
        <v/>
      </c>
      <c r="G100" s="35" t="str">
        <f t="shared" si="7"/>
        <v/>
      </c>
      <c r="H100" s="36" t="str">
        <f t="shared" si="8"/>
        <v/>
      </c>
      <c r="I100" s="36" t="str">
        <f t="shared" si="9"/>
        <v/>
      </c>
      <c r="J100" s="1"/>
    </row>
    <row r="101" spans="1:10" x14ac:dyDescent="0.25">
      <c r="A101" s="32"/>
      <c r="B101" s="32">
        <v>87</v>
      </c>
      <c r="C101" s="37"/>
      <c r="D101" s="37"/>
      <c r="E101" s="34" t="str">
        <f t="shared" si="5"/>
        <v/>
      </c>
      <c r="F101" s="35" t="str">
        <f t="shared" si="6"/>
        <v/>
      </c>
      <c r="G101" s="35" t="str">
        <f t="shared" si="7"/>
        <v/>
      </c>
      <c r="H101" s="36" t="str">
        <f t="shared" si="8"/>
        <v/>
      </c>
      <c r="I101" s="36" t="str">
        <f t="shared" si="9"/>
        <v/>
      </c>
      <c r="J101" s="1"/>
    </row>
    <row r="102" spans="1:10" x14ac:dyDescent="0.25">
      <c r="A102" s="32"/>
      <c r="B102" s="32">
        <v>88</v>
      </c>
      <c r="C102" s="37"/>
      <c r="D102" s="37"/>
      <c r="E102" s="34" t="str">
        <f t="shared" si="5"/>
        <v/>
      </c>
      <c r="F102" s="35" t="str">
        <f t="shared" si="6"/>
        <v/>
      </c>
      <c r="G102" s="35" t="str">
        <f t="shared" si="7"/>
        <v/>
      </c>
      <c r="H102" s="36" t="str">
        <f t="shared" si="8"/>
        <v/>
      </c>
      <c r="I102" s="36" t="str">
        <f t="shared" si="9"/>
        <v/>
      </c>
      <c r="J102" s="1"/>
    </row>
    <row r="103" spans="1:10" x14ac:dyDescent="0.25">
      <c r="A103" s="32"/>
      <c r="B103" s="32">
        <v>89</v>
      </c>
      <c r="C103" s="37"/>
      <c r="D103" s="37"/>
      <c r="E103" s="34" t="str">
        <f t="shared" si="5"/>
        <v/>
      </c>
      <c r="F103" s="35" t="str">
        <f t="shared" si="6"/>
        <v/>
      </c>
      <c r="G103" s="35" t="str">
        <f t="shared" si="7"/>
        <v/>
      </c>
      <c r="H103" s="36" t="str">
        <f t="shared" si="8"/>
        <v/>
      </c>
      <c r="I103" s="36" t="str">
        <f t="shared" si="9"/>
        <v/>
      </c>
      <c r="J103" s="1"/>
    </row>
    <row r="104" spans="1:10" x14ac:dyDescent="0.25">
      <c r="A104" s="32"/>
      <c r="B104" s="32">
        <v>90</v>
      </c>
      <c r="C104" s="37"/>
      <c r="D104" s="37"/>
      <c r="E104" s="34" t="str">
        <f t="shared" si="5"/>
        <v/>
      </c>
      <c r="F104" s="35" t="str">
        <f t="shared" si="6"/>
        <v/>
      </c>
      <c r="G104" s="35" t="str">
        <f t="shared" si="7"/>
        <v/>
      </c>
      <c r="H104" s="36" t="str">
        <f t="shared" si="8"/>
        <v/>
      </c>
      <c r="I104" s="36" t="str">
        <f t="shared" si="9"/>
        <v/>
      </c>
      <c r="J104" s="1"/>
    </row>
    <row r="105" spans="1:10" x14ac:dyDescent="0.25">
      <c r="A105" s="32"/>
      <c r="B105" s="32">
        <v>91</v>
      </c>
      <c r="C105" s="37"/>
      <c r="D105" s="37"/>
      <c r="E105" s="34" t="str">
        <f t="shared" si="5"/>
        <v/>
      </c>
      <c r="F105" s="35" t="str">
        <f t="shared" si="6"/>
        <v/>
      </c>
      <c r="G105" s="35" t="str">
        <f t="shared" si="7"/>
        <v/>
      </c>
      <c r="H105" s="36" t="str">
        <f t="shared" si="8"/>
        <v/>
      </c>
      <c r="I105" s="36" t="str">
        <f t="shared" si="9"/>
        <v/>
      </c>
      <c r="J105" s="1"/>
    </row>
    <row r="106" spans="1:10" x14ac:dyDescent="0.25">
      <c r="A106" s="32"/>
      <c r="B106" s="32">
        <v>92</v>
      </c>
      <c r="C106" s="37"/>
      <c r="D106" s="37"/>
      <c r="E106" s="34" t="str">
        <f t="shared" si="5"/>
        <v/>
      </c>
      <c r="F106" s="35" t="str">
        <f t="shared" si="6"/>
        <v/>
      </c>
      <c r="G106" s="35" t="str">
        <f t="shared" si="7"/>
        <v/>
      </c>
      <c r="H106" s="36" t="str">
        <f t="shared" si="8"/>
        <v/>
      </c>
      <c r="I106" s="36" t="str">
        <f t="shared" si="9"/>
        <v/>
      </c>
      <c r="J106" s="1"/>
    </row>
    <row r="107" spans="1:10" x14ac:dyDescent="0.25">
      <c r="A107" s="32"/>
      <c r="B107" s="32">
        <v>93</v>
      </c>
      <c r="C107" s="37"/>
      <c r="D107" s="37"/>
      <c r="E107" s="34" t="str">
        <f t="shared" si="5"/>
        <v/>
      </c>
      <c r="F107" s="35" t="str">
        <f t="shared" si="6"/>
        <v/>
      </c>
      <c r="G107" s="35" t="str">
        <f t="shared" si="7"/>
        <v/>
      </c>
      <c r="H107" s="36" t="str">
        <f t="shared" si="8"/>
        <v/>
      </c>
      <c r="I107" s="36" t="str">
        <f t="shared" si="9"/>
        <v/>
      </c>
      <c r="J107" s="1"/>
    </row>
    <row r="108" spans="1:10" x14ac:dyDescent="0.25">
      <c r="A108" s="32"/>
      <c r="B108" s="32">
        <v>94</v>
      </c>
      <c r="C108" s="37"/>
      <c r="D108" s="37"/>
      <c r="E108" s="34" t="str">
        <f t="shared" si="5"/>
        <v/>
      </c>
      <c r="F108" s="35" t="str">
        <f t="shared" si="6"/>
        <v/>
      </c>
      <c r="G108" s="35" t="str">
        <f t="shared" si="7"/>
        <v/>
      </c>
      <c r="H108" s="36" t="str">
        <f t="shared" si="8"/>
        <v/>
      </c>
      <c r="I108" s="36" t="str">
        <f t="shared" si="9"/>
        <v/>
      </c>
      <c r="J108" s="1"/>
    </row>
    <row r="109" spans="1:10" x14ac:dyDescent="0.25">
      <c r="A109" s="32"/>
      <c r="B109" s="32">
        <v>95</v>
      </c>
      <c r="C109" s="37"/>
      <c r="D109" s="37"/>
      <c r="E109" s="34" t="str">
        <f t="shared" si="5"/>
        <v/>
      </c>
      <c r="F109" s="35" t="str">
        <f t="shared" si="6"/>
        <v/>
      </c>
      <c r="G109" s="35" t="str">
        <f t="shared" si="7"/>
        <v/>
      </c>
      <c r="H109" s="36" t="str">
        <f t="shared" si="8"/>
        <v/>
      </c>
      <c r="I109" s="36" t="str">
        <f t="shared" si="9"/>
        <v/>
      </c>
      <c r="J109" s="1"/>
    </row>
    <row r="110" spans="1:10" x14ac:dyDescent="0.25">
      <c r="A110" s="32"/>
      <c r="B110" s="32">
        <v>96</v>
      </c>
      <c r="C110" s="37"/>
      <c r="D110" s="37"/>
      <c r="E110" s="34" t="str">
        <f t="shared" si="5"/>
        <v/>
      </c>
      <c r="F110" s="35" t="str">
        <f t="shared" si="6"/>
        <v/>
      </c>
      <c r="G110" s="35" t="str">
        <f t="shared" si="7"/>
        <v/>
      </c>
      <c r="H110" s="36" t="str">
        <f t="shared" si="8"/>
        <v/>
      </c>
      <c r="I110" s="36" t="str">
        <f t="shared" si="9"/>
        <v/>
      </c>
      <c r="J110" s="1"/>
    </row>
    <row r="111" spans="1:10" x14ac:dyDescent="0.25">
      <c r="A111" s="32"/>
      <c r="B111" s="32">
        <v>97</v>
      </c>
      <c r="C111" s="37"/>
      <c r="D111" s="37"/>
      <c r="E111" s="34" t="str">
        <f t="shared" si="5"/>
        <v/>
      </c>
      <c r="F111" s="35" t="str">
        <f t="shared" si="6"/>
        <v/>
      </c>
      <c r="G111" s="35" t="str">
        <f t="shared" si="7"/>
        <v/>
      </c>
      <c r="H111" s="36" t="str">
        <f t="shared" si="8"/>
        <v/>
      </c>
      <c r="I111" s="36" t="str">
        <f t="shared" si="9"/>
        <v/>
      </c>
      <c r="J111" s="1"/>
    </row>
    <row r="112" spans="1:10" x14ac:dyDescent="0.25">
      <c r="A112" s="32"/>
      <c r="B112" s="32">
        <v>98</v>
      </c>
      <c r="C112" s="37"/>
      <c r="D112" s="37"/>
      <c r="E112" s="34" t="str">
        <f t="shared" si="5"/>
        <v/>
      </c>
      <c r="F112" s="35" t="str">
        <f t="shared" si="6"/>
        <v/>
      </c>
      <c r="G112" s="35" t="str">
        <f t="shared" si="7"/>
        <v/>
      </c>
      <c r="H112" s="36" t="str">
        <f t="shared" si="8"/>
        <v/>
      </c>
      <c r="I112" s="36" t="str">
        <f t="shared" si="9"/>
        <v/>
      </c>
      <c r="J112" s="1"/>
    </row>
    <row r="113" spans="1:22" x14ac:dyDescent="0.25">
      <c r="A113" s="32"/>
      <c r="B113" s="32">
        <v>99</v>
      </c>
      <c r="C113" s="37"/>
      <c r="D113" s="37"/>
      <c r="E113" s="34" t="str">
        <f t="shared" si="5"/>
        <v/>
      </c>
      <c r="F113" s="35" t="str">
        <f t="shared" si="6"/>
        <v/>
      </c>
      <c r="G113" s="35" t="str">
        <f t="shared" si="7"/>
        <v/>
      </c>
      <c r="H113" s="36" t="str">
        <f t="shared" si="8"/>
        <v/>
      </c>
      <c r="I113" s="36" t="str">
        <f t="shared" si="9"/>
        <v/>
      </c>
      <c r="J113" s="1"/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:22" x14ac:dyDescent="0.25">
      <c r="A114" s="32"/>
      <c r="B114" s="32">
        <v>100</v>
      </c>
      <c r="C114" s="37"/>
      <c r="D114" s="37"/>
      <c r="E114" s="34" t="str">
        <f t="shared" si="5"/>
        <v/>
      </c>
      <c r="F114" s="35" t="str">
        <f t="shared" si="6"/>
        <v/>
      </c>
      <c r="G114" s="35" t="str">
        <f t="shared" si="7"/>
        <v/>
      </c>
      <c r="H114" s="36" t="str">
        <f t="shared" si="8"/>
        <v/>
      </c>
      <c r="I114" s="36" t="str">
        <f t="shared" si="9"/>
        <v/>
      </c>
      <c r="J114" s="1"/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:22" x14ac:dyDescent="0.25">
      <c r="A115" s="32"/>
      <c r="B115" s="32">
        <v>101</v>
      </c>
      <c r="C115" s="37"/>
      <c r="D115" s="37"/>
      <c r="E115" s="34" t="str">
        <f t="shared" si="5"/>
        <v/>
      </c>
      <c r="F115" s="35" t="str">
        <f t="shared" si="6"/>
        <v/>
      </c>
      <c r="G115" s="35" t="str">
        <f t="shared" si="7"/>
        <v/>
      </c>
      <c r="H115" s="36" t="str">
        <f t="shared" si="8"/>
        <v/>
      </c>
      <c r="I115" s="36" t="str">
        <f t="shared" si="9"/>
        <v/>
      </c>
      <c r="J115" s="1"/>
    </row>
    <row r="116" spans="1:22" x14ac:dyDescent="0.25">
      <c r="A116" s="32"/>
      <c r="B116" s="32">
        <v>102</v>
      </c>
      <c r="C116" s="37"/>
      <c r="D116" s="37"/>
      <c r="E116" s="34" t="str">
        <f t="shared" si="5"/>
        <v/>
      </c>
      <c r="F116" s="35" t="str">
        <f t="shared" si="6"/>
        <v/>
      </c>
      <c r="G116" s="35" t="str">
        <f t="shared" si="7"/>
        <v/>
      </c>
      <c r="H116" s="36" t="str">
        <f t="shared" si="8"/>
        <v/>
      </c>
      <c r="I116" s="36" t="str">
        <f t="shared" si="9"/>
        <v/>
      </c>
      <c r="J116" s="1"/>
    </row>
    <row r="117" spans="1:22" x14ac:dyDescent="0.25">
      <c r="A117" s="32"/>
      <c r="B117" s="32">
        <v>103</v>
      </c>
      <c r="C117" s="37"/>
      <c r="D117" s="37"/>
      <c r="E117" s="34" t="str">
        <f t="shared" si="5"/>
        <v/>
      </c>
      <c r="F117" s="35" t="str">
        <f t="shared" si="6"/>
        <v/>
      </c>
      <c r="G117" s="35" t="str">
        <f t="shared" si="7"/>
        <v/>
      </c>
      <c r="H117" s="36" t="str">
        <f t="shared" si="8"/>
        <v/>
      </c>
      <c r="I117" s="36" t="str">
        <f t="shared" si="9"/>
        <v/>
      </c>
      <c r="J117" s="1"/>
    </row>
    <row r="118" spans="1:22" x14ac:dyDescent="0.25">
      <c r="A118" s="32"/>
      <c r="B118" s="32">
        <v>104</v>
      </c>
      <c r="C118" s="37"/>
      <c r="D118" s="37"/>
      <c r="E118" s="34" t="str">
        <f t="shared" si="5"/>
        <v/>
      </c>
      <c r="F118" s="35" t="str">
        <f t="shared" si="6"/>
        <v/>
      </c>
      <c r="G118" s="35" t="str">
        <f t="shared" si="7"/>
        <v/>
      </c>
      <c r="H118" s="36" t="str">
        <f t="shared" si="8"/>
        <v/>
      </c>
      <c r="I118" s="36" t="str">
        <f t="shared" si="9"/>
        <v/>
      </c>
      <c r="J118" s="1"/>
    </row>
    <row r="119" spans="1:22" x14ac:dyDescent="0.25">
      <c r="A119" s="32"/>
      <c r="B119" s="32">
        <v>105</v>
      </c>
      <c r="C119" s="37"/>
      <c r="D119" s="37"/>
      <c r="E119" s="34" t="str">
        <f t="shared" si="5"/>
        <v/>
      </c>
      <c r="F119" s="35" t="str">
        <f t="shared" si="6"/>
        <v/>
      </c>
      <c r="G119" s="35" t="str">
        <f t="shared" si="7"/>
        <v/>
      </c>
      <c r="H119" s="36" t="str">
        <f t="shared" si="8"/>
        <v/>
      </c>
      <c r="I119" s="36" t="str">
        <f t="shared" si="9"/>
        <v/>
      </c>
      <c r="J119" s="1"/>
    </row>
    <row r="120" spans="1:22" x14ac:dyDescent="0.25">
      <c r="A120" s="32"/>
      <c r="B120" s="32">
        <v>106</v>
      </c>
      <c r="C120" s="37"/>
      <c r="D120" s="37"/>
      <c r="E120" s="34" t="str">
        <f t="shared" si="5"/>
        <v/>
      </c>
      <c r="F120" s="35" t="str">
        <f t="shared" si="6"/>
        <v/>
      </c>
      <c r="G120" s="35" t="str">
        <f t="shared" si="7"/>
        <v/>
      </c>
      <c r="H120" s="36" t="str">
        <f t="shared" si="8"/>
        <v/>
      </c>
      <c r="I120" s="36" t="str">
        <f t="shared" si="9"/>
        <v/>
      </c>
      <c r="J120" s="1"/>
    </row>
    <row r="121" spans="1:22" x14ac:dyDescent="0.25">
      <c r="A121" s="32"/>
      <c r="B121" s="32">
        <v>107</v>
      </c>
      <c r="C121" s="37"/>
      <c r="D121" s="37"/>
      <c r="E121" s="34" t="str">
        <f t="shared" si="5"/>
        <v/>
      </c>
      <c r="F121" s="35" t="str">
        <f t="shared" si="6"/>
        <v/>
      </c>
      <c r="G121" s="35" t="str">
        <f t="shared" si="7"/>
        <v/>
      </c>
      <c r="H121" s="36" t="str">
        <f t="shared" si="8"/>
        <v/>
      </c>
      <c r="I121" s="36" t="str">
        <f t="shared" si="9"/>
        <v/>
      </c>
      <c r="J121" s="1"/>
    </row>
    <row r="122" spans="1:22" x14ac:dyDescent="0.25">
      <c r="A122" s="32"/>
      <c r="B122" s="32">
        <v>108</v>
      </c>
      <c r="C122" s="37"/>
      <c r="D122" s="37"/>
      <c r="E122" s="34" t="str">
        <f t="shared" si="5"/>
        <v/>
      </c>
      <c r="F122" s="35" t="str">
        <f t="shared" si="6"/>
        <v/>
      </c>
      <c r="G122" s="35" t="str">
        <f t="shared" si="7"/>
        <v/>
      </c>
      <c r="H122" s="36" t="str">
        <f t="shared" si="8"/>
        <v/>
      </c>
      <c r="I122" s="36" t="str">
        <f t="shared" si="9"/>
        <v/>
      </c>
      <c r="J122" s="1"/>
    </row>
    <row r="123" spans="1:22" x14ac:dyDescent="0.25">
      <c r="A123" s="32"/>
      <c r="B123" s="32">
        <v>109</v>
      </c>
      <c r="C123" s="37"/>
      <c r="D123" s="37"/>
      <c r="E123" s="34" t="str">
        <f t="shared" si="5"/>
        <v/>
      </c>
      <c r="F123" s="35" t="str">
        <f t="shared" si="6"/>
        <v/>
      </c>
      <c r="G123" s="35" t="str">
        <f t="shared" si="7"/>
        <v/>
      </c>
      <c r="H123" s="36" t="str">
        <f t="shared" si="8"/>
        <v/>
      </c>
      <c r="I123" s="36" t="str">
        <f t="shared" si="9"/>
        <v/>
      </c>
      <c r="J123" s="1"/>
    </row>
    <row r="124" spans="1:22" x14ac:dyDescent="0.25">
      <c r="A124" s="32"/>
      <c r="B124" s="32">
        <v>110</v>
      </c>
      <c r="C124" s="37"/>
      <c r="D124" s="37"/>
      <c r="E124" s="34" t="str">
        <f t="shared" si="5"/>
        <v/>
      </c>
      <c r="F124" s="35" t="str">
        <f t="shared" si="6"/>
        <v/>
      </c>
      <c r="G124" s="35" t="str">
        <f t="shared" si="7"/>
        <v/>
      </c>
      <c r="H124" s="36" t="str">
        <f t="shared" si="8"/>
        <v/>
      </c>
      <c r="I124" s="36" t="str">
        <f t="shared" si="9"/>
        <v/>
      </c>
      <c r="J124" s="1"/>
    </row>
    <row r="125" spans="1:22" x14ac:dyDescent="0.25">
      <c r="A125" s="32"/>
      <c r="B125" s="32">
        <v>111</v>
      </c>
      <c r="C125" s="40"/>
      <c r="D125" s="40"/>
      <c r="E125" s="34" t="str">
        <f t="shared" si="5"/>
        <v/>
      </c>
      <c r="F125" s="35" t="str">
        <f t="shared" si="6"/>
        <v/>
      </c>
      <c r="G125" s="35" t="str">
        <f t="shared" si="7"/>
        <v/>
      </c>
      <c r="H125" s="36" t="str">
        <f t="shared" si="8"/>
        <v/>
      </c>
      <c r="I125" s="36" t="str">
        <f t="shared" si="9"/>
        <v/>
      </c>
      <c r="J125" s="1"/>
    </row>
    <row r="126" spans="1:22" x14ac:dyDescent="0.25">
      <c r="A126" s="32"/>
      <c r="B126" s="32">
        <v>112</v>
      </c>
      <c r="C126" s="40"/>
      <c r="D126" s="40"/>
      <c r="E126" s="34" t="str">
        <f t="shared" si="5"/>
        <v/>
      </c>
      <c r="F126" s="35" t="str">
        <f t="shared" si="6"/>
        <v/>
      </c>
      <c r="G126" s="35" t="str">
        <f t="shared" si="7"/>
        <v/>
      </c>
      <c r="H126" s="36" t="str">
        <f t="shared" si="8"/>
        <v/>
      </c>
      <c r="I126" s="36" t="str">
        <f t="shared" si="9"/>
        <v/>
      </c>
      <c r="J126" s="1"/>
    </row>
    <row r="127" spans="1:22" x14ac:dyDescent="0.25">
      <c r="A127" s="32"/>
      <c r="B127" s="32">
        <v>113</v>
      </c>
      <c r="C127" s="40"/>
      <c r="D127" s="40"/>
      <c r="E127" s="34" t="str">
        <f t="shared" si="5"/>
        <v/>
      </c>
      <c r="F127" s="35" t="str">
        <f t="shared" si="6"/>
        <v/>
      </c>
      <c r="G127" s="35" t="str">
        <f t="shared" si="7"/>
        <v/>
      </c>
      <c r="H127" s="36" t="str">
        <f t="shared" si="8"/>
        <v/>
      </c>
      <c r="I127" s="36" t="str">
        <f t="shared" si="9"/>
        <v/>
      </c>
      <c r="J127" s="1"/>
    </row>
    <row r="128" spans="1:22" x14ac:dyDescent="0.25">
      <c r="A128" s="32"/>
      <c r="B128" s="32">
        <v>114</v>
      </c>
      <c r="C128" s="40"/>
      <c r="D128" s="40"/>
      <c r="E128" s="34" t="str">
        <f t="shared" si="5"/>
        <v/>
      </c>
      <c r="F128" s="35" t="str">
        <f t="shared" si="6"/>
        <v/>
      </c>
      <c r="G128" s="35" t="str">
        <f t="shared" si="7"/>
        <v/>
      </c>
      <c r="H128" s="36" t="str">
        <f t="shared" si="8"/>
        <v/>
      </c>
      <c r="I128" s="36" t="str">
        <f t="shared" si="9"/>
        <v/>
      </c>
      <c r="J128" s="1"/>
    </row>
    <row r="129" spans="1:10" x14ac:dyDescent="0.25">
      <c r="A129" s="32"/>
      <c r="B129" s="32">
        <v>115</v>
      </c>
      <c r="C129" s="40"/>
      <c r="D129" s="40"/>
      <c r="E129" s="34" t="str">
        <f t="shared" si="5"/>
        <v/>
      </c>
      <c r="F129" s="35" t="str">
        <f t="shared" si="6"/>
        <v/>
      </c>
      <c r="G129" s="35" t="str">
        <f t="shared" si="7"/>
        <v/>
      </c>
      <c r="H129" s="36" t="str">
        <f t="shared" si="8"/>
        <v/>
      </c>
      <c r="I129" s="36" t="str">
        <f t="shared" si="9"/>
        <v/>
      </c>
      <c r="J129" s="1"/>
    </row>
    <row r="130" spans="1:10" x14ac:dyDescent="0.25">
      <c r="A130" s="32"/>
      <c r="B130" s="32">
        <v>116</v>
      </c>
      <c r="C130" s="40"/>
      <c r="D130" s="40"/>
      <c r="E130" s="34" t="str">
        <f t="shared" si="5"/>
        <v/>
      </c>
      <c r="F130" s="35" t="str">
        <f t="shared" si="6"/>
        <v/>
      </c>
      <c r="G130" s="35" t="str">
        <f t="shared" si="7"/>
        <v/>
      </c>
      <c r="H130" s="36" t="str">
        <f t="shared" si="8"/>
        <v/>
      </c>
      <c r="I130" s="36" t="str">
        <f t="shared" si="9"/>
        <v/>
      </c>
      <c r="J130" s="1"/>
    </row>
    <row r="131" spans="1:10" x14ac:dyDescent="0.25">
      <c r="A131" s="32"/>
      <c r="B131" s="32">
        <v>117</v>
      </c>
      <c r="C131" s="40"/>
      <c r="D131" s="40"/>
      <c r="E131" s="34" t="str">
        <f t="shared" si="5"/>
        <v/>
      </c>
      <c r="F131" s="35" t="str">
        <f t="shared" si="6"/>
        <v/>
      </c>
      <c r="G131" s="35" t="str">
        <f t="shared" si="7"/>
        <v/>
      </c>
      <c r="H131" s="36" t="str">
        <f t="shared" si="8"/>
        <v/>
      </c>
      <c r="I131" s="36" t="str">
        <f t="shared" si="9"/>
        <v/>
      </c>
      <c r="J131" s="1"/>
    </row>
    <row r="132" spans="1:10" x14ac:dyDescent="0.25">
      <c r="A132" s="32"/>
      <c r="B132" s="32">
        <v>118</v>
      </c>
      <c r="C132" s="40"/>
      <c r="D132" s="40"/>
      <c r="E132" s="34" t="str">
        <f t="shared" si="5"/>
        <v/>
      </c>
      <c r="F132" s="35" t="str">
        <f t="shared" si="6"/>
        <v/>
      </c>
      <c r="G132" s="35" t="str">
        <f t="shared" si="7"/>
        <v/>
      </c>
      <c r="H132" s="36" t="str">
        <f t="shared" si="8"/>
        <v/>
      </c>
      <c r="I132" s="36" t="str">
        <f t="shared" si="9"/>
        <v/>
      </c>
      <c r="J132" s="1"/>
    </row>
    <row r="133" spans="1:10" x14ac:dyDescent="0.25">
      <c r="A133" s="32"/>
      <c r="B133" s="32">
        <v>119</v>
      </c>
      <c r="C133" s="40"/>
      <c r="D133" s="40"/>
      <c r="E133" s="34" t="str">
        <f t="shared" si="5"/>
        <v/>
      </c>
      <c r="F133" s="35" t="str">
        <f t="shared" si="6"/>
        <v/>
      </c>
      <c r="G133" s="35" t="str">
        <f t="shared" si="7"/>
        <v/>
      </c>
      <c r="H133" s="36" t="str">
        <f t="shared" si="8"/>
        <v/>
      </c>
      <c r="I133" s="36" t="str">
        <f t="shared" si="9"/>
        <v/>
      </c>
      <c r="J133" s="1"/>
    </row>
    <row r="134" spans="1:10" x14ac:dyDescent="0.25">
      <c r="A134" s="32"/>
      <c r="B134" s="32">
        <v>120</v>
      </c>
      <c r="C134" s="40"/>
      <c r="D134" s="40"/>
      <c r="E134" s="34" t="str">
        <f t="shared" si="5"/>
        <v/>
      </c>
      <c r="F134" s="35" t="str">
        <f t="shared" si="6"/>
        <v/>
      </c>
      <c r="G134" s="35" t="str">
        <f t="shared" si="7"/>
        <v/>
      </c>
      <c r="H134" s="36" t="str">
        <f t="shared" si="8"/>
        <v/>
      </c>
      <c r="I134" s="36" t="str">
        <f t="shared" si="9"/>
        <v/>
      </c>
      <c r="J134" s="1"/>
    </row>
    <row r="135" spans="1:10" x14ac:dyDescent="0.25">
      <c r="A135" s="32"/>
      <c r="B135" s="32">
        <v>121</v>
      </c>
      <c r="C135" s="40"/>
      <c r="D135" s="40"/>
      <c r="E135" s="34" t="str">
        <f t="shared" si="5"/>
        <v/>
      </c>
      <c r="F135" s="35" t="str">
        <f t="shared" si="6"/>
        <v/>
      </c>
      <c r="G135" s="35" t="str">
        <f t="shared" si="7"/>
        <v/>
      </c>
      <c r="H135" s="36" t="str">
        <f t="shared" si="8"/>
        <v/>
      </c>
      <c r="I135" s="36" t="str">
        <f t="shared" si="9"/>
        <v/>
      </c>
      <c r="J135" s="1"/>
    </row>
    <row r="136" spans="1:10" x14ac:dyDescent="0.25">
      <c r="A136" s="32"/>
      <c r="B136" s="32">
        <v>122</v>
      </c>
      <c r="C136" s="40"/>
      <c r="D136" s="40"/>
      <c r="E136" s="34" t="str">
        <f t="shared" si="5"/>
        <v/>
      </c>
      <c r="F136" s="35" t="str">
        <f t="shared" si="6"/>
        <v/>
      </c>
      <c r="G136" s="35" t="str">
        <f t="shared" si="7"/>
        <v/>
      </c>
      <c r="H136" s="36" t="str">
        <f t="shared" si="8"/>
        <v/>
      </c>
      <c r="I136" s="36" t="str">
        <f t="shared" si="9"/>
        <v/>
      </c>
      <c r="J136" s="1"/>
    </row>
    <row r="137" spans="1:10" x14ac:dyDescent="0.25">
      <c r="A137" s="32"/>
      <c r="B137" s="32">
        <v>123</v>
      </c>
      <c r="C137" s="40"/>
      <c r="D137" s="40"/>
      <c r="E137" s="34" t="str">
        <f t="shared" si="5"/>
        <v/>
      </c>
      <c r="F137" s="35" t="str">
        <f t="shared" si="6"/>
        <v/>
      </c>
      <c r="G137" s="35" t="str">
        <f t="shared" si="7"/>
        <v/>
      </c>
      <c r="H137" s="36" t="str">
        <f t="shared" si="8"/>
        <v/>
      </c>
      <c r="I137" s="36" t="str">
        <f t="shared" si="9"/>
        <v/>
      </c>
      <c r="J137" s="1"/>
    </row>
    <row r="138" spans="1:10" x14ac:dyDescent="0.25">
      <c r="A138" s="32"/>
      <c r="B138" s="32">
        <v>124</v>
      </c>
      <c r="C138" s="40"/>
      <c r="D138" s="40"/>
      <c r="E138" s="34" t="str">
        <f t="shared" si="5"/>
        <v/>
      </c>
      <c r="F138" s="35" t="str">
        <f t="shared" si="6"/>
        <v/>
      </c>
      <c r="G138" s="35" t="str">
        <f t="shared" si="7"/>
        <v/>
      </c>
      <c r="H138" s="36" t="str">
        <f t="shared" si="8"/>
        <v/>
      </c>
      <c r="I138" s="36" t="str">
        <f t="shared" si="9"/>
        <v/>
      </c>
      <c r="J138" s="1"/>
    </row>
    <row r="139" spans="1:10" x14ac:dyDescent="0.25">
      <c r="A139" s="32"/>
      <c r="B139" s="32">
        <v>125</v>
      </c>
      <c r="C139" s="40"/>
      <c r="D139" s="40"/>
      <c r="E139" s="34" t="str">
        <f t="shared" si="5"/>
        <v/>
      </c>
      <c r="F139" s="35" t="str">
        <f t="shared" si="6"/>
        <v/>
      </c>
      <c r="G139" s="35" t="str">
        <f t="shared" si="7"/>
        <v/>
      </c>
      <c r="H139" s="36" t="str">
        <f t="shared" si="8"/>
        <v/>
      </c>
      <c r="I139" s="36" t="str">
        <f t="shared" si="9"/>
        <v/>
      </c>
      <c r="J139" s="1"/>
    </row>
    <row r="140" spans="1:10" x14ac:dyDescent="0.25">
      <c r="A140" s="32"/>
      <c r="B140" s="32">
        <v>126</v>
      </c>
      <c r="C140" s="40"/>
      <c r="D140" s="40"/>
      <c r="E140" s="34" t="str">
        <f t="shared" si="5"/>
        <v/>
      </c>
      <c r="F140" s="35" t="str">
        <f t="shared" si="6"/>
        <v/>
      </c>
      <c r="G140" s="35" t="str">
        <f t="shared" si="7"/>
        <v/>
      </c>
      <c r="H140" s="36" t="str">
        <f t="shared" si="8"/>
        <v/>
      </c>
      <c r="I140" s="36" t="str">
        <f t="shared" si="9"/>
        <v/>
      </c>
      <c r="J140" s="1"/>
    </row>
    <row r="141" spans="1:10" x14ac:dyDescent="0.25">
      <c r="A141" s="32"/>
      <c r="B141" s="32">
        <v>127</v>
      </c>
      <c r="C141" s="40"/>
      <c r="D141" s="40"/>
      <c r="E141" s="34" t="str">
        <f t="shared" si="5"/>
        <v/>
      </c>
      <c r="F141" s="35" t="str">
        <f t="shared" si="6"/>
        <v/>
      </c>
      <c r="G141" s="35" t="str">
        <f t="shared" si="7"/>
        <v/>
      </c>
      <c r="H141" s="36" t="str">
        <f t="shared" si="8"/>
        <v/>
      </c>
      <c r="I141" s="36" t="str">
        <f t="shared" si="9"/>
        <v/>
      </c>
      <c r="J141" s="1"/>
    </row>
    <row r="142" spans="1:10" x14ac:dyDescent="0.25">
      <c r="A142" s="32"/>
      <c r="B142" s="32">
        <v>128</v>
      </c>
      <c r="C142" s="40"/>
      <c r="D142" s="40"/>
      <c r="E142" s="34" t="str">
        <f t="shared" si="5"/>
        <v/>
      </c>
      <c r="F142" s="35" t="str">
        <f t="shared" si="6"/>
        <v/>
      </c>
      <c r="G142" s="35" t="str">
        <f t="shared" si="7"/>
        <v/>
      </c>
      <c r="H142" s="36" t="str">
        <f t="shared" si="8"/>
        <v/>
      </c>
      <c r="I142" s="36" t="str">
        <f t="shared" si="9"/>
        <v/>
      </c>
      <c r="J142" s="1"/>
    </row>
    <row r="143" spans="1:10" x14ac:dyDescent="0.25">
      <c r="A143" s="32"/>
      <c r="B143" s="32">
        <v>129</v>
      </c>
      <c r="C143" s="40"/>
      <c r="D143" s="40"/>
      <c r="E143" s="34" t="str">
        <f t="shared" ref="E143:E206" si="10">IF(C143="","",2*(D143-D142)/((C143-C142)/1000))</f>
        <v/>
      </c>
      <c r="F143" s="35" t="str">
        <f t="shared" ref="F143:F206" si="11">IF(C143="","",F$7+(F$9/F$10)*(EXP(F$10*(C143-F$8)/2000)-1))</f>
        <v/>
      </c>
      <c r="G143" s="35" t="str">
        <f t="shared" ref="G143:G206" si="12">IF(E143="","",F$9+(F143-F$7)*F$10)</f>
        <v/>
      </c>
      <c r="H143" s="36" t="str">
        <f t="shared" ref="H143:H206" si="13">IF(F143="","",F143-D143)</f>
        <v/>
      </c>
      <c r="I143" s="36" t="str">
        <f t="shared" ref="I143:I206" si="14">IF(H143="","",H143^2)</f>
        <v/>
      </c>
      <c r="J143" s="1"/>
    </row>
    <row r="144" spans="1:10" x14ac:dyDescent="0.25">
      <c r="A144" s="32"/>
      <c r="B144" s="32">
        <v>130</v>
      </c>
      <c r="C144" s="40"/>
      <c r="D144" s="40"/>
      <c r="E144" s="34" t="str">
        <f t="shared" si="10"/>
        <v/>
      </c>
      <c r="F144" s="35" t="str">
        <f t="shared" si="11"/>
        <v/>
      </c>
      <c r="G144" s="35" t="str">
        <f t="shared" si="12"/>
        <v/>
      </c>
      <c r="H144" s="36" t="str">
        <f t="shared" si="13"/>
        <v/>
      </c>
      <c r="I144" s="36" t="str">
        <f t="shared" si="14"/>
        <v/>
      </c>
      <c r="J144" s="1"/>
    </row>
    <row r="145" spans="1:10" x14ac:dyDescent="0.25">
      <c r="A145" s="32"/>
      <c r="B145" s="32">
        <v>131</v>
      </c>
      <c r="C145" s="40"/>
      <c r="D145" s="40"/>
      <c r="E145" s="34" t="str">
        <f t="shared" si="10"/>
        <v/>
      </c>
      <c r="F145" s="35" t="str">
        <f t="shared" si="11"/>
        <v/>
      </c>
      <c r="G145" s="35" t="str">
        <f t="shared" si="12"/>
        <v/>
      </c>
      <c r="H145" s="36" t="str">
        <f t="shared" si="13"/>
        <v/>
      </c>
      <c r="I145" s="36" t="str">
        <f t="shared" si="14"/>
        <v/>
      </c>
      <c r="J145" s="1"/>
    </row>
    <row r="146" spans="1:10" x14ac:dyDescent="0.25">
      <c r="A146" s="32"/>
      <c r="B146" s="32">
        <v>132</v>
      </c>
      <c r="C146" s="40"/>
      <c r="D146" s="40"/>
      <c r="E146" s="34" t="str">
        <f t="shared" si="10"/>
        <v/>
      </c>
      <c r="F146" s="35" t="str">
        <f t="shared" si="11"/>
        <v/>
      </c>
      <c r="G146" s="35" t="str">
        <f t="shared" si="12"/>
        <v/>
      </c>
      <c r="H146" s="36" t="str">
        <f t="shared" si="13"/>
        <v/>
      </c>
      <c r="I146" s="36" t="str">
        <f t="shared" si="14"/>
        <v/>
      </c>
      <c r="J146" s="1"/>
    </row>
    <row r="147" spans="1:10" x14ac:dyDescent="0.25">
      <c r="A147" s="32"/>
      <c r="B147" s="32">
        <v>133</v>
      </c>
      <c r="C147" s="40"/>
      <c r="D147" s="40"/>
      <c r="E147" s="34" t="str">
        <f t="shared" si="10"/>
        <v/>
      </c>
      <c r="F147" s="35" t="str">
        <f t="shared" si="11"/>
        <v/>
      </c>
      <c r="G147" s="35" t="str">
        <f t="shared" si="12"/>
        <v/>
      </c>
      <c r="H147" s="36" t="str">
        <f t="shared" si="13"/>
        <v/>
      </c>
      <c r="I147" s="36" t="str">
        <f t="shared" si="14"/>
        <v/>
      </c>
      <c r="J147" s="1"/>
    </row>
    <row r="148" spans="1:10" x14ac:dyDescent="0.25">
      <c r="A148" s="32"/>
      <c r="B148" s="32">
        <v>134</v>
      </c>
      <c r="C148" s="40"/>
      <c r="D148" s="40"/>
      <c r="E148" s="34" t="str">
        <f t="shared" si="10"/>
        <v/>
      </c>
      <c r="F148" s="35" t="str">
        <f t="shared" si="11"/>
        <v/>
      </c>
      <c r="G148" s="35" t="str">
        <f t="shared" si="12"/>
        <v/>
      </c>
      <c r="H148" s="36" t="str">
        <f t="shared" si="13"/>
        <v/>
      </c>
      <c r="I148" s="36" t="str">
        <f t="shared" si="14"/>
        <v/>
      </c>
      <c r="J148" s="1"/>
    </row>
    <row r="149" spans="1:10" x14ac:dyDescent="0.25">
      <c r="A149" s="32"/>
      <c r="B149" s="32">
        <v>135</v>
      </c>
      <c r="C149" s="40"/>
      <c r="D149" s="40"/>
      <c r="E149" s="34" t="str">
        <f t="shared" si="10"/>
        <v/>
      </c>
      <c r="F149" s="35" t="str">
        <f t="shared" si="11"/>
        <v/>
      </c>
      <c r="G149" s="35" t="str">
        <f t="shared" si="12"/>
        <v/>
      </c>
      <c r="H149" s="36" t="str">
        <f t="shared" si="13"/>
        <v/>
      </c>
      <c r="I149" s="36" t="str">
        <f t="shared" si="14"/>
        <v/>
      </c>
      <c r="J149" s="1"/>
    </row>
    <row r="150" spans="1:10" x14ac:dyDescent="0.25">
      <c r="A150" s="32"/>
      <c r="B150" s="32">
        <v>136</v>
      </c>
      <c r="C150" s="40"/>
      <c r="D150" s="40"/>
      <c r="E150" s="34" t="str">
        <f t="shared" si="10"/>
        <v/>
      </c>
      <c r="F150" s="35" t="str">
        <f t="shared" si="11"/>
        <v/>
      </c>
      <c r="G150" s="35" t="str">
        <f t="shared" si="12"/>
        <v/>
      </c>
      <c r="H150" s="36" t="str">
        <f t="shared" si="13"/>
        <v/>
      </c>
      <c r="I150" s="36" t="str">
        <f t="shared" si="14"/>
        <v/>
      </c>
      <c r="J150" s="1"/>
    </row>
    <row r="151" spans="1:10" x14ac:dyDescent="0.25">
      <c r="A151" s="32"/>
      <c r="B151" s="32">
        <v>137</v>
      </c>
      <c r="C151" s="40"/>
      <c r="D151" s="40"/>
      <c r="E151" s="34" t="str">
        <f t="shared" si="10"/>
        <v/>
      </c>
      <c r="F151" s="35" t="str">
        <f t="shared" si="11"/>
        <v/>
      </c>
      <c r="G151" s="35" t="str">
        <f t="shared" si="12"/>
        <v/>
      </c>
      <c r="H151" s="36" t="str">
        <f t="shared" si="13"/>
        <v/>
      </c>
      <c r="I151" s="36" t="str">
        <f t="shared" si="14"/>
        <v/>
      </c>
      <c r="J151" s="1"/>
    </row>
    <row r="152" spans="1:10" x14ac:dyDescent="0.25">
      <c r="A152" s="32"/>
      <c r="B152" s="32">
        <v>138</v>
      </c>
      <c r="C152" s="40"/>
      <c r="D152" s="40"/>
      <c r="E152" s="34" t="str">
        <f t="shared" si="10"/>
        <v/>
      </c>
      <c r="F152" s="35" t="str">
        <f t="shared" si="11"/>
        <v/>
      </c>
      <c r="G152" s="35" t="str">
        <f t="shared" si="12"/>
        <v/>
      </c>
      <c r="H152" s="36" t="str">
        <f t="shared" si="13"/>
        <v/>
      </c>
      <c r="I152" s="36" t="str">
        <f t="shared" si="14"/>
        <v/>
      </c>
      <c r="J152" s="1"/>
    </row>
    <row r="153" spans="1:10" x14ac:dyDescent="0.25">
      <c r="A153" s="32"/>
      <c r="B153" s="32">
        <v>139</v>
      </c>
      <c r="C153" s="40"/>
      <c r="D153" s="40"/>
      <c r="E153" s="34" t="str">
        <f t="shared" si="10"/>
        <v/>
      </c>
      <c r="F153" s="35" t="str">
        <f t="shared" si="11"/>
        <v/>
      </c>
      <c r="G153" s="35" t="str">
        <f t="shared" si="12"/>
        <v/>
      </c>
      <c r="H153" s="36" t="str">
        <f t="shared" si="13"/>
        <v/>
      </c>
      <c r="I153" s="36" t="str">
        <f t="shared" si="14"/>
        <v/>
      </c>
      <c r="J153" s="1"/>
    </row>
    <row r="154" spans="1:10" x14ac:dyDescent="0.25">
      <c r="A154" s="32"/>
      <c r="B154" s="32">
        <v>140</v>
      </c>
      <c r="C154" s="40"/>
      <c r="D154" s="40"/>
      <c r="E154" s="34" t="str">
        <f t="shared" si="10"/>
        <v/>
      </c>
      <c r="F154" s="35" t="str">
        <f t="shared" si="11"/>
        <v/>
      </c>
      <c r="G154" s="35" t="str">
        <f t="shared" si="12"/>
        <v/>
      </c>
      <c r="H154" s="36" t="str">
        <f t="shared" si="13"/>
        <v/>
      </c>
      <c r="I154" s="36" t="str">
        <f t="shared" si="14"/>
        <v/>
      </c>
      <c r="J154" s="1"/>
    </row>
    <row r="155" spans="1:10" x14ac:dyDescent="0.25">
      <c r="A155" s="32"/>
      <c r="B155" s="32">
        <v>141</v>
      </c>
      <c r="C155" s="40"/>
      <c r="D155" s="40"/>
      <c r="E155" s="34" t="str">
        <f t="shared" si="10"/>
        <v/>
      </c>
      <c r="F155" s="35" t="str">
        <f t="shared" si="11"/>
        <v/>
      </c>
      <c r="G155" s="35" t="str">
        <f t="shared" si="12"/>
        <v/>
      </c>
      <c r="H155" s="36" t="str">
        <f t="shared" si="13"/>
        <v/>
      </c>
      <c r="I155" s="36" t="str">
        <f t="shared" si="14"/>
        <v/>
      </c>
      <c r="J155" s="1"/>
    </row>
    <row r="156" spans="1:10" x14ac:dyDescent="0.25">
      <c r="A156" s="32"/>
      <c r="B156" s="32">
        <v>142</v>
      </c>
      <c r="C156" s="40"/>
      <c r="D156" s="40"/>
      <c r="E156" s="34" t="str">
        <f t="shared" si="10"/>
        <v/>
      </c>
      <c r="F156" s="35" t="str">
        <f t="shared" si="11"/>
        <v/>
      </c>
      <c r="G156" s="35" t="str">
        <f t="shared" si="12"/>
        <v/>
      </c>
      <c r="H156" s="36" t="str">
        <f t="shared" si="13"/>
        <v/>
      </c>
      <c r="I156" s="36" t="str">
        <f t="shared" si="14"/>
        <v/>
      </c>
      <c r="J156" s="1"/>
    </row>
    <row r="157" spans="1:10" x14ac:dyDescent="0.25">
      <c r="A157" s="32"/>
      <c r="B157" s="32">
        <v>143</v>
      </c>
      <c r="C157" s="40"/>
      <c r="D157" s="40"/>
      <c r="E157" s="34" t="str">
        <f t="shared" si="10"/>
        <v/>
      </c>
      <c r="F157" s="35" t="str">
        <f t="shared" si="11"/>
        <v/>
      </c>
      <c r="G157" s="35" t="str">
        <f t="shared" si="12"/>
        <v/>
      </c>
      <c r="H157" s="36" t="str">
        <f t="shared" si="13"/>
        <v/>
      </c>
      <c r="I157" s="36" t="str">
        <f t="shared" si="14"/>
        <v/>
      </c>
      <c r="J157" s="1"/>
    </row>
    <row r="158" spans="1:10" x14ac:dyDescent="0.25">
      <c r="A158" s="32"/>
      <c r="B158" s="32">
        <v>144</v>
      </c>
      <c r="C158" s="40"/>
      <c r="D158" s="40"/>
      <c r="E158" s="34" t="str">
        <f t="shared" si="10"/>
        <v/>
      </c>
      <c r="F158" s="35" t="str">
        <f t="shared" si="11"/>
        <v/>
      </c>
      <c r="G158" s="35" t="str">
        <f t="shared" si="12"/>
        <v/>
      </c>
      <c r="H158" s="36" t="str">
        <f t="shared" si="13"/>
        <v/>
      </c>
      <c r="I158" s="36" t="str">
        <f t="shared" si="14"/>
        <v/>
      </c>
      <c r="J158" s="1"/>
    </row>
    <row r="159" spans="1:10" x14ac:dyDescent="0.25">
      <c r="A159" s="32"/>
      <c r="B159" s="32">
        <v>145</v>
      </c>
      <c r="C159" s="40"/>
      <c r="D159" s="40"/>
      <c r="E159" s="34" t="str">
        <f t="shared" si="10"/>
        <v/>
      </c>
      <c r="F159" s="35" t="str">
        <f t="shared" si="11"/>
        <v/>
      </c>
      <c r="G159" s="35" t="str">
        <f t="shared" si="12"/>
        <v/>
      </c>
      <c r="H159" s="36" t="str">
        <f t="shared" si="13"/>
        <v/>
      </c>
      <c r="I159" s="36" t="str">
        <f t="shared" si="14"/>
        <v/>
      </c>
      <c r="J159" s="1"/>
    </row>
    <row r="160" spans="1:10" x14ac:dyDescent="0.25">
      <c r="A160" s="32"/>
      <c r="B160" s="32">
        <v>146</v>
      </c>
      <c r="C160" s="40"/>
      <c r="D160" s="40"/>
      <c r="E160" s="34" t="str">
        <f t="shared" si="10"/>
        <v/>
      </c>
      <c r="F160" s="35" t="str">
        <f t="shared" si="11"/>
        <v/>
      </c>
      <c r="G160" s="35" t="str">
        <f t="shared" si="12"/>
        <v/>
      </c>
      <c r="H160" s="36" t="str">
        <f t="shared" si="13"/>
        <v/>
      </c>
      <c r="I160" s="36" t="str">
        <f t="shared" si="14"/>
        <v/>
      </c>
      <c r="J160" s="1"/>
    </row>
    <row r="161" spans="1:10" x14ac:dyDescent="0.25">
      <c r="A161" s="32"/>
      <c r="B161" s="32">
        <v>147</v>
      </c>
      <c r="C161" s="40"/>
      <c r="D161" s="40"/>
      <c r="E161" s="34" t="str">
        <f t="shared" si="10"/>
        <v/>
      </c>
      <c r="F161" s="35" t="str">
        <f t="shared" si="11"/>
        <v/>
      </c>
      <c r="G161" s="35" t="str">
        <f t="shared" si="12"/>
        <v/>
      </c>
      <c r="H161" s="36" t="str">
        <f t="shared" si="13"/>
        <v/>
      </c>
      <c r="I161" s="36" t="str">
        <f t="shared" si="14"/>
        <v/>
      </c>
      <c r="J161" s="1"/>
    </row>
    <row r="162" spans="1:10" x14ac:dyDescent="0.25">
      <c r="A162" s="32"/>
      <c r="B162" s="32">
        <v>148</v>
      </c>
      <c r="C162" s="40"/>
      <c r="D162" s="40"/>
      <c r="E162" s="34" t="str">
        <f t="shared" si="10"/>
        <v/>
      </c>
      <c r="F162" s="35" t="str">
        <f t="shared" si="11"/>
        <v/>
      </c>
      <c r="G162" s="35" t="str">
        <f t="shared" si="12"/>
        <v/>
      </c>
      <c r="H162" s="36" t="str">
        <f t="shared" si="13"/>
        <v/>
      </c>
      <c r="I162" s="36" t="str">
        <f t="shared" si="14"/>
        <v/>
      </c>
      <c r="J162" s="1"/>
    </row>
    <row r="163" spans="1:10" x14ac:dyDescent="0.25">
      <c r="A163" s="32"/>
      <c r="B163" s="32">
        <v>149</v>
      </c>
      <c r="C163" s="40"/>
      <c r="D163" s="40"/>
      <c r="E163" s="34" t="str">
        <f t="shared" si="10"/>
        <v/>
      </c>
      <c r="F163" s="35" t="str">
        <f t="shared" si="11"/>
        <v/>
      </c>
      <c r="G163" s="35" t="str">
        <f t="shared" si="12"/>
        <v/>
      </c>
      <c r="H163" s="36" t="str">
        <f t="shared" si="13"/>
        <v/>
      </c>
      <c r="I163" s="36" t="str">
        <f t="shared" si="14"/>
        <v/>
      </c>
      <c r="J163" s="1"/>
    </row>
    <row r="164" spans="1:10" x14ac:dyDescent="0.25">
      <c r="A164" s="32"/>
      <c r="B164" s="32">
        <v>150</v>
      </c>
      <c r="C164" s="40"/>
      <c r="D164" s="40"/>
      <c r="E164" s="34" t="str">
        <f t="shared" si="10"/>
        <v/>
      </c>
      <c r="F164" s="35" t="str">
        <f t="shared" si="11"/>
        <v/>
      </c>
      <c r="G164" s="35" t="str">
        <f t="shared" si="12"/>
        <v/>
      </c>
      <c r="H164" s="36" t="str">
        <f t="shared" si="13"/>
        <v/>
      </c>
      <c r="I164" s="36" t="str">
        <f t="shared" si="14"/>
        <v/>
      </c>
      <c r="J164" s="1"/>
    </row>
    <row r="165" spans="1:10" x14ac:dyDescent="0.25">
      <c r="A165" s="32"/>
      <c r="B165" s="32">
        <v>151</v>
      </c>
      <c r="C165" s="40"/>
      <c r="D165" s="40"/>
      <c r="E165" s="34" t="str">
        <f t="shared" si="10"/>
        <v/>
      </c>
      <c r="F165" s="35" t="str">
        <f t="shared" si="11"/>
        <v/>
      </c>
      <c r="G165" s="35" t="str">
        <f t="shared" si="12"/>
        <v/>
      </c>
      <c r="H165" s="36" t="str">
        <f t="shared" si="13"/>
        <v/>
      </c>
      <c r="I165" s="36" t="str">
        <f t="shared" si="14"/>
        <v/>
      </c>
      <c r="J165" s="1"/>
    </row>
    <row r="166" spans="1:10" x14ac:dyDescent="0.25">
      <c r="A166" s="32"/>
      <c r="B166" s="32">
        <v>152</v>
      </c>
      <c r="C166" s="40"/>
      <c r="D166" s="40"/>
      <c r="E166" s="34" t="str">
        <f t="shared" si="10"/>
        <v/>
      </c>
      <c r="F166" s="35" t="str">
        <f t="shared" si="11"/>
        <v/>
      </c>
      <c r="G166" s="35" t="str">
        <f t="shared" si="12"/>
        <v/>
      </c>
      <c r="H166" s="36" t="str">
        <f t="shared" si="13"/>
        <v/>
      </c>
      <c r="I166" s="36" t="str">
        <f t="shared" si="14"/>
        <v/>
      </c>
      <c r="J166" s="1"/>
    </row>
    <row r="167" spans="1:10" x14ac:dyDescent="0.25">
      <c r="A167" s="32"/>
      <c r="B167" s="32">
        <v>153</v>
      </c>
      <c r="C167" s="40"/>
      <c r="D167" s="40"/>
      <c r="E167" s="34" t="str">
        <f t="shared" si="10"/>
        <v/>
      </c>
      <c r="F167" s="35" t="str">
        <f t="shared" si="11"/>
        <v/>
      </c>
      <c r="G167" s="35" t="str">
        <f t="shared" si="12"/>
        <v/>
      </c>
      <c r="H167" s="36" t="str">
        <f t="shared" si="13"/>
        <v/>
      </c>
      <c r="I167" s="36" t="str">
        <f t="shared" si="14"/>
        <v/>
      </c>
      <c r="J167" s="1"/>
    </row>
    <row r="168" spans="1:10" x14ac:dyDescent="0.25">
      <c r="A168" s="32"/>
      <c r="B168" s="32">
        <v>154</v>
      </c>
      <c r="C168" s="40"/>
      <c r="D168" s="40"/>
      <c r="E168" s="34" t="str">
        <f t="shared" si="10"/>
        <v/>
      </c>
      <c r="F168" s="35" t="str">
        <f t="shared" si="11"/>
        <v/>
      </c>
      <c r="G168" s="35" t="str">
        <f t="shared" si="12"/>
        <v/>
      </c>
      <c r="H168" s="36" t="str">
        <f t="shared" si="13"/>
        <v/>
      </c>
      <c r="I168" s="36" t="str">
        <f t="shared" si="14"/>
        <v/>
      </c>
      <c r="J168" s="1"/>
    </row>
    <row r="169" spans="1:10" x14ac:dyDescent="0.25">
      <c r="A169" s="32"/>
      <c r="B169" s="32">
        <v>155</v>
      </c>
      <c r="C169" s="40"/>
      <c r="D169" s="40"/>
      <c r="E169" s="34" t="str">
        <f t="shared" si="10"/>
        <v/>
      </c>
      <c r="F169" s="35" t="str">
        <f t="shared" si="11"/>
        <v/>
      </c>
      <c r="G169" s="35" t="str">
        <f t="shared" si="12"/>
        <v/>
      </c>
      <c r="H169" s="36" t="str">
        <f t="shared" si="13"/>
        <v/>
      </c>
      <c r="I169" s="36" t="str">
        <f t="shared" si="14"/>
        <v/>
      </c>
      <c r="J169" s="1"/>
    </row>
    <row r="170" spans="1:10" x14ac:dyDescent="0.25">
      <c r="A170" s="32"/>
      <c r="B170" s="32">
        <v>156</v>
      </c>
      <c r="C170" s="40"/>
      <c r="D170" s="40"/>
      <c r="E170" s="34" t="str">
        <f t="shared" si="10"/>
        <v/>
      </c>
      <c r="F170" s="35" t="str">
        <f t="shared" si="11"/>
        <v/>
      </c>
      <c r="G170" s="35" t="str">
        <f t="shared" si="12"/>
        <v/>
      </c>
      <c r="H170" s="36" t="str">
        <f t="shared" si="13"/>
        <v/>
      </c>
      <c r="I170" s="36" t="str">
        <f t="shared" si="14"/>
        <v/>
      </c>
      <c r="J170" s="1"/>
    </row>
    <row r="171" spans="1:10" x14ac:dyDescent="0.25">
      <c r="A171" s="32"/>
      <c r="B171" s="32">
        <v>157</v>
      </c>
      <c r="C171" s="40"/>
      <c r="D171" s="40"/>
      <c r="E171" s="34" t="str">
        <f t="shared" si="10"/>
        <v/>
      </c>
      <c r="F171" s="35" t="str">
        <f t="shared" si="11"/>
        <v/>
      </c>
      <c r="G171" s="35" t="str">
        <f t="shared" si="12"/>
        <v/>
      </c>
      <c r="H171" s="36" t="str">
        <f t="shared" si="13"/>
        <v/>
      </c>
      <c r="I171" s="36" t="str">
        <f t="shared" si="14"/>
        <v/>
      </c>
      <c r="J171" s="1"/>
    </row>
    <row r="172" spans="1:10" x14ac:dyDescent="0.25">
      <c r="A172" s="32"/>
      <c r="B172" s="32">
        <v>158</v>
      </c>
      <c r="C172" s="40"/>
      <c r="D172" s="40"/>
      <c r="E172" s="34" t="str">
        <f t="shared" si="10"/>
        <v/>
      </c>
      <c r="F172" s="35" t="str">
        <f t="shared" si="11"/>
        <v/>
      </c>
      <c r="G172" s="35" t="str">
        <f t="shared" si="12"/>
        <v/>
      </c>
      <c r="H172" s="36" t="str">
        <f t="shared" si="13"/>
        <v/>
      </c>
      <c r="I172" s="36" t="str">
        <f t="shared" si="14"/>
        <v/>
      </c>
      <c r="J172" s="1"/>
    </row>
    <row r="173" spans="1:10" x14ac:dyDescent="0.25">
      <c r="A173" s="32"/>
      <c r="B173" s="32">
        <v>159</v>
      </c>
      <c r="C173" s="40"/>
      <c r="D173" s="40"/>
      <c r="E173" s="34" t="str">
        <f t="shared" si="10"/>
        <v/>
      </c>
      <c r="F173" s="35" t="str">
        <f t="shared" si="11"/>
        <v/>
      </c>
      <c r="G173" s="35" t="str">
        <f t="shared" si="12"/>
        <v/>
      </c>
      <c r="H173" s="36" t="str">
        <f t="shared" si="13"/>
        <v/>
      </c>
      <c r="I173" s="36" t="str">
        <f t="shared" si="14"/>
        <v/>
      </c>
      <c r="J173" s="1"/>
    </row>
    <row r="174" spans="1:10" x14ac:dyDescent="0.25">
      <c r="A174" s="32"/>
      <c r="B174" s="32">
        <v>160</v>
      </c>
      <c r="C174" s="40"/>
      <c r="D174" s="40"/>
      <c r="E174" s="34" t="str">
        <f t="shared" si="10"/>
        <v/>
      </c>
      <c r="F174" s="35" t="str">
        <f t="shared" si="11"/>
        <v/>
      </c>
      <c r="G174" s="35" t="str">
        <f t="shared" si="12"/>
        <v/>
      </c>
      <c r="H174" s="36" t="str">
        <f t="shared" si="13"/>
        <v/>
      </c>
      <c r="I174" s="36" t="str">
        <f t="shared" si="14"/>
        <v/>
      </c>
      <c r="J174" s="1"/>
    </row>
    <row r="175" spans="1:10" x14ac:dyDescent="0.25">
      <c r="A175" s="32"/>
      <c r="B175" s="32">
        <v>161</v>
      </c>
      <c r="C175" s="40"/>
      <c r="D175" s="40"/>
      <c r="E175" s="34" t="str">
        <f t="shared" si="10"/>
        <v/>
      </c>
      <c r="F175" s="35" t="str">
        <f t="shared" si="11"/>
        <v/>
      </c>
      <c r="G175" s="35" t="str">
        <f t="shared" si="12"/>
        <v/>
      </c>
      <c r="H175" s="36" t="str">
        <f t="shared" si="13"/>
        <v/>
      </c>
      <c r="I175" s="36" t="str">
        <f t="shared" si="14"/>
        <v/>
      </c>
      <c r="J175" s="1"/>
    </row>
    <row r="176" spans="1:10" x14ac:dyDescent="0.25">
      <c r="A176" s="32"/>
      <c r="B176" s="32">
        <v>162</v>
      </c>
      <c r="C176" s="40"/>
      <c r="D176" s="40"/>
      <c r="E176" s="34" t="str">
        <f t="shared" si="10"/>
        <v/>
      </c>
      <c r="F176" s="35" t="str">
        <f t="shared" si="11"/>
        <v/>
      </c>
      <c r="G176" s="35" t="str">
        <f t="shared" si="12"/>
        <v/>
      </c>
      <c r="H176" s="36" t="str">
        <f t="shared" si="13"/>
        <v/>
      </c>
      <c r="I176" s="36" t="str">
        <f t="shared" si="14"/>
        <v/>
      </c>
      <c r="J176" s="1"/>
    </row>
    <row r="177" spans="1:10" x14ac:dyDescent="0.25">
      <c r="A177" s="32"/>
      <c r="B177" s="32">
        <v>163</v>
      </c>
      <c r="C177" s="40"/>
      <c r="D177" s="40"/>
      <c r="E177" s="34" t="str">
        <f t="shared" si="10"/>
        <v/>
      </c>
      <c r="F177" s="35" t="str">
        <f t="shared" si="11"/>
        <v/>
      </c>
      <c r="G177" s="35" t="str">
        <f t="shared" si="12"/>
        <v/>
      </c>
      <c r="H177" s="36" t="str">
        <f t="shared" si="13"/>
        <v/>
      </c>
      <c r="I177" s="36" t="str">
        <f t="shared" si="14"/>
        <v/>
      </c>
      <c r="J177" s="1"/>
    </row>
    <row r="178" spans="1:10" x14ac:dyDescent="0.25">
      <c r="A178" s="32"/>
      <c r="B178" s="32">
        <v>164</v>
      </c>
      <c r="C178" s="40"/>
      <c r="D178" s="40"/>
      <c r="E178" s="34" t="str">
        <f t="shared" si="10"/>
        <v/>
      </c>
      <c r="F178" s="35" t="str">
        <f t="shared" si="11"/>
        <v/>
      </c>
      <c r="G178" s="35" t="str">
        <f t="shared" si="12"/>
        <v/>
      </c>
      <c r="H178" s="36" t="str">
        <f t="shared" si="13"/>
        <v/>
      </c>
      <c r="I178" s="36" t="str">
        <f t="shared" si="14"/>
        <v/>
      </c>
      <c r="J178" s="1"/>
    </row>
    <row r="179" spans="1:10" x14ac:dyDescent="0.25">
      <c r="A179" s="32"/>
      <c r="B179" s="32">
        <v>165</v>
      </c>
      <c r="C179" s="40"/>
      <c r="D179" s="40"/>
      <c r="E179" s="34" t="str">
        <f t="shared" si="10"/>
        <v/>
      </c>
      <c r="F179" s="35" t="str">
        <f t="shared" si="11"/>
        <v/>
      </c>
      <c r="G179" s="35" t="str">
        <f t="shared" si="12"/>
        <v/>
      </c>
      <c r="H179" s="36" t="str">
        <f t="shared" si="13"/>
        <v/>
      </c>
      <c r="I179" s="36" t="str">
        <f t="shared" si="14"/>
        <v/>
      </c>
      <c r="J179" s="1"/>
    </row>
    <row r="180" spans="1:10" x14ac:dyDescent="0.25">
      <c r="A180" s="32"/>
      <c r="B180" s="32">
        <v>166</v>
      </c>
      <c r="C180" s="40"/>
      <c r="D180" s="40"/>
      <c r="E180" s="34" t="str">
        <f t="shared" si="10"/>
        <v/>
      </c>
      <c r="F180" s="35" t="str">
        <f t="shared" si="11"/>
        <v/>
      </c>
      <c r="G180" s="35" t="str">
        <f t="shared" si="12"/>
        <v/>
      </c>
      <c r="H180" s="36" t="str">
        <f t="shared" si="13"/>
        <v/>
      </c>
      <c r="I180" s="36" t="str">
        <f t="shared" si="14"/>
        <v/>
      </c>
      <c r="J180" s="1"/>
    </row>
    <row r="181" spans="1:10" x14ac:dyDescent="0.25">
      <c r="A181" s="32"/>
      <c r="B181" s="32">
        <v>167</v>
      </c>
      <c r="C181" s="40"/>
      <c r="D181" s="40"/>
      <c r="E181" s="34" t="str">
        <f t="shared" si="10"/>
        <v/>
      </c>
      <c r="F181" s="35" t="str">
        <f t="shared" si="11"/>
        <v/>
      </c>
      <c r="G181" s="35" t="str">
        <f t="shared" si="12"/>
        <v/>
      </c>
      <c r="H181" s="36" t="str">
        <f t="shared" si="13"/>
        <v/>
      </c>
      <c r="I181" s="36" t="str">
        <f t="shared" si="14"/>
        <v/>
      </c>
      <c r="J181" s="1"/>
    </row>
    <row r="182" spans="1:10" x14ac:dyDescent="0.25">
      <c r="A182" s="32"/>
      <c r="B182" s="32">
        <v>168</v>
      </c>
      <c r="C182" s="40"/>
      <c r="D182" s="40"/>
      <c r="E182" s="34" t="str">
        <f t="shared" si="10"/>
        <v/>
      </c>
      <c r="F182" s="35" t="str">
        <f t="shared" si="11"/>
        <v/>
      </c>
      <c r="G182" s="35" t="str">
        <f t="shared" si="12"/>
        <v/>
      </c>
      <c r="H182" s="36" t="str">
        <f t="shared" si="13"/>
        <v/>
      </c>
      <c r="I182" s="36" t="str">
        <f t="shared" si="14"/>
        <v/>
      </c>
      <c r="J182" s="1"/>
    </row>
    <row r="183" spans="1:10" x14ac:dyDescent="0.25">
      <c r="A183" s="32"/>
      <c r="B183" s="32">
        <v>169</v>
      </c>
      <c r="C183" s="40"/>
      <c r="D183" s="40"/>
      <c r="E183" s="34" t="str">
        <f t="shared" si="10"/>
        <v/>
      </c>
      <c r="F183" s="35" t="str">
        <f t="shared" si="11"/>
        <v/>
      </c>
      <c r="G183" s="35" t="str">
        <f t="shared" si="12"/>
        <v/>
      </c>
      <c r="H183" s="36" t="str">
        <f t="shared" si="13"/>
        <v/>
      </c>
      <c r="I183" s="36" t="str">
        <f t="shared" si="14"/>
        <v/>
      </c>
      <c r="J183" s="1"/>
    </row>
    <row r="184" spans="1:10" x14ac:dyDescent="0.25">
      <c r="A184" s="32"/>
      <c r="B184" s="32">
        <v>170</v>
      </c>
      <c r="C184" s="40"/>
      <c r="D184" s="40"/>
      <c r="E184" s="34" t="str">
        <f t="shared" si="10"/>
        <v/>
      </c>
      <c r="F184" s="35" t="str">
        <f t="shared" si="11"/>
        <v/>
      </c>
      <c r="G184" s="35" t="str">
        <f t="shared" si="12"/>
        <v/>
      </c>
      <c r="H184" s="36" t="str">
        <f t="shared" si="13"/>
        <v/>
      </c>
      <c r="I184" s="36" t="str">
        <f t="shared" si="14"/>
        <v/>
      </c>
      <c r="J184" s="1"/>
    </row>
    <row r="185" spans="1:10" x14ac:dyDescent="0.25">
      <c r="A185" s="32"/>
      <c r="B185" s="32">
        <v>171</v>
      </c>
      <c r="C185" s="40"/>
      <c r="D185" s="40"/>
      <c r="E185" s="34" t="str">
        <f t="shared" si="10"/>
        <v/>
      </c>
      <c r="F185" s="35" t="str">
        <f t="shared" si="11"/>
        <v/>
      </c>
      <c r="G185" s="35" t="str">
        <f t="shared" si="12"/>
        <v/>
      </c>
      <c r="H185" s="36" t="str">
        <f t="shared" si="13"/>
        <v/>
      </c>
      <c r="I185" s="36" t="str">
        <f t="shared" si="14"/>
        <v/>
      </c>
      <c r="J185" s="1"/>
    </row>
    <row r="186" spans="1:10" x14ac:dyDescent="0.25">
      <c r="A186" s="32"/>
      <c r="B186" s="32">
        <v>172</v>
      </c>
      <c r="C186" s="40"/>
      <c r="D186" s="40"/>
      <c r="E186" s="34" t="str">
        <f t="shared" si="10"/>
        <v/>
      </c>
      <c r="F186" s="35" t="str">
        <f t="shared" si="11"/>
        <v/>
      </c>
      <c r="G186" s="35" t="str">
        <f t="shared" si="12"/>
        <v/>
      </c>
      <c r="H186" s="36" t="str">
        <f t="shared" si="13"/>
        <v/>
      </c>
      <c r="I186" s="36" t="str">
        <f t="shared" si="14"/>
        <v/>
      </c>
      <c r="J186" s="1"/>
    </row>
    <row r="187" spans="1:10" x14ac:dyDescent="0.25">
      <c r="A187" s="32"/>
      <c r="B187" s="32">
        <v>173</v>
      </c>
      <c r="C187" s="40"/>
      <c r="D187" s="40"/>
      <c r="E187" s="34" t="str">
        <f t="shared" si="10"/>
        <v/>
      </c>
      <c r="F187" s="35" t="str">
        <f t="shared" si="11"/>
        <v/>
      </c>
      <c r="G187" s="35" t="str">
        <f t="shared" si="12"/>
        <v/>
      </c>
      <c r="H187" s="36" t="str">
        <f t="shared" si="13"/>
        <v/>
      </c>
      <c r="I187" s="36" t="str">
        <f t="shared" si="14"/>
        <v/>
      </c>
      <c r="J187" s="1"/>
    </row>
    <row r="188" spans="1:10" x14ac:dyDescent="0.25">
      <c r="A188" s="32"/>
      <c r="B188" s="32">
        <v>174</v>
      </c>
      <c r="C188" s="40"/>
      <c r="D188" s="40"/>
      <c r="E188" s="34" t="str">
        <f t="shared" si="10"/>
        <v/>
      </c>
      <c r="F188" s="35" t="str">
        <f t="shared" si="11"/>
        <v/>
      </c>
      <c r="G188" s="35" t="str">
        <f t="shared" si="12"/>
        <v/>
      </c>
      <c r="H188" s="36" t="str">
        <f t="shared" si="13"/>
        <v/>
      </c>
      <c r="I188" s="36" t="str">
        <f t="shared" si="14"/>
        <v/>
      </c>
      <c r="J188" s="1"/>
    </row>
    <row r="189" spans="1:10" x14ac:dyDescent="0.25">
      <c r="A189" s="32"/>
      <c r="B189" s="32">
        <v>175</v>
      </c>
      <c r="C189" s="40"/>
      <c r="D189" s="40"/>
      <c r="E189" s="34" t="str">
        <f t="shared" si="10"/>
        <v/>
      </c>
      <c r="F189" s="35" t="str">
        <f t="shared" si="11"/>
        <v/>
      </c>
      <c r="G189" s="35" t="str">
        <f t="shared" si="12"/>
        <v/>
      </c>
      <c r="H189" s="36" t="str">
        <f t="shared" si="13"/>
        <v/>
      </c>
      <c r="I189" s="36" t="str">
        <f t="shared" si="14"/>
        <v/>
      </c>
      <c r="J189" s="1"/>
    </row>
    <row r="190" spans="1:10" x14ac:dyDescent="0.25">
      <c r="A190" s="32"/>
      <c r="B190" s="32">
        <v>176</v>
      </c>
      <c r="C190" s="40"/>
      <c r="D190" s="40"/>
      <c r="E190" s="34" t="str">
        <f t="shared" si="10"/>
        <v/>
      </c>
      <c r="F190" s="35" t="str">
        <f t="shared" si="11"/>
        <v/>
      </c>
      <c r="G190" s="35" t="str">
        <f t="shared" si="12"/>
        <v/>
      </c>
      <c r="H190" s="36" t="str">
        <f t="shared" si="13"/>
        <v/>
      </c>
      <c r="I190" s="36" t="str">
        <f t="shared" si="14"/>
        <v/>
      </c>
      <c r="J190" s="1"/>
    </row>
    <row r="191" spans="1:10" x14ac:dyDescent="0.25">
      <c r="A191" s="32"/>
      <c r="B191" s="32">
        <v>177</v>
      </c>
      <c r="C191" s="40"/>
      <c r="D191" s="40"/>
      <c r="E191" s="34" t="str">
        <f t="shared" si="10"/>
        <v/>
      </c>
      <c r="F191" s="35" t="str">
        <f t="shared" si="11"/>
        <v/>
      </c>
      <c r="G191" s="35" t="str">
        <f t="shared" si="12"/>
        <v/>
      </c>
      <c r="H191" s="36" t="str">
        <f t="shared" si="13"/>
        <v/>
      </c>
      <c r="I191" s="36" t="str">
        <f t="shared" si="14"/>
        <v/>
      </c>
      <c r="J191" s="1"/>
    </row>
    <row r="192" spans="1:10" x14ac:dyDescent="0.25">
      <c r="A192" s="32"/>
      <c r="B192" s="32">
        <v>178</v>
      </c>
      <c r="C192" s="40"/>
      <c r="D192" s="40"/>
      <c r="E192" s="34" t="str">
        <f t="shared" si="10"/>
        <v/>
      </c>
      <c r="F192" s="35" t="str">
        <f t="shared" si="11"/>
        <v/>
      </c>
      <c r="G192" s="35" t="str">
        <f t="shared" si="12"/>
        <v/>
      </c>
      <c r="H192" s="36" t="str">
        <f t="shared" si="13"/>
        <v/>
      </c>
      <c r="I192" s="36" t="str">
        <f t="shared" si="14"/>
        <v/>
      </c>
      <c r="J192" s="1"/>
    </row>
    <row r="193" spans="1:10" x14ac:dyDescent="0.25">
      <c r="A193" s="32"/>
      <c r="B193" s="32">
        <v>179</v>
      </c>
      <c r="C193" s="40"/>
      <c r="D193" s="40"/>
      <c r="E193" s="34" t="str">
        <f t="shared" si="10"/>
        <v/>
      </c>
      <c r="F193" s="35" t="str">
        <f t="shared" si="11"/>
        <v/>
      </c>
      <c r="G193" s="35" t="str">
        <f t="shared" si="12"/>
        <v/>
      </c>
      <c r="H193" s="36" t="str">
        <f t="shared" si="13"/>
        <v/>
      </c>
      <c r="I193" s="36" t="str">
        <f t="shared" si="14"/>
        <v/>
      </c>
      <c r="J193" s="1"/>
    </row>
    <row r="194" spans="1:10" x14ac:dyDescent="0.25">
      <c r="A194" s="32"/>
      <c r="B194" s="32">
        <v>180</v>
      </c>
      <c r="C194" s="40"/>
      <c r="D194" s="40"/>
      <c r="E194" s="34" t="str">
        <f t="shared" si="10"/>
        <v/>
      </c>
      <c r="F194" s="35" t="str">
        <f t="shared" si="11"/>
        <v/>
      </c>
      <c r="G194" s="35" t="str">
        <f t="shared" si="12"/>
        <v/>
      </c>
      <c r="H194" s="36" t="str">
        <f t="shared" si="13"/>
        <v/>
      </c>
      <c r="I194" s="36" t="str">
        <f t="shared" si="14"/>
        <v/>
      </c>
      <c r="J194" s="1"/>
    </row>
    <row r="195" spans="1:10" x14ac:dyDescent="0.25">
      <c r="A195" s="32"/>
      <c r="B195" s="32">
        <v>181</v>
      </c>
      <c r="C195" s="40"/>
      <c r="D195" s="40"/>
      <c r="E195" s="34" t="str">
        <f t="shared" si="10"/>
        <v/>
      </c>
      <c r="F195" s="35" t="str">
        <f t="shared" si="11"/>
        <v/>
      </c>
      <c r="G195" s="35" t="str">
        <f t="shared" si="12"/>
        <v/>
      </c>
      <c r="H195" s="36" t="str">
        <f t="shared" si="13"/>
        <v/>
      </c>
      <c r="I195" s="36" t="str">
        <f t="shared" si="14"/>
        <v/>
      </c>
      <c r="J195" s="1"/>
    </row>
    <row r="196" spans="1:10" x14ac:dyDescent="0.25">
      <c r="A196" s="32"/>
      <c r="B196" s="32">
        <v>182</v>
      </c>
      <c r="C196" s="40"/>
      <c r="D196" s="40"/>
      <c r="E196" s="34" t="str">
        <f t="shared" si="10"/>
        <v/>
      </c>
      <c r="F196" s="35" t="str">
        <f t="shared" si="11"/>
        <v/>
      </c>
      <c r="G196" s="35" t="str">
        <f t="shared" si="12"/>
        <v/>
      </c>
      <c r="H196" s="36" t="str">
        <f t="shared" si="13"/>
        <v/>
      </c>
      <c r="I196" s="36" t="str">
        <f t="shared" si="14"/>
        <v/>
      </c>
      <c r="J196" s="1"/>
    </row>
    <row r="197" spans="1:10" x14ac:dyDescent="0.25">
      <c r="A197" s="32"/>
      <c r="B197" s="32">
        <v>183</v>
      </c>
      <c r="C197" s="40"/>
      <c r="D197" s="40"/>
      <c r="E197" s="34" t="str">
        <f t="shared" si="10"/>
        <v/>
      </c>
      <c r="F197" s="35" t="str">
        <f t="shared" si="11"/>
        <v/>
      </c>
      <c r="G197" s="35" t="str">
        <f t="shared" si="12"/>
        <v/>
      </c>
      <c r="H197" s="36" t="str">
        <f t="shared" si="13"/>
        <v/>
      </c>
      <c r="I197" s="36" t="str">
        <f t="shared" si="14"/>
        <v/>
      </c>
      <c r="J197" s="1"/>
    </row>
    <row r="198" spans="1:10" x14ac:dyDescent="0.25">
      <c r="A198" s="32"/>
      <c r="B198" s="32">
        <v>184</v>
      </c>
      <c r="C198" s="40"/>
      <c r="D198" s="40"/>
      <c r="E198" s="34" t="str">
        <f t="shared" si="10"/>
        <v/>
      </c>
      <c r="F198" s="35" t="str">
        <f t="shared" si="11"/>
        <v/>
      </c>
      <c r="G198" s="35" t="str">
        <f t="shared" si="12"/>
        <v/>
      </c>
      <c r="H198" s="36" t="str">
        <f t="shared" si="13"/>
        <v/>
      </c>
      <c r="I198" s="36" t="str">
        <f t="shared" si="14"/>
        <v/>
      </c>
      <c r="J198" s="1"/>
    </row>
    <row r="199" spans="1:10" x14ac:dyDescent="0.25">
      <c r="A199" s="32"/>
      <c r="B199" s="32">
        <v>185</v>
      </c>
      <c r="C199" s="40"/>
      <c r="D199" s="40"/>
      <c r="E199" s="34" t="str">
        <f t="shared" si="10"/>
        <v/>
      </c>
      <c r="F199" s="35" t="str">
        <f t="shared" si="11"/>
        <v/>
      </c>
      <c r="G199" s="35" t="str">
        <f t="shared" si="12"/>
        <v/>
      </c>
      <c r="H199" s="36" t="str">
        <f t="shared" si="13"/>
        <v/>
      </c>
      <c r="I199" s="36" t="str">
        <f t="shared" si="14"/>
        <v/>
      </c>
      <c r="J199" s="1"/>
    </row>
    <row r="200" spans="1:10" x14ac:dyDescent="0.25">
      <c r="A200" s="32"/>
      <c r="B200" s="32">
        <v>186</v>
      </c>
      <c r="C200" s="40"/>
      <c r="D200" s="40"/>
      <c r="E200" s="34" t="str">
        <f t="shared" si="10"/>
        <v/>
      </c>
      <c r="F200" s="35" t="str">
        <f t="shared" si="11"/>
        <v/>
      </c>
      <c r="G200" s="35" t="str">
        <f t="shared" si="12"/>
        <v/>
      </c>
      <c r="H200" s="36" t="str">
        <f t="shared" si="13"/>
        <v/>
      </c>
      <c r="I200" s="36" t="str">
        <f t="shared" si="14"/>
        <v/>
      </c>
      <c r="J200" s="1"/>
    </row>
    <row r="201" spans="1:10" x14ac:dyDescent="0.25">
      <c r="A201" s="32"/>
      <c r="B201" s="32"/>
      <c r="C201" s="40"/>
      <c r="D201" s="40"/>
      <c r="E201" s="34" t="str">
        <f t="shared" si="10"/>
        <v/>
      </c>
      <c r="F201" s="35" t="str">
        <f t="shared" si="11"/>
        <v/>
      </c>
      <c r="G201" s="35" t="str">
        <f t="shared" si="12"/>
        <v/>
      </c>
      <c r="H201" s="36" t="str">
        <f t="shared" si="13"/>
        <v/>
      </c>
      <c r="I201" s="36" t="str">
        <f t="shared" si="14"/>
        <v/>
      </c>
      <c r="J201" s="1"/>
    </row>
    <row r="202" spans="1:10" x14ac:dyDescent="0.25">
      <c r="A202" s="32"/>
      <c r="B202" s="32"/>
      <c r="C202" s="40"/>
      <c r="D202" s="40"/>
      <c r="E202" s="34" t="str">
        <f t="shared" si="10"/>
        <v/>
      </c>
      <c r="F202" s="35" t="str">
        <f t="shared" si="11"/>
        <v/>
      </c>
      <c r="G202" s="35" t="str">
        <f t="shared" si="12"/>
        <v/>
      </c>
      <c r="H202" s="36" t="str">
        <f t="shared" si="13"/>
        <v/>
      </c>
      <c r="I202" s="36" t="str">
        <f t="shared" si="14"/>
        <v/>
      </c>
      <c r="J202" s="1"/>
    </row>
    <row r="203" spans="1:10" x14ac:dyDescent="0.25">
      <c r="A203" s="32"/>
      <c r="B203" s="32"/>
      <c r="C203" s="40"/>
      <c r="D203" s="40"/>
      <c r="E203" s="34" t="str">
        <f t="shared" si="10"/>
        <v/>
      </c>
      <c r="F203" s="35" t="str">
        <f t="shared" si="11"/>
        <v/>
      </c>
      <c r="G203" s="35" t="str">
        <f t="shared" si="12"/>
        <v/>
      </c>
      <c r="H203" s="36" t="str">
        <f t="shared" si="13"/>
        <v/>
      </c>
      <c r="I203" s="36" t="str">
        <f t="shared" si="14"/>
        <v/>
      </c>
      <c r="J203" s="1"/>
    </row>
    <row r="204" spans="1:10" x14ac:dyDescent="0.25">
      <c r="A204" s="32"/>
      <c r="B204" s="32"/>
      <c r="C204" s="40"/>
      <c r="D204" s="40"/>
      <c r="E204" s="34" t="str">
        <f t="shared" si="10"/>
        <v/>
      </c>
      <c r="F204" s="35" t="str">
        <f t="shared" si="11"/>
        <v/>
      </c>
      <c r="G204" s="35" t="str">
        <f t="shared" si="12"/>
        <v/>
      </c>
      <c r="H204" s="36" t="str">
        <f t="shared" si="13"/>
        <v/>
      </c>
      <c r="I204" s="36" t="str">
        <f t="shared" si="14"/>
        <v/>
      </c>
      <c r="J204" s="1"/>
    </row>
    <row r="205" spans="1:10" x14ac:dyDescent="0.25">
      <c r="A205" s="32"/>
      <c r="B205" s="32"/>
      <c r="C205" s="40"/>
      <c r="D205" s="40"/>
      <c r="E205" s="34" t="str">
        <f t="shared" si="10"/>
        <v/>
      </c>
      <c r="F205" s="35" t="str">
        <f t="shared" si="11"/>
        <v/>
      </c>
      <c r="G205" s="35" t="str">
        <f t="shared" si="12"/>
        <v/>
      </c>
      <c r="H205" s="36" t="str">
        <f t="shared" si="13"/>
        <v/>
      </c>
      <c r="I205" s="36" t="str">
        <f t="shared" si="14"/>
        <v/>
      </c>
      <c r="J205" s="1"/>
    </row>
    <row r="206" spans="1:10" x14ac:dyDescent="0.25">
      <c r="A206" s="32"/>
      <c r="B206" s="32"/>
      <c r="C206" s="40"/>
      <c r="D206" s="40"/>
      <c r="E206" s="34" t="str">
        <f t="shared" si="10"/>
        <v/>
      </c>
      <c r="F206" s="35" t="str">
        <f t="shared" si="11"/>
        <v/>
      </c>
      <c r="G206" s="35" t="str">
        <f t="shared" si="12"/>
        <v/>
      </c>
      <c r="H206" s="36" t="str">
        <f t="shared" si="13"/>
        <v/>
      </c>
      <c r="I206" s="36" t="str">
        <f t="shared" si="14"/>
        <v/>
      </c>
      <c r="J206" s="1"/>
    </row>
    <row r="207" spans="1:10" x14ac:dyDescent="0.25">
      <c r="A207" s="32"/>
      <c r="B207" s="32"/>
      <c r="C207" s="40"/>
      <c r="D207" s="40"/>
      <c r="E207" s="34" t="str">
        <f t="shared" ref="E207:E270" si="15">IF(C207="","",2*(D207-D206)/((C207-C206)/1000))</f>
        <v/>
      </c>
      <c r="F207" s="35" t="str">
        <f t="shared" ref="F207:F270" si="16">IF(C207="","",F$7+(F$9/F$10)*(EXP(F$10*(C207-F$8)/2000)-1))</f>
        <v/>
      </c>
      <c r="G207" s="35" t="str">
        <f t="shared" ref="G207:G270" si="17">IF(E207="","",F$9+(F207-F$7)*F$10)</f>
        <v/>
      </c>
      <c r="H207" s="36" t="str">
        <f t="shared" ref="H207:H270" si="18">IF(F207="","",F207-D207)</f>
        <v/>
      </c>
      <c r="I207" s="36" t="str">
        <f t="shared" ref="I207:I270" si="19">IF(H207="","",H207^2)</f>
        <v/>
      </c>
      <c r="J207" s="1"/>
    </row>
    <row r="208" spans="1:10" x14ac:dyDescent="0.25">
      <c r="A208" s="32"/>
      <c r="B208" s="32"/>
      <c r="C208" s="40"/>
      <c r="D208" s="40"/>
      <c r="E208" s="34" t="str">
        <f t="shared" si="15"/>
        <v/>
      </c>
      <c r="F208" s="35" t="str">
        <f t="shared" si="16"/>
        <v/>
      </c>
      <c r="G208" s="35" t="str">
        <f t="shared" si="17"/>
        <v/>
      </c>
      <c r="H208" s="36" t="str">
        <f t="shared" si="18"/>
        <v/>
      </c>
      <c r="I208" s="36" t="str">
        <f t="shared" si="19"/>
        <v/>
      </c>
      <c r="J208" s="1"/>
    </row>
    <row r="209" spans="1:10" x14ac:dyDescent="0.25">
      <c r="A209" s="32"/>
      <c r="B209" s="32"/>
      <c r="C209" s="40"/>
      <c r="D209" s="40"/>
      <c r="E209" s="34" t="str">
        <f t="shared" si="15"/>
        <v/>
      </c>
      <c r="F209" s="35" t="str">
        <f t="shared" si="16"/>
        <v/>
      </c>
      <c r="G209" s="35" t="str">
        <f t="shared" si="17"/>
        <v/>
      </c>
      <c r="H209" s="36" t="str">
        <f t="shared" si="18"/>
        <v/>
      </c>
      <c r="I209" s="36" t="str">
        <f t="shared" si="19"/>
        <v/>
      </c>
      <c r="J209" s="1"/>
    </row>
    <row r="210" spans="1:10" x14ac:dyDescent="0.25">
      <c r="A210" s="32"/>
      <c r="B210" s="32"/>
      <c r="C210" s="40"/>
      <c r="D210" s="40"/>
      <c r="E210" s="34" t="str">
        <f t="shared" si="15"/>
        <v/>
      </c>
      <c r="F210" s="35" t="str">
        <f t="shared" si="16"/>
        <v/>
      </c>
      <c r="G210" s="35" t="str">
        <f t="shared" si="17"/>
        <v/>
      </c>
      <c r="H210" s="36" t="str">
        <f t="shared" si="18"/>
        <v/>
      </c>
      <c r="I210" s="36" t="str">
        <f t="shared" si="19"/>
        <v/>
      </c>
      <c r="J210" s="1"/>
    </row>
    <row r="211" spans="1:10" x14ac:dyDescent="0.25">
      <c r="A211" s="32"/>
      <c r="B211" s="32"/>
      <c r="C211" s="40"/>
      <c r="D211" s="40"/>
      <c r="E211" s="34" t="str">
        <f t="shared" si="15"/>
        <v/>
      </c>
      <c r="F211" s="35" t="str">
        <f t="shared" si="16"/>
        <v/>
      </c>
      <c r="G211" s="35" t="str">
        <f t="shared" si="17"/>
        <v/>
      </c>
      <c r="H211" s="36" t="str">
        <f t="shared" si="18"/>
        <v/>
      </c>
      <c r="I211" s="36" t="str">
        <f t="shared" si="19"/>
        <v/>
      </c>
      <c r="J211" s="1"/>
    </row>
    <row r="212" spans="1:10" x14ac:dyDescent="0.25">
      <c r="A212" s="32"/>
      <c r="B212" s="32"/>
      <c r="C212" s="40"/>
      <c r="D212" s="40"/>
      <c r="E212" s="34" t="str">
        <f t="shared" si="15"/>
        <v/>
      </c>
      <c r="F212" s="35" t="str">
        <f t="shared" si="16"/>
        <v/>
      </c>
      <c r="G212" s="35" t="str">
        <f t="shared" si="17"/>
        <v/>
      </c>
      <c r="H212" s="36" t="str">
        <f t="shared" si="18"/>
        <v/>
      </c>
      <c r="I212" s="36" t="str">
        <f t="shared" si="19"/>
        <v/>
      </c>
      <c r="J212" s="1"/>
    </row>
    <row r="213" spans="1:10" x14ac:dyDescent="0.25">
      <c r="A213" s="32"/>
      <c r="B213" s="32"/>
      <c r="C213" s="40"/>
      <c r="D213" s="40"/>
      <c r="E213" s="34" t="str">
        <f t="shared" si="15"/>
        <v/>
      </c>
      <c r="F213" s="35" t="str">
        <f t="shared" si="16"/>
        <v/>
      </c>
      <c r="G213" s="35" t="str">
        <f t="shared" si="17"/>
        <v/>
      </c>
      <c r="H213" s="36" t="str">
        <f t="shared" si="18"/>
        <v/>
      </c>
      <c r="I213" s="36" t="str">
        <f t="shared" si="19"/>
        <v/>
      </c>
      <c r="J213" s="1"/>
    </row>
    <row r="214" spans="1:10" x14ac:dyDescent="0.25">
      <c r="A214" s="32"/>
      <c r="B214" s="32"/>
      <c r="C214" s="40"/>
      <c r="D214" s="40"/>
      <c r="E214" s="34" t="str">
        <f t="shared" si="15"/>
        <v/>
      </c>
      <c r="F214" s="35" t="str">
        <f t="shared" si="16"/>
        <v/>
      </c>
      <c r="G214" s="35" t="str">
        <f t="shared" si="17"/>
        <v/>
      </c>
      <c r="H214" s="36" t="str">
        <f t="shared" si="18"/>
        <v/>
      </c>
      <c r="I214" s="36" t="str">
        <f t="shared" si="19"/>
        <v/>
      </c>
      <c r="J214" s="1"/>
    </row>
    <row r="215" spans="1:10" x14ac:dyDescent="0.25">
      <c r="A215" s="32"/>
      <c r="B215" s="32"/>
      <c r="C215" s="40"/>
      <c r="D215" s="40"/>
      <c r="E215" s="34" t="str">
        <f t="shared" si="15"/>
        <v/>
      </c>
      <c r="F215" s="35" t="str">
        <f t="shared" si="16"/>
        <v/>
      </c>
      <c r="G215" s="35" t="str">
        <f t="shared" si="17"/>
        <v/>
      </c>
      <c r="H215" s="36" t="str">
        <f t="shared" si="18"/>
        <v/>
      </c>
      <c r="I215" s="36" t="str">
        <f t="shared" si="19"/>
        <v/>
      </c>
      <c r="J215" s="1"/>
    </row>
    <row r="216" spans="1:10" x14ac:dyDescent="0.25">
      <c r="A216" s="32"/>
      <c r="B216" s="32"/>
      <c r="C216" s="40"/>
      <c r="D216" s="40"/>
      <c r="E216" s="34" t="str">
        <f t="shared" si="15"/>
        <v/>
      </c>
      <c r="F216" s="35" t="str">
        <f t="shared" si="16"/>
        <v/>
      </c>
      <c r="G216" s="35" t="str">
        <f t="shared" si="17"/>
        <v/>
      </c>
      <c r="H216" s="36" t="str">
        <f t="shared" si="18"/>
        <v/>
      </c>
      <c r="I216" s="36" t="str">
        <f t="shared" si="19"/>
        <v/>
      </c>
      <c r="J216" s="1"/>
    </row>
    <row r="217" spans="1:10" x14ac:dyDescent="0.25">
      <c r="A217" s="32"/>
      <c r="B217" s="32"/>
      <c r="C217" s="40"/>
      <c r="D217" s="40"/>
      <c r="E217" s="34" t="str">
        <f t="shared" si="15"/>
        <v/>
      </c>
      <c r="F217" s="35" t="str">
        <f t="shared" si="16"/>
        <v/>
      </c>
      <c r="G217" s="35" t="str">
        <f t="shared" si="17"/>
        <v/>
      </c>
      <c r="H217" s="36" t="str">
        <f t="shared" si="18"/>
        <v/>
      </c>
      <c r="I217" s="36" t="str">
        <f t="shared" si="19"/>
        <v/>
      </c>
      <c r="J217" s="1"/>
    </row>
    <row r="218" spans="1:10" x14ac:dyDescent="0.25">
      <c r="A218" s="32"/>
      <c r="B218" s="32"/>
      <c r="C218" s="40"/>
      <c r="D218" s="40"/>
      <c r="E218" s="34" t="str">
        <f t="shared" si="15"/>
        <v/>
      </c>
      <c r="F218" s="35" t="str">
        <f t="shared" si="16"/>
        <v/>
      </c>
      <c r="G218" s="35" t="str">
        <f t="shared" si="17"/>
        <v/>
      </c>
      <c r="H218" s="36" t="str">
        <f t="shared" si="18"/>
        <v/>
      </c>
      <c r="I218" s="36" t="str">
        <f t="shared" si="19"/>
        <v/>
      </c>
      <c r="J218" s="1"/>
    </row>
    <row r="219" spans="1:10" x14ac:dyDescent="0.25">
      <c r="A219" s="32"/>
      <c r="B219" s="32"/>
      <c r="C219" s="40"/>
      <c r="D219" s="40"/>
      <c r="E219" s="34" t="str">
        <f t="shared" si="15"/>
        <v/>
      </c>
      <c r="F219" s="35" t="str">
        <f t="shared" si="16"/>
        <v/>
      </c>
      <c r="G219" s="35" t="str">
        <f t="shared" si="17"/>
        <v/>
      </c>
      <c r="H219" s="36" t="str">
        <f t="shared" si="18"/>
        <v/>
      </c>
      <c r="I219" s="36" t="str">
        <f t="shared" si="19"/>
        <v/>
      </c>
      <c r="J219" s="1"/>
    </row>
    <row r="220" spans="1:10" x14ac:dyDescent="0.25">
      <c r="A220" s="32"/>
      <c r="B220" s="32"/>
      <c r="C220" s="40"/>
      <c r="D220" s="40"/>
      <c r="E220" s="34" t="str">
        <f t="shared" si="15"/>
        <v/>
      </c>
      <c r="F220" s="35" t="str">
        <f t="shared" si="16"/>
        <v/>
      </c>
      <c r="G220" s="35" t="str">
        <f t="shared" si="17"/>
        <v/>
      </c>
      <c r="H220" s="36" t="str">
        <f t="shared" si="18"/>
        <v/>
      </c>
      <c r="I220" s="36" t="str">
        <f t="shared" si="19"/>
        <v/>
      </c>
      <c r="J220" s="1"/>
    </row>
    <row r="221" spans="1:10" x14ac:dyDescent="0.25">
      <c r="A221" s="32"/>
      <c r="B221" s="32"/>
      <c r="C221" s="40"/>
      <c r="D221" s="40"/>
      <c r="E221" s="34" t="str">
        <f t="shared" si="15"/>
        <v/>
      </c>
      <c r="F221" s="35" t="str">
        <f t="shared" si="16"/>
        <v/>
      </c>
      <c r="G221" s="35" t="str">
        <f t="shared" si="17"/>
        <v/>
      </c>
      <c r="H221" s="36" t="str">
        <f t="shared" si="18"/>
        <v/>
      </c>
      <c r="I221" s="36" t="str">
        <f t="shared" si="19"/>
        <v/>
      </c>
      <c r="J221" s="1"/>
    </row>
    <row r="222" spans="1:10" x14ac:dyDescent="0.25">
      <c r="A222" s="32"/>
      <c r="B222" s="32"/>
      <c r="C222" s="40"/>
      <c r="D222" s="40"/>
      <c r="E222" s="34" t="str">
        <f t="shared" si="15"/>
        <v/>
      </c>
      <c r="F222" s="35" t="str">
        <f t="shared" si="16"/>
        <v/>
      </c>
      <c r="G222" s="35" t="str">
        <f t="shared" si="17"/>
        <v/>
      </c>
      <c r="H222" s="36" t="str">
        <f t="shared" si="18"/>
        <v/>
      </c>
      <c r="I222" s="36" t="str">
        <f t="shared" si="19"/>
        <v/>
      </c>
      <c r="J222" s="1"/>
    </row>
    <row r="223" spans="1:10" x14ac:dyDescent="0.25">
      <c r="A223" s="32"/>
      <c r="B223" s="32"/>
      <c r="C223" s="40"/>
      <c r="D223" s="40"/>
      <c r="E223" s="34" t="str">
        <f t="shared" si="15"/>
        <v/>
      </c>
      <c r="F223" s="35" t="str">
        <f t="shared" si="16"/>
        <v/>
      </c>
      <c r="G223" s="35" t="str">
        <f t="shared" si="17"/>
        <v/>
      </c>
      <c r="H223" s="36" t="str">
        <f t="shared" si="18"/>
        <v/>
      </c>
      <c r="I223" s="36" t="str">
        <f t="shared" si="19"/>
        <v/>
      </c>
      <c r="J223" s="1"/>
    </row>
    <row r="224" spans="1:10" x14ac:dyDescent="0.25">
      <c r="A224" s="32"/>
      <c r="B224" s="32"/>
      <c r="C224" s="40"/>
      <c r="D224" s="40"/>
      <c r="E224" s="34" t="str">
        <f t="shared" si="15"/>
        <v/>
      </c>
      <c r="F224" s="35" t="str">
        <f t="shared" si="16"/>
        <v/>
      </c>
      <c r="G224" s="35" t="str">
        <f t="shared" si="17"/>
        <v/>
      </c>
      <c r="H224" s="36" t="str">
        <f t="shared" si="18"/>
        <v/>
      </c>
      <c r="I224" s="36" t="str">
        <f t="shared" si="19"/>
        <v/>
      </c>
      <c r="J224" s="1"/>
    </row>
    <row r="225" spans="1:10" x14ac:dyDescent="0.25">
      <c r="A225" s="32"/>
      <c r="B225" s="32"/>
      <c r="C225" s="40"/>
      <c r="D225" s="40"/>
      <c r="E225" s="34" t="str">
        <f t="shared" si="15"/>
        <v/>
      </c>
      <c r="F225" s="35" t="str">
        <f t="shared" si="16"/>
        <v/>
      </c>
      <c r="G225" s="35" t="str">
        <f t="shared" si="17"/>
        <v/>
      </c>
      <c r="H225" s="36" t="str">
        <f t="shared" si="18"/>
        <v/>
      </c>
      <c r="I225" s="36" t="str">
        <f t="shared" si="19"/>
        <v/>
      </c>
      <c r="J225" s="1"/>
    </row>
    <row r="226" spans="1:10" x14ac:dyDescent="0.25">
      <c r="A226" s="32"/>
      <c r="B226" s="32"/>
      <c r="C226" s="40"/>
      <c r="D226" s="40"/>
      <c r="E226" s="34" t="str">
        <f t="shared" si="15"/>
        <v/>
      </c>
      <c r="F226" s="35" t="str">
        <f t="shared" si="16"/>
        <v/>
      </c>
      <c r="G226" s="35" t="str">
        <f t="shared" si="17"/>
        <v/>
      </c>
      <c r="H226" s="36" t="str">
        <f t="shared" si="18"/>
        <v/>
      </c>
      <c r="I226" s="36" t="str">
        <f t="shared" si="19"/>
        <v/>
      </c>
      <c r="J226" s="1"/>
    </row>
    <row r="227" spans="1:10" x14ac:dyDescent="0.25">
      <c r="A227" s="32"/>
      <c r="B227" s="32"/>
      <c r="C227" s="40"/>
      <c r="D227" s="40"/>
      <c r="E227" s="34" t="str">
        <f t="shared" si="15"/>
        <v/>
      </c>
      <c r="F227" s="35" t="str">
        <f t="shared" si="16"/>
        <v/>
      </c>
      <c r="G227" s="35" t="str">
        <f t="shared" si="17"/>
        <v/>
      </c>
      <c r="H227" s="36" t="str">
        <f t="shared" si="18"/>
        <v/>
      </c>
      <c r="I227" s="36" t="str">
        <f t="shared" si="19"/>
        <v/>
      </c>
      <c r="J227" s="1"/>
    </row>
    <row r="228" spans="1:10" x14ac:dyDescent="0.25">
      <c r="A228" s="32"/>
      <c r="B228" s="32"/>
      <c r="C228" s="40"/>
      <c r="D228" s="40"/>
      <c r="E228" s="34" t="str">
        <f t="shared" si="15"/>
        <v/>
      </c>
      <c r="F228" s="35" t="str">
        <f t="shared" si="16"/>
        <v/>
      </c>
      <c r="G228" s="35" t="str">
        <f t="shared" si="17"/>
        <v/>
      </c>
      <c r="H228" s="36" t="str">
        <f t="shared" si="18"/>
        <v/>
      </c>
      <c r="I228" s="36" t="str">
        <f t="shared" si="19"/>
        <v/>
      </c>
      <c r="J228" s="1"/>
    </row>
    <row r="229" spans="1:10" x14ac:dyDescent="0.25">
      <c r="A229" s="32"/>
      <c r="B229" s="32"/>
      <c r="C229" s="40"/>
      <c r="D229" s="40"/>
      <c r="E229" s="34" t="str">
        <f t="shared" si="15"/>
        <v/>
      </c>
      <c r="F229" s="35" t="str">
        <f t="shared" si="16"/>
        <v/>
      </c>
      <c r="G229" s="35" t="str">
        <f t="shared" si="17"/>
        <v/>
      </c>
      <c r="H229" s="36" t="str">
        <f t="shared" si="18"/>
        <v/>
      </c>
      <c r="I229" s="36" t="str">
        <f t="shared" si="19"/>
        <v/>
      </c>
      <c r="J229" s="1"/>
    </row>
    <row r="230" spans="1:10" x14ac:dyDescent="0.25">
      <c r="A230" s="32"/>
      <c r="B230" s="32"/>
      <c r="C230" s="40"/>
      <c r="D230" s="40"/>
      <c r="E230" s="34" t="str">
        <f t="shared" si="15"/>
        <v/>
      </c>
      <c r="F230" s="35" t="str">
        <f t="shared" si="16"/>
        <v/>
      </c>
      <c r="G230" s="35" t="str">
        <f t="shared" si="17"/>
        <v/>
      </c>
      <c r="H230" s="36" t="str">
        <f t="shared" si="18"/>
        <v/>
      </c>
      <c r="I230" s="36" t="str">
        <f t="shared" si="19"/>
        <v/>
      </c>
      <c r="J230" s="1"/>
    </row>
    <row r="231" spans="1:10" x14ac:dyDescent="0.25">
      <c r="A231" s="32"/>
      <c r="B231" s="32"/>
      <c r="C231" s="40"/>
      <c r="D231" s="40"/>
      <c r="E231" s="34" t="str">
        <f t="shared" si="15"/>
        <v/>
      </c>
      <c r="F231" s="35" t="str">
        <f t="shared" si="16"/>
        <v/>
      </c>
      <c r="G231" s="35" t="str">
        <f t="shared" si="17"/>
        <v/>
      </c>
      <c r="H231" s="36" t="str">
        <f t="shared" si="18"/>
        <v/>
      </c>
      <c r="I231" s="36" t="str">
        <f t="shared" si="19"/>
        <v/>
      </c>
      <c r="J231" s="1"/>
    </row>
    <row r="232" spans="1:10" x14ac:dyDescent="0.25">
      <c r="A232" s="32"/>
      <c r="B232" s="32"/>
      <c r="C232" s="40"/>
      <c r="D232" s="40"/>
      <c r="E232" s="34" t="str">
        <f t="shared" si="15"/>
        <v/>
      </c>
      <c r="F232" s="35" t="str">
        <f t="shared" si="16"/>
        <v/>
      </c>
      <c r="G232" s="35" t="str">
        <f t="shared" si="17"/>
        <v/>
      </c>
      <c r="H232" s="36" t="str">
        <f t="shared" si="18"/>
        <v/>
      </c>
      <c r="I232" s="36" t="str">
        <f t="shared" si="19"/>
        <v/>
      </c>
      <c r="J232" s="1"/>
    </row>
    <row r="233" spans="1:10" x14ac:dyDescent="0.25">
      <c r="A233" s="32"/>
      <c r="B233" s="32"/>
      <c r="C233" s="40"/>
      <c r="D233" s="40"/>
      <c r="E233" s="34" t="str">
        <f t="shared" si="15"/>
        <v/>
      </c>
      <c r="F233" s="35" t="str">
        <f t="shared" si="16"/>
        <v/>
      </c>
      <c r="G233" s="35" t="str">
        <f t="shared" si="17"/>
        <v/>
      </c>
      <c r="H233" s="36" t="str">
        <f t="shared" si="18"/>
        <v/>
      </c>
      <c r="I233" s="36" t="str">
        <f t="shared" si="19"/>
        <v/>
      </c>
      <c r="J233" s="1"/>
    </row>
    <row r="234" spans="1:10" x14ac:dyDescent="0.25">
      <c r="A234" s="32"/>
      <c r="B234" s="32"/>
      <c r="C234" s="40"/>
      <c r="D234" s="40"/>
      <c r="E234" s="34" t="str">
        <f t="shared" si="15"/>
        <v/>
      </c>
      <c r="F234" s="35" t="str">
        <f t="shared" si="16"/>
        <v/>
      </c>
      <c r="G234" s="35" t="str">
        <f t="shared" si="17"/>
        <v/>
      </c>
      <c r="H234" s="36" t="str">
        <f t="shared" si="18"/>
        <v/>
      </c>
      <c r="I234" s="36" t="str">
        <f t="shared" si="19"/>
        <v/>
      </c>
      <c r="J234" s="1"/>
    </row>
    <row r="235" spans="1:10" x14ac:dyDescent="0.25">
      <c r="A235" s="32"/>
      <c r="B235" s="32"/>
      <c r="C235" s="40"/>
      <c r="D235" s="40"/>
      <c r="E235" s="34" t="str">
        <f t="shared" si="15"/>
        <v/>
      </c>
      <c r="F235" s="35" t="str">
        <f t="shared" si="16"/>
        <v/>
      </c>
      <c r="G235" s="35" t="str">
        <f t="shared" si="17"/>
        <v/>
      </c>
      <c r="H235" s="36" t="str">
        <f t="shared" si="18"/>
        <v/>
      </c>
      <c r="I235" s="36" t="str">
        <f t="shared" si="19"/>
        <v/>
      </c>
      <c r="J235" s="1"/>
    </row>
    <row r="236" spans="1:10" x14ac:dyDescent="0.25">
      <c r="A236" s="32"/>
      <c r="B236" s="32"/>
      <c r="C236" s="40"/>
      <c r="D236" s="40"/>
      <c r="E236" s="34" t="str">
        <f t="shared" si="15"/>
        <v/>
      </c>
      <c r="F236" s="35" t="str">
        <f t="shared" si="16"/>
        <v/>
      </c>
      <c r="G236" s="35" t="str">
        <f t="shared" si="17"/>
        <v/>
      </c>
      <c r="H236" s="36" t="str">
        <f t="shared" si="18"/>
        <v/>
      </c>
      <c r="I236" s="36" t="str">
        <f t="shared" si="19"/>
        <v/>
      </c>
      <c r="J236" s="1"/>
    </row>
    <row r="237" spans="1:10" x14ac:dyDescent="0.25">
      <c r="A237" s="32"/>
      <c r="B237" s="32"/>
      <c r="C237" s="40"/>
      <c r="D237" s="40"/>
      <c r="E237" s="34" t="str">
        <f t="shared" si="15"/>
        <v/>
      </c>
      <c r="F237" s="35" t="str">
        <f t="shared" si="16"/>
        <v/>
      </c>
      <c r="G237" s="35" t="str">
        <f t="shared" si="17"/>
        <v/>
      </c>
      <c r="H237" s="36" t="str">
        <f t="shared" si="18"/>
        <v/>
      </c>
      <c r="I237" s="36" t="str">
        <f t="shared" si="19"/>
        <v/>
      </c>
      <c r="J237" s="1"/>
    </row>
    <row r="238" spans="1:10" x14ac:dyDescent="0.25">
      <c r="A238" s="32"/>
      <c r="B238" s="32"/>
      <c r="C238" s="40"/>
      <c r="D238" s="40"/>
      <c r="E238" s="34" t="str">
        <f t="shared" si="15"/>
        <v/>
      </c>
      <c r="F238" s="35" t="str">
        <f t="shared" si="16"/>
        <v/>
      </c>
      <c r="G238" s="35" t="str">
        <f t="shared" si="17"/>
        <v/>
      </c>
      <c r="H238" s="36" t="str">
        <f t="shared" si="18"/>
        <v/>
      </c>
      <c r="I238" s="36" t="str">
        <f t="shared" si="19"/>
        <v/>
      </c>
      <c r="J238" s="1"/>
    </row>
    <row r="239" spans="1:10" x14ac:dyDescent="0.25">
      <c r="A239" s="32"/>
      <c r="B239" s="32"/>
      <c r="C239" s="40"/>
      <c r="D239" s="40"/>
      <c r="E239" s="34" t="str">
        <f t="shared" si="15"/>
        <v/>
      </c>
      <c r="F239" s="35" t="str">
        <f t="shared" si="16"/>
        <v/>
      </c>
      <c r="G239" s="35" t="str">
        <f t="shared" si="17"/>
        <v/>
      </c>
      <c r="H239" s="36" t="str">
        <f t="shared" si="18"/>
        <v/>
      </c>
      <c r="I239" s="36" t="str">
        <f t="shared" si="19"/>
        <v/>
      </c>
      <c r="J239" s="1"/>
    </row>
    <row r="240" spans="1:10" x14ac:dyDescent="0.25">
      <c r="A240" s="32"/>
      <c r="B240" s="32"/>
      <c r="C240" s="40"/>
      <c r="D240" s="40"/>
      <c r="E240" s="34" t="str">
        <f t="shared" si="15"/>
        <v/>
      </c>
      <c r="F240" s="35" t="str">
        <f t="shared" si="16"/>
        <v/>
      </c>
      <c r="G240" s="35" t="str">
        <f t="shared" si="17"/>
        <v/>
      </c>
      <c r="H240" s="36" t="str">
        <f t="shared" si="18"/>
        <v/>
      </c>
      <c r="I240" s="36" t="str">
        <f t="shared" si="19"/>
        <v/>
      </c>
      <c r="J240" s="1"/>
    </row>
    <row r="241" spans="1:10" x14ac:dyDescent="0.25">
      <c r="A241" s="32"/>
      <c r="B241" s="32"/>
      <c r="C241" s="40"/>
      <c r="D241" s="40"/>
      <c r="E241" s="34" t="str">
        <f t="shared" si="15"/>
        <v/>
      </c>
      <c r="F241" s="35" t="str">
        <f t="shared" si="16"/>
        <v/>
      </c>
      <c r="G241" s="35" t="str">
        <f t="shared" si="17"/>
        <v/>
      </c>
      <c r="H241" s="36" t="str">
        <f t="shared" si="18"/>
        <v/>
      </c>
      <c r="I241" s="36" t="str">
        <f t="shared" si="19"/>
        <v/>
      </c>
      <c r="J241" s="1"/>
    </row>
    <row r="242" spans="1:10" x14ac:dyDescent="0.25">
      <c r="A242" s="32"/>
      <c r="B242" s="32"/>
      <c r="C242" s="40"/>
      <c r="D242" s="40"/>
      <c r="E242" s="34" t="str">
        <f t="shared" si="15"/>
        <v/>
      </c>
      <c r="F242" s="35" t="str">
        <f t="shared" si="16"/>
        <v/>
      </c>
      <c r="G242" s="35" t="str">
        <f t="shared" si="17"/>
        <v/>
      </c>
      <c r="H242" s="36" t="str">
        <f t="shared" si="18"/>
        <v/>
      </c>
      <c r="I242" s="36" t="str">
        <f t="shared" si="19"/>
        <v/>
      </c>
      <c r="J242" s="1"/>
    </row>
    <row r="243" spans="1:10" x14ac:dyDescent="0.25">
      <c r="A243" s="32"/>
      <c r="B243" s="32"/>
      <c r="C243" s="40"/>
      <c r="D243" s="40"/>
      <c r="E243" s="34" t="str">
        <f t="shared" si="15"/>
        <v/>
      </c>
      <c r="F243" s="35" t="str">
        <f t="shared" si="16"/>
        <v/>
      </c>
      <c r="G243" s="35" t="str">
        <f t="shared" si="17"/>
        <v/>
      </c>
      <c r="H243" s="36" t="str">
        <f t="shared" si="18"/>
        <v/>
      </c>
      <c r="I243" s="36" t="str">
        <f t="shared" si="19"/>
        <v/>
      </c>
      <c r="J243" s="1"/>
    </row>
    <row r="244" spans="1:10" x14ac:dyDescent="0.25">
      <c r="A244" s="32"/>
      <c r="B244" s="32"/>
      <c r="C244" s="40"/>
      <c r="D244" s="40"/>
      <c r="E244" s="34" t="str">
        <f t="shared" si="15"/>
        <v/>
      </c>
      <c r="F244" s="35" t="str">
        <f t="shared" si="16"/>
        <v/>
      </c>
      <c r="G244" s="35" t="str">
        <f t="shared" si="17"/>
        <v/>
      </c>
      <c r="H244" s="36" t="str">
        <f t="shared" si="18"/>
        <v/>
      </c>
      <c r="I244" s="36" t="str">
        <f t="shared" si="19"/>
        <v/>
      </c>
      <c r="J244" s="1"/>
    </row>
    <row r="245" spans="1:10" x14ac:dyDescent="0.25">
      <c r="A245" s="32"/>
      <c r="B245" s="32"/>
      <c r="C245" s="40"/>
      <c r="D245" s="40"/>
      <c r="E245" s="34" t="str">
        <f t="shared" si="15"/>
        <v/>
      </c>
      <c r="F245" s="35" t="str">
        <f t="shared" si="16"/>
        <v/>
      </c>
      <c r="G245" s="35" t="str">
        <f t="shared" si="17"/>
        <v/>
      </c>
      <c r="H245" s="36" t="str">
        <f t="shared" si="18"/>
        <v/>
      </c>
      <c r="I245" s="36" t="str">
        <f t="shared" si="19"/>
        <v/>
      </c>
      <c r="J245" s="1"/>
    </row>
    <row r="246" spans="1:10" x14ac:dyDescent="0.25">
      <c r="A246" s="32"/>
      <c r="B246" s="32"/>
      <c r="C246" s="40"/>
      <c r="D246" s="40"/>
      <c r="E246" s="34" t="str">
        <f t="shared" si="15"/>
        <v/>
      </c>
      <c r="F246" s="35" t="str">
        <f t="shared" si="16"/>
        <v/>
      </c>
      <c r="G246" s="35" t="str">
        <f t="shared" si="17"/>
        <v/>
      </c>
      <c r="H246" s="36" t="str">
        <f t="shared" si="18"/>
        <v/>
      </c>
      <c r="I246" s="36" t="str">
        <f t="shared" si="19"/>
        <v/>
      </c>
      <c r="J246" s="1"/>
    </row>
    <row r="247" spans="1:10" x14ac:dyDescent="0.25">
      <c r="A247" s="32"/>
      <c r="B247" s="32"/>
      <c r="C247" s="40"/>
      <c r="D247" s="40"/>
      <c r="E247" s="34" t="str">
        <f t="shared" si="15"/>
        <v/>
      </c>
      <c r="F247" s="35" t="str">
        <f t="shared" si="16"/>
        <v/>
      </c>
      <c r="G247" s="35" t="str">
        <f t="shared" si="17"/>
        <v/>
      </c>
      <c r="H247" s="36" t="str">
        <f t="shared" si="18"/>
        <v/>
      </c>
      <c r="I247" s="36" t="str">
        <f t="shared" si="19"/>
        <v/>
      </c>
      <c r="J247" s="1"/>
    </row>
    <row r="248" spans="1:10" x14ac:dyDescent="0.25">
      <c r="A248" s="32"/>
      <c r="B248" s="32"/>
      <c r="C248" s="40"/>
      <c r="D248" s="40"/>
      <c r="E248" s="34" t="str">
        <f t="shared" si="15"/>
        <v/>
      </c>
      <c r="F248" s="35" t="str">
        <f t="shared" si="16"/>
        <v/>
      </c>
      <c r="G248" s="35" t="str">
        <f t="shared" si="17"/>
        <v/>
      </c>
      <c r="H248" s="36" t="str">
        <f t="shared" si="18"/>
        <v/>
      </c>
      <c r="I248" s="36" t="str">
        <f t="shared" si="19"/>
        <v/>
      </c>
      <c r="J248" s="1"/>
    </row>
    <row r="249" spans="1:10" x14ac:dyDescent="0.25">
      <c r="A249" s="32"/>
      <c r="B249" s="32"/>
      <c r="C249" s="40"/>
      <c r="D249" s="40"/>
      <c r="E249" s="34" t="str">
        <f t="shared" si="15"/>
        <v/>
      </c>
      <c r="F249" s="35" t="str">
        <f t="shared" si="16"/>
        <v/>
      </c>
      <c r="G249" s="35" t="str">
        <f t="shared" si="17"/>
        <v/>
      </c>
      <c r="H249" s="36" t="str">
        <f t="shared" si="18"/>
        <v/>
      </c>
      <c r="I249" s="36" t="str">
        <f t="shared" si="19"/>
        <v/>
      </c>
      <c r="J249" s="1"/>
    </row>
    <row r="250" spans="1:10" x14ac:dyDescent="0.25">
      <c r="A250" s="32"/>
      <c r="B250" s="32"/>
      <c r="C250" s="40"/>
      <c r="D250" s="40"/>
      <c r="E250" s="34" t="str">
        <f t="shared" si="15"/>
        <v/>
      </c>
      <c r="F250" s="35" t="str">
        <f t="shared" si="16"/>
        <v/>
      </c>
      <c r="G250" s="35" t="str">
        <f t="shared" si="17"/>
        <v/>
      </c>
      <c r="H250" s="36" t="str">
        <f t="shared" si="18"/>
        <v/>
      </c>
      <c r="I250" s="36" t="str">
        <f t="shared" si="19"/>
        <v/>
      </c>
      <c r="J250" s="1"/>
    </row>
    <row r="251" spans="1:10" x14ac:dyDescent="0.25">
      <c r="A251" s="32"/>
      <c r="B251" s="32"/>
      <c r="C251" s="40"/>
      <c r="D251" s="40"/>
      <c r="E251" s="34" t="str">
        <f t="shared" si="15"/>
        <v/>
      </c>
      <c r="F251" s="35" t="str">
        <f t="shared" si="16"/>
        <v/>
      </c>
      <c r="G251" s="35" t="str">
        <f t="shared" si="17"/>
        <v/>
      </c>
      <c r="H251" s="36" t="str">
        <f t="shared" si="18"/>
        <v/>
      </c>
      <c r="I251" s="36" t="str">
        <f t="shared" si="19"/>
        <v/>
      </c>
      <c r="J251" s="1"/>
    </row>
    <row r="252" spans="1:10" x14ac:dyDescent="0.25">
      <c r="A252" s="32"/>
      <c r="B252" s="32"/>
      <c r="C252" s="40"/>
      <c r="D252" s="40"/>
      <c r="E252" s="34" t="str">
        <f t="shared" si="15"/>
        <v/>
      </c>
      <c r="F252" s="35" t="str">
        <f t="shared" si="16"/>
        <v/>
      </c>
      <c r="G252" s="35" t="str">
        <f t="shared" si="17"/>
        <v/>
      </c>
      <c r="H252" s="36" t="str">
        <f t="shared" si="18"/>
        <v/>
      </c>
      <c r="I252" s="36" t="str">
        <f t="shared" si="19"/>
        <v/>
      </c>
      <c r="J252" s="1"/>
    </row>
    <row r="253" spans="1:10" x14ac:dyDescent="0.25">
      <c r="A253" s="32"/>
      <c r="B253" s="32"/>
      <c r="C253" s="40"/>
      <c r="D253" s="40"/>
      <c r="E253" s="34" t="str">
        <f t="shared" si="15"/>
        <v/>
      </c>
      <c r="F253" s="35" t="str">
        <f t="shared" si="16"/>
        <v/>
      </c>
      <c r="G253" s="35" t="str">
        <f t="shared" si="17"/>
        <v/>
      </c>
      <c r="H253" s="36" t="str">
        <f t="shared" si="18"/>
        <v/>
      </c>
      <c r="I253" s="36" t="str">
        <f t="shared" si="19"/>
        <v/>
      </c>
      <c r="J253" s="1"/>
    </row>
    <row r="254" spans="1:10" x14ac:dyDescent="0.25">
      <c r="A254" s="32"/>
      <c r="B254" s="32"/>
      <c r="C254" s="40"/>
      <c r="D254" s="40"/>
      <c r="E254" s="34" t="str">
        <f t="shared" si="15"/>
        <v/>
      </c>
      <c r="F254" s="35" t="str">
        <f t="shared" si="16"/>
        <v/>
      </c>
      <c r="G254" s="35" t="str">
        <f t="shared" si="17"/>
        <v/>
      </c>
      <c r="H254" s="36" t="str">
        <f t="shared" si="18"/>
        <v/>
      </c>
      <c r="I254" s="36" t="str">
        <f t="shared" si="19"/>
        <v/>
      </c>
      <c r="J254" s="1"/>
    </row>
    <row r="255" spans="1:10" x14ac:dyDescent="0.25">
      <c r="A255" s="32"/>
      <c r="B255" s="32"/>
      <c r="C255" s="40"/>
      <c r="D255" s="40"/>
      <c r="E255" s="34" t="str">
        <f t="shared" si="15"/>
        <v/>
      </c>
      <c r="F255" s="35" t="str">
        <f t="shared" si="16"/>
        <v/>
      </c>
      <c r="G255" s="35" t="str">
        <f t="shared" si="17"/>
        <v/>
      </c>
      <c r="H255" s="36" t="str">
        <f t="shared" si="18"/>
        <v/>
      </c>
      <c r="I255" s="36" t="str">
        <f t="shared" si="19"/>
        <v/>
      </c>
      <c r="J255" s="1"/>
    </row>
    <row r="256" spans="1:10" x14ac:dyDescent="0.25">
      <c r="A256" s="32"/>
      <c r="B256" s="32"/>
      <c r="C256" s="40"/>
      <c r="D256" s="40"/>
      <c r="E256" s="34" t="str">
        <f t="shared" si="15"/>
        <v/>
      </c>
      <c r="F256" s="35" t="str">
        <f t="shared" si="16"/>
        <v/>
      </c>
      <c r="G256" s="35" t="str">
        <f t="shared" si="17"/>
        <v/>
      </c>
      <c r="H256" s="36" t="str">
        <f t="shared" si="18"/>
        <v/>
      </c>
      <c r="I256" s="36" t="str">
        <f t="shared" si="19"/>
        <v/>
      </c>
      <c r="J256" s="1"/>
    </row>
    <row r="257" spans="1:10" x14ac:dyDescent="0.25">
      <c r="A257" s="32"/>
      <c r="B257" s="32"/>
      <c r="C257" s="40"/>
      <c r="D257" s="40"/>
      <c r="E257" s="34" t="str">
        <f t="shared" si="15"/>
        <v/>
      </c>
      <c r="F257" s="35" t="str">
        <f t="shared" si="16"/>
        <v/>
      </c>
      <c r="G257" s="35" t="str">
        <f t="shared" si="17"/>
        <v/>
      </c>
      <c r="H257" s="36" t="str">
        <f t="shared" si="18"/>
        <v/>
      </c>
      <c r="I257" s="36" t="str">
        <f t="shared" si="19"/>
        <v/>
      </c>
      <c r="J257" s="1"/>
    </row>
    <row r="258" spans="1:10" x14ac:dyDescent="0.25">
      <c r="A258" s="32"/>
      <c r="B258" s="32"/>
      <c r="C258" s="40"/>
      <c r="D258" s="40"/>
      <c r="E258" s="34" t="str">
        <f t="shared" si="15"/>
        <v/>
      </c>
      <c r="F258" s="35" t="str">
        <f t="shared" si="16"/>
        <v/>
      </c>
      <c r="G258" s="35" t="str">
        <f t="shared" si="17"/>
        <v/>
      </c>
      <c r="H258" s="36" t="str">
        <f t="shared" si="18"/>
        <v/>
      </c>
      <c r="I258" s="36" t="str">
        <f t="shared" si="19"/>
        <v/>
      </c>
      <c r="J258" s="1"/>
    </row>
    <row r="259" spans="1:10" x14ac:dyDescent="0.25">
      <c r="A259" s="32"/>
      <c r="B259" s="32"/>
      <c r="C259" s="40"/>
      <c r="D259" s="40"/>
      <c r="E259" s="34" t="str">
        <f t="shared" si="15"/>
        <v/>
      </c>
      <c r="F259" s="35" t="str">
        <f t="shared" si="16"/>
        <v/>
      </c>
      <c r="G259" s="35" t="str">
        <f t="shared" si="17"/>
        <v/>
      </c>
      <c r="H259" s="36" t="str">
        <f t="shared" si="18"/>
        <v/>
      </c>
      <c r="I259" s="36" t="str">
        <f t="shared" si="19"/>
        <v/>
      </c>
      <c r="J259" s="1"/>
    </row>
    <row r="260" spans="1:10" x14ac:dyDescent="0.25">
      <c r="A260" s="32"/>
      <c r="B260" s="32"/>
      <c r="C260" s="40"/>
      <c r="D260" s="40"/>
      <c r="E260" s="34" t="str">
        <f t="shared" si="15"/>
        <v/>
      </c>
      <c r="F260" s="35" t="str">
        <f t="shared" si="16"/>
        <v/>
      </c>
      <c r="G260" s="35" t="str">
        <f t="shared" si="17"/>
        <v/>
      </c>
      <c r="H260" s="36" t="str">
        <f t="shared" si="18"/>
        <v/>
      </c>
      <c r="I260" s="36" t="str">
        <f t="shared" si="19"/>
        <v/>
      </c>
      <c r="J260" s="1"/>
    </row>
    <row r="261" spans="1:10" x14ac:dyDescent="0.25">
      <c r="A261" s="32"/>
      <c r="B261" s="32"/>
      <c r="C261" s="40"/>
      <c r="D261" s="40"/>
      <c r="E261" s="34" t="str">
        <f t="shared" si="15"/>
        <v/>
      </c>
      <c r="F261" s="35" t="str">
        <f t="shared" si="16"/>
        <v/>
      </c>
      <c r="G261" s="35" t="str">
        <f t="shared" si="17"/>
        <v/>
      </c>
      <c r="H261" s="36" t="str">
        <f t="shared" si="18"/>
        <v/>
      </c>
      <c r="I261" s="36" t="str">
        <f t="shared" si="19"/>
        <v/>
      </c>
      <c r="J261" s="1"/>
    </row>
    <row r="262" spans="1:10" x14ac:dyDescent="0.25">
      <c r="A262" s="32"/>
      <c r="B262" s="32"/>
      <c r="C262" s="40"/>
      <c r="D262" s="40"/>
      <c r="E262" s="34" t="str">
        <f t="shared" si="15"/>
        <v/>
      </c>
      <c r="F262" s="35" t="str">
        <f t="shared" si="16"/>
        <v/>
      </c>
      <c r="G262" s="35" t="str">
        <f t="shared" si="17"/>
        <v/>
      </c>
      <c r="H262" s="36" t="str">
        <f t="shared" si="18"/>
        <v/>
      </c>
      <c r="I262" s="36" t="str">
        <f t="shared" si="19"/>
        <v/>
      </c>
      <c r="J262" s="1"/>
    </row>
    <row r="263" spans="1:10" x14ac:dyDescent="0.25">
      <c r="A263" s="32"/>
      <c r="B263" s="32"/>
      <c r="C263" s="40"/>
      <c r="D263" s="40"/>
      <c r="E263" s="34" t="str">
        <f t="shared" si="15"/>
        <v/>
      </c>
      <c r="F263" s="35" t="str">
        <f t="shared" si="16"/>
        <v/>
      </c>
      <c r="G263" s="35" t="str">
        <f t="shared" si="17"/>
        <v/>
      </c>
      <c r="H263" s="36" t="str">
        <f t="shared" si="18"/>
        <v/>
      </c>
      <c r="I263" s="36" t="str">
        <f t="shared" si="19"/>
        <v/>
      </c>
      <c r="J263" s="1"/>
    </row>
    <row r="264" spans="1:10" x14ac:dyDescent="0.25">
      <c r="A264" s="32"/>
      <c r="B264" s="32"/>
      <c r="C264" s="40"/>
      <c r="D264" s="40"/>
      <c r="E264" s="34" t="str">
        <f t="shared" si="15"/>
        <v/>
      </c>
      <c r="F264" s="35" t="str">
        <f t="shared" si="16"/>
        <v/>
      </c>
      <c r="G264" s="35" t="str">
        <f t="shared" si="17"/>
        <v/>
      </c>
      <c r="H264" s="36" t="str">
        <f t="shared" si="18"/>
        <v/>
      </c>
      <c r="I264" s="36" t="str">
        <f t="shared" si="19"/>
        <v/>
      </c>
      <c r="J264" s="1"/>
    </row>
    <row r="265" spans="1:10" x14ac:dyDescent="0.25">
      <c r="A265" s="32"/>
      <c r="B265" s="32"/>
      <c r="C265" s="40"/>
      <c r="D265" s="40"/>
      <c r="E265" s="34" t="str">
        <f t="shared" si="15"/>
        <v/>
      </c>
      <c r="F265" s="35" t="str">
        <f t="shared" si="16"/>
        <v/>
      </c>
      <c r="G265" s="35" t="str">
        <f t="shared" si="17"/>
        <v/>
      </c>
      <c r="H265" s="36" t="str">
        <f t="shared" si="18"/>
        <v/>
      </c>
      <c r="I265" s="36" t="str">
        <f t="shared" si="19"/>
        <v/>
      </c>
      <c r="J265" s="1"/>
    </row>
    <row r="266" spans="1:10" x14ac:dyDescent="0.25">
      <c r="A266" s="32"/>
      <c r="B266" s="32"/>
      <c r="C266" s="40"/>
      <c r="D266" s="40"/>
      <c r="E266" s="34" t="str">
        <f t="shared" si="15"/>
        <v/>
      </c>
      <c r="F266" s="35" t="str">
        <f t="shared" si="16"/>
        <v/>
      </c>
      <c r="G266" s="35" t="str">
        <f t="shared" si="17"/>
        <v/>
      </c>
      <c r="H266" s="36" t="str">
        <f t="shared" si="18"/>
        <v/>
      </c>
      <c r="I266" s="36" t="str">
        <f t="shared" si="19"/>
        <v/>
      </c>
      <c r="J266" s="1"/>
    </row>
    <row r="267" spans="1:10" x14ac:dyDescent="0.25">
      <c r="A267" s="32"/>
      <c r="B267" s="32"/>
      <c r="C267" s="40"/>
      <c r="D267" s="40"/>
      <c r="E267" s="34" t="str">
        <f t="shared" si="15"/>
        <v/>
      </c>
      <c r="F267" s="35" t="str">
        <f t="shared" si="16"/>
        <v/>
      </c>
      <c r="G267" s="35" t="str">
        <f t="shared" si="17"/>
        <v/>
      </c>
      <c r="H267" s="36" t="str">
        <f t="shared" si="18"/>
        <v/>
      </c>
      <c r="I267" s="36" t="str">
        <f t="shared" si="19"/>
        <v/>
      </c>
      <c r="J267" s="1"/>
    </row>
    <row r="268" spans="1:10" x14ac:dyDescent="0.25">
      <c r="A268" s="32"/>
      <c r="B268" s="32"/>
      <c r="C268" s="40"/>
      <c r="D268" s="40"/>
      <c r="E268" s="34" t="str">
        <f t="shared" si="15"/>
        <v/>
      </c>
      <c r="F268" s="35" t="str">
        <f t="shared" si="16"/>
        <v/>
      </c>
      <c r="G268" s="35" t="str">
        <f t="shared" si="17"/>
        <v/>
      </c>
      <c r="H268" s="36" t="str">
        <f t="shared" si="18"/>
        <v/>
      </c>
      <c r="I268" s="36" t="str">
        <f t="shared" si="19"/>
        <v/>
      </c>
      <c r="J268" s="1"/>
    </row>
    <row r="269" spans="1:10" x14ac:dyDescent="0.25">
      <c r="A269" s="32"/>
      <c r="B269" s="32"/>
      <c r="C269" s="40"/>
      <c r="D269" s="40"/>
      <c r="E269" s="34" t="str">
        <f t="shared" si="15"/>
        <v/>
      </c>
      <c r="F269" s="35" t="str">
        <f t="shared" si="16"/>
        <v/>
      </c>
      <c r="G269" s="35" t="str">
        <f t="shared" si="17"/>
        <v/>
      </c>
      <c r="H269" s="36" t="str">
        <f t="shared" si="18"/>
        <v/>
      </c>
      <c r="I269" s="36" t="str">
        <f t="shared" si="19"/>
        <v/>
      </c>
      <c r="J269" s="1"/>
    </row>
    <row r="270" spans="1:10" x14ac:dyDescent="0.25">
      <c r="A270" s="32"/>
      <c r="B270" s="32"/>
      <c r="C270" s="40"/>
      <c r="D270" s="40"/>
      <c r="E270" s="34" t="str">
        <f t="shared" si="15"/>
        <v/>
      </c>
      <c r="F270" s="35" t="str">
        <f t="shared" si="16"/>
        <v/>
      </c>
      <c r="G270" s="35" t="str">
        <f t="shared" si="17"/>
        <v/>
      </c>
      <c r="H270" s="36" t="str">
        <f t="shared" si="18"/>
        <v/>
      </c>
      <c r="I270" s="36" t="str">
        <f t="shared" si="19"/>
        <v/>
      </c>
      <c r="J270" s="1"/>
    </row>
    <row r="271" spans="1:10" x14ac:dyDescent="0.25">
      <c r="A271" s="32"/>
      <c r="B271" s="32"/>
      <c r="C271" s="40"/>
      <c r="D271" s="40"/>
      <c r="E271" s="34" t="str">
        <f t="shared" ref="E271:E334" si="20">IF(C271="","",2*(D271-D270)/((C271-C270)/1000))</f>
        <v/>
      </c>
      <c r="F271" s="35" t="str">
        <f t="shared" ref="F271:F334" si="21">IF(C271="","",F$7+(F$9/F$10)*(EXP(F$10*(C271-F$8)/2000)-1))</f>
        <v/>
      </c>
      <c r="G271" s="35" t="str">
        <f t="shared" ref="G271:G334" si="22">IF(E271="","",F$9+(F271-F$7)*F$10)</f>
        <v/>
      </c>
      <c r="H271" s="36" t="str">
        <f t="shared" ref="H271:H334" si="23">IF(F271="","",F271-D271)</f>
        <v/>
      </c>
      <c r="I271" s="36" t="str">
        <f t="shared" ref="I271:I334" si="24">IF(H271="","",H271^2)</f>
        <v/>
      </c>
      <c r="J271" s="1"/>
    </row>
    <row r="272" spans="1:10" x14ac:dyDescent="0.25">
      <c r="A272" s="32"/>
      <c r="B272" s="32"/>
      <c r="C272" s="40"/>
      <c r="D272" s="40"/>
      <c r="E272" s="34" t="str">
        <f t="shared" si="20"/>
        <v/>
      </c>
      <c r="F272" s="35" t="str">
        <f t="shared" si="21"/>
        <v/>
      </c>
      <c r="G272" s="35" t="str">
        <f t="shared" si="22"/>
        <v/>
      </c>
      <c r="H272" s="36" t="str">
        <f t="shared" si="23"/>
        <v/>
      </c>
      <c r="I272" s="36" t="str">
        <f t="shared" si="24"/>
        <v/>
      </c>
      <c r="J272" s="1"/>
    </row>
    <row r="273" spans="1:10" x14ac:dyDescent="0.25">
      <c r="A273" s="32"/>
      <c r="B273" s="32"/>
      <c r="C273" s="40"/>
      <c r="D273" s="40"/>
      <c r="E273" s="34" t="str">
        <f t="shared" si="20"/>
        <v/>
      </c>
      <c r="F273" s="35" t="str">
        <f t="shared" si="21"/>
        <v/>
      </c>
      <c r="G273" s="35" t="str">
        <f t="shared" si="22"/>
        <v/>
      </c>
      <c r="H273" s="36" t="str">
        <f t="shared" si="23"/>
        <v/>
      </c>
      <c r="I273" s="36" t="str">
        <f t="shared" si="24"/>
        <v/>
      </c>
      <c r="J273" s="1"/>
    </row>
    <row r="274" spans="1:10" x14ac:dyDescent="0.25">
      <c r="A274" s="32"/>
      <c r="B274" s="32"/>
      <c r="C274" s="40"/>
      <c r="D274" s="40"/>
      <c r="E274" s="34" t="str">
        <f t="shared" si="20"/>
        <v/>
      </c>
      <c r="F274" s="35" t="str">
        <f t="shared" si="21"/>
        <v/>
      </c>
      <c r="G274" s="35" t="str">
        <f t="shared" si="22"/>
        <v/>
      </c>
      <c r="H274" s="36" t="str">
        <f t="shared" si="23"/>
        <v/>
      </c>
      <c r="I274" s="36" t="str">
        <f t="shared" si="24"/>
        <v/>
      </c>
      <c r="J274" s="1"/>
    </row>
    <row r="275" spans="1:10" x14ac:dyDescent="0.25">
      <c r="A275" s="32"/>
      <c r="B275" s="32"/>
      <c r="C275" s="40"/>
      <c r="D275" s="40"/>
      <c r="E275" s="34" t="str">
        <f t="shared" si="20"/>
        <v/>
      </c>
      <c r="F275" s="35" t="str">
        <f t="shared" si="21"/>
        <v/>
      </c>
      <c r="G275" s="35" t="str">
        <f t="shared" si="22"/>
        <v/>
      </c>
      <c r="H275" s="36" t="str">
        <f t="shared" si="23"/>
        <v/>
      </c>
      <c r="I275" s="36" t="str">
        <f t="shared" si="24"/>
        <v/>
      </c>
      <c r="J275" s="1"/>
    </row>
    <row r="276" spans="1:10" x14ac:dyDescent="0.25">
      <c r="A276" s="32"/>
      <c r="B276" s="32"/>
      <c r="C276" s="40"/>
      <c r="D276" s="40"/>
      <c r="E276" s="34" t="str">
        <f t="shared" si="20"/>
        <v/>
      </c>
      <c r="F276" s="35" t="str">
        <f t="shared" si="21"/>
        <v/>
      </c>
      <c r="G276" s="35" t="str">
        <f t="shared" si="22"/>
        <v/>
      </c>
      <c r="H276" s="36" t="str">
        <f t="shared" si="23"/>
        <v/>
      </c>
      <c r="I276" s="36" t="str">
        <f t="shared" si="24"/>
        <v/>
      </c>
      <c r="J276" s="1"/>
    </row>
    <row r="277" spans="1:10" x14ac:dyDescent="0.25">
      <c r="A277" s="32"/>
      <c r="B277" s="32"/>
      <c r="C277" s="40"/>
      <c r="D277" s="40"/>
      <c r="E277" s="34" t="str">
        <f t="shared" si="20"/>
        <v/>
      </c>
      <c r="F277" s="35" t="str">
        <f t="shared" si="21"/>
        <v/>
      </c>
      <c r="G277" s="35" t="str">
        <f t="shared" si="22"/>
        <v/>
      </c>
      <c r="H277" s="36" t="str">
        <f t="shared" si="23"/>
        <v/>
      </c>
      <c r="I277" s="36" t="str">
        <f t="shared" si="24"/>
        <v/>
      </c>
      <c r="J277" s="1"/>
    </row>
    <row r="278" spans="1:10" x14ac:dyDescent="0.25">
      <c r="A278" s="32"/>
      <c r="B278" s="32"/>
      <c r="C278" s="40"/>
      <c r="D278" s="40"/>
      <c r="E278" s="34" t="str">
        <f t="shared" si="20"/>
        <v/>
      </c>
      <c r="F278" s="35" t="str">
        <f t="shared" si="21"/>
        <v/>
      </c>
      <c r="G278" s="35" t="str">
        <f t="shared" si="22"/>
        <v/>
      </c>
      <c r="H278" s="36" t="str">
        <f t="shared" si="23"/>
        <v/>
      </c>
      <c r="I278" s="36" t="str">
        <f t="shared" si="24"/>
        <v/>
      </c>
      <c r="J278" s="1"/>
    </row>
    <row r="279" spans="1:10" x14ac:dyDescent="0.25">
      <c r="A279" s="32"/>
      <c r="B279" s="32"/>
      <c r="C279" s="40"/>
      <c r="D279" s="40"/>
      <c r="E279" s="34" t="str">
        <f t="shared" si="20"/>
        <v/>
      </c>
      <c r="F279" s="35" t="str">
        <f t="shared" si="21"/>
        <v/>
      </c>
      <c r="G279" s="35" t="str">
        <f t="shared" si="22"/>
        <v/>
      </c>
      <c r="H279" s="36" t="str">
        <f t="shared" si="23"/>
        <v/>
      </c>
      <c r="I279" s="36" t="str">
        <f t="shared" si="24"/>
        <v/>
      </c>
      <c r="J279" s="1"/>
    </row>
    <row r="280" spans="1:10" x14ac:dyDescent="0.25">
      <c r="A280" s="32"/>
      <c r="B280" s="32"/>
      <c r="C280" s="40"/>
      <c r="D280" s="40"/>
      <c r="E280" s="34" t="str">
        <f t="shared" si="20"/>
        <v/>
      </c>
      <c r="F280" s="35" t="str">
        <f t="shared" si="21"/>
        <v/>
      </c>
      <c r="G280" s="35" t="str">
        <f t="shared" si="22"/>
        <v/>
      </c>
      <c r="H280" s="36" t="str">
        <f t="shared" si="23"/>
        <v/>
      </c>
      <c r="I280" s="36" t="str">
        <f t="shared" si="24"/>
        <v/>
      </c>
      <c r="J280" s="1"/>
    </row>
    <row r="281" spans="1:10" x14ac:dyDescent="0.25">
      <c r="A281" s="32"/>
      <c r="B281" s="32"/>
      <c r="C281" s="40"/>
      <c r="D281" s="40"/>
      <c r="E281" s="34" t="str">
        <f t="shared" si="20"/>
        <v/>
      </c>
      <c r="F281" s="35" t="str">
        <f t="shared" si="21"/>
        <v/>
      </c>
      <c r="G281" s="35" t="str">
        <f t="shared" si="22"/>
        <v/>
      </c>
      <c r="H281" s="36" t="str">
        <f t="shared" si="23"/>
        <v/>
      </c>
      <c r="I281" s="36" t="str">
        <f t="shared" si="24"/>
        <v/>
      </c>
      <c r="J281" s="1"/>
    </row>
    <row r="282" spans="1:10" x14ac:dyDescent="0.25">
      <c r="A282" s="32"/>
      <c r="B282" s="32"/>
      <c r="C282" s="40"/>
      <c r="D282" s="40"/>
      <c r="E282" s="34" t="str">
        <f t="shared" si="20"/>
        <v/>
      </c>
      <c r="F282" s="35" t="str">
        <f t="shared" si="21"/>
        <v/>
      </c>
      <c r="G282" s="35" t="str">
        <f t="shared" si="22"/>
        <v/>
      </c>
      <c r="H282" s="36" t="str">
        <f t="shared" si="23"/>
        <v/>
      </c>
      <c r="I282" s="36" t="str">
        <f t="shared" si="24"/>
        <v/>
      </c>
      <c r="J282" s="1"/>
    </row>
    <row r="283" spans="1:10" x14ac:dyDescent="0.25">
      <c r="A283" s="32"/>
      <c r="B283" s="32"/>
      <c r="C283" s="40"/>
      <c r="D283" s="40"/>
      <c r="E283" s="34" t="str">
        <f t="shared" si="20"/>
        <v/>
      </c>
      <c r="F283" s="35" t="str">
        <f t="shared" si="21"/>
        <v/>
      </c>
      <c r="G283" s="35" t="str">
        <f t="shared" si="22"/>
        <v/>
      </c>
      <c r="H283" s="36" t="str">
        <f t="shared" si="23"/>
        <v/>
      </c>
      <c r="I283" s="36" t="str">
        <f t="shared" si="24"/>
        <v/>
      </c>
      <c r="J283" s="1"/>
    </row>
    <row r="284" spans="1:10" x14ac:dyDescent="0.25">
      <c r="A284" s="32"/>
      <c r="B284" s="32"/>
      <c r="C284" s="40"/>
      <c r="D284" s="40"/>
      <c r="E284" s="34" t="str">
        <f t="shared" si="20"/>
        <v/>
      </c>
      <c r="F284" s="35" t="str">
        <f t="shared" si="21"/>
        <v/>
      </c>
      <c r="G284" s="35" t="str">
        <f t="shared" si="22"/>
        <v/>
      </c>
      <c r="H284" s="36" t="str">
        <f t="shared" si="23"/>
        <v/>
      </c>
      <c r="I284" s="36" t="str">
        <f t="shared" si="24"/>
        <v/>
      </c>
      <c r="J284" s="1"/>
    </row>
    <row r="285" spans="1:10" x14ac:dyDescent="0.25">
      <c r="A285" s="32"/>
      <c r="B285" s="32"/>
      <c r="C285" s="40"/>
      <c r="D285" s="40"/>
      <c r="E285" s="34" t="str">
        <f t="shared" si="20"/>
        <v/>
      </c>
      <c r="F285" s="35" t="str">
        <f t="shared" si="21"/>
        <v/>
      </c>
      <c r="G285" s="35" t="str">
        <f t="shared" si="22"/>
        <v/>
      </c>
      <c r="H285" s="36" t="str">
        <f t="shared" si="23"/>
        <v/>
      </c>
      <c r="I285" s="36" t="str">
        <f t="shared" si="24"/>
        <v/>
      </c>
      <c r="J285" s="1"/>
    </row>
    <row r="286" spans="1:10" x14ac:dyDescent="0.25">
      <c r="A286" s="32"/>
      <c r="B286" s="32"/>
      <c r="C286" s="40"/>
      <c r="D286" s="40"/>
      <c r="E286" s="34" t="str">
        <f t="shared" si="20"/>
        <v/>
      </c>
      <c r="F286" s="35" t="str">
        <f t="shared" si="21"/>
        <v/>
      </c>
      <c r="G286" s="35" t="str">
        <f t="shared" si="22"/>
        <v/>
      </c>
      <c r="H286" s="36" t="str">
        <f t="shared" si="23"/>
        <v/>
      </c>
      <c r="I286" s="36" t="str">
        <f t="shared" si="24"/>
        <v/>
      </c>
      <c r="J286" s="1"/>
    </row>
    <row r="287" spans="1:10" x14ac:dyDescent="0.25">
      <c r="A287" s="32"/>
      <c r="B287" s="32"/>
      <c r="C287" s="40"/>
      <c r="D287" s="40"/>
      <c r="E287" s="34" t="str">
        <f t="shared" si="20"/>
        <v/>
      </c>
      <c r="F287" s="35" t="str">
        <f t="shared" si="21"/>
        <v/>
      </c>
      <c r="G287" s="35" t="str">
        <f t="shared" si="22"/>
        <v/>
      </c>
      <c r="H287" s="36" t="str">
        <f t="shared" si="23"/>
        <v/>
      </c>
      <c r="I287" s="36" t="str">
        <f t="shared" si="24"/>
        <v/>
      </c>
      <c r="J287" s="1"/>
    </row>
    <row r="288" spans="1:10" x14ac:dyDescent="0.25">
      <c r="A288" s="32"/>
      <c r="B288" s="32"/>
      <c r="C288" s="40"/>
      <c r="D288" s="40"/>
      <c r="E288" s="34" t="str">
        <f t="shared" si="20"/>
        <v/>
      </c>
      <c r="F288" s="35" t="str">
        <f t="shared" si="21"/>
        <v/>
      </c>
      <c r="G288" s="35" t="str">
        <f t="shared" si="22"/>
        <v/>
      </c>
      <c r="H288" s="36" t="str">
        <f t="shared" si="23"/>
        <v/>
      </c>
      <c r="I288" s="36" t="str">
        <f t="shared" si="24"/>
        <v/>
      </c>
      <c r="J288" s="1"/>
    </row>
    <row r="289" spans="1:10" x14ac:dyDescent="0.25">
      <c r="A289" s="32"/>
      <c r="B289" s="32"/>
      <c r="C289" s="40"/>
      <c r="D289" s="40"/>
      <c r="E289" s="34" t="str">
        <f t="shared" si="20"/>
        <v/>
      </c>
      <c r="F289" s="35" t="str">
        <f t="shared" si="21"/>
        <v/>
      </c>
      <c r="G289" s="35" t="str">
        <f t="shared" si="22"/>
        <v/>
      </c>
      <c r="H289" s="36" t="str">
        <f t="shared" si="23"/>
        <v/>
      </c>
      <c r="I289" s="36" t="str">
        <f t="shared" si="24"/>
        <v/>
      </c>
      <c r="J289" s="1"/>
    </row>
    <row r="290" spans="1:10" x14ac:dyDescent="0.25">
      <c r="A290" s="32"/>
      <c r="B290" s="32"/>
      <c r="C290" s="40"/>
      <c r="D290" s="40"/>
      <c r="E290" s="34" t="str">
        <f t="shared" si="20"/>
        <v/>
      </c>
      <c r="F290" s="35" t="str">
        <f t="shared" si="21"/>
        <v/>
      </c>
      <c r="G290" s="35" t="str">
        <f t="shared" si="22"/>
        <v/>
      </c>
      <c r="H290" s="36" t="str">
        <f t="shared" si="23"/>
        <v/>
      </c>
      <c r="I290" s="36" t="str">
        <f t="shared" si="24"/>
        <v/>
      </c>
      <c r="J290" s="1"/>
    </row>
    <row r="291" spans="1:10" x14ac:dyDescent="0.25">
      <c r="A291" s="32"/>
      <c r="B291" s="32"/>
      <c r="C291" s="40"/>
      <c r="D291" s="40"/>
      <c r="E291" s="34" t="str">
        <f t="shared" si="20"/>
        <v/>
      </c>
      <c r="F291" s="35" t="str">
        <f t="shared" si="21"/>
        <v/>
      </c>
      <c r="G291" s="35" t="str">
        <f t="shared" si="22"/>
        <v/>
      </c>
      <c r="H291" s="36" t="str">
        <f t="shared" si="23"/>
        <v/>
      </c>
      <c r="I291" s="36" t="str">
        <f t="shared" si="24"/>
        <v/>
      </c>
      <c r="J291" s="1"/>
    </row>
    <row r="292" spans="1:10" x14ac:dyDescent="0.25">
      <c r="A292" s="32"/>
      <c r="B292" s="32"/>
      <c r="C292" s="40"/>
      <c r="D292" s="40"/>
      <c r="E292" s="34" t="str">
        <f t="shared" si="20"/>
        <v/>
      </c>
      <c r="F292" s="35" t="str">
        <f t="shared" si="21"/>
        <v/>
      </c>
      <c r="G292" s="35" t="str">
        <f t="shared" si="22"/>
        <v/>
      </c>
      <c r="H292" s="36" t="str">
        <f t="shared" si="23"/>
        <v/>
      </c>
      <c r="I292" s="36" t="str">
        <f t="shared" si="24"/>
        <v/>
      </c>
      <c r="J292" s="1"/>
    </row>
    <row r="293" spans="1:10" x14ac:dyDescent="0.25">
      <c r="A293" s="32"/>
      <c r="B293" s="32"/>
      <c r="C293" s="40"/>
      <c r="D293" s="40"/>
      <c r="E293" s="34" t="str">
        <f t="shared" si="20"/>
        <v/>
      </c>
      <c r="F293" s="35" t="str">
        <f t="shared" si="21"/>
        <v/>
      </c>
      <c r="G293" s="35" t="str">
        <f t="shared" si="22"/>
        <v/>
      </c>
      <c r="H293" s="36" t="str">
        <f t="shared" si="23"/>
        <v/>
      </c>
      <c r="I293" s="36" t="str">
        <f t="shared" si="24"/>
        <v/>
      </c>
      <c r="J293" s="1"/>
    </row>
    <row r="294" spans="1:10" x14ac:dyDescent="0.25">
      <c r="A294" s="32"/>
      <c r="B294" s="32"/>
      <c r="C294" s="40"/>
      <c r="D294" s="40"/>
      <c r="E294" s="34" t="str">
        <f t="shared" si="20"/>
        <v/>
      </c>
      <c r="F294" s="35" t="str">
        <f t="shared" si="21"/>
        <v/>
      </c>
      <c r="G294" s="35" t="str">
        <f t="shared" si="22"/>
        <v/>
      </c>
      <c r="H294" s="36" t="str">
        <f t="shared" si="23"/>
        <v/>
      </c>
      <c r="I294" s="36" t="str">
        <f t="shared" si="24"/>
        <v/>
      </c>
      <c r="J294" s="1"/>
    </row>
    <row r="295" spans="1:10" x14ac:dyDescent="0.25">
      <c r="A295" s="32"/>
      <c r="B295" s="32"/>
      <c r="C295" s="40"/>
      <c r="D295" s="40"/>
      <c r="E295" s="34" t="str">
        <f t="shared" si="20"/>
        <v/>
      </c>
      <c r="F295" s="35" t="str">
        <f t="shared" si="21"/>
        <v/>
      </c>
      <c r="G295" s="35" t="str">
        <f t="shared" si="22"/>
        <v/>
      </c>
      <c r="H295" s="36" t="str">
        <f t="shared" si="23"/>
        <v/>
      </c>
      <c r="I295" s="36" t="str">
        <f t="shared" si="24"/>
        <v/>
      </c>
      <c r="J295" s="1"/>
    </row>
    <row r="296" spans="1:10" x14ac:dyDescent="0.25">
      <c r="A296" s="32"/>
      <c r="B296" s="32"/>
      <c r="C296" s="40"/>
      <c r="D296" s="40"/>
      <c r="E296" s="34" t="str">
        <f t="shared" si="20"/>
        <v/>
      </c>
      <c r="F296" s="35" t="str">
        <f t="shared" si="21"/>
        <v/>
      </c>
      <c r="G296" s="35" t="str">
        <f t="shared" si="22"/>
        <v/>
      </c>
      <c r="H296" s="36" t="str">
        <f t="shared" si="23"/>
        <v/>
      </c>
      <c r="I296" s="36" t="str">
        <f t="shared" si="24"/>
        <v/>
      </c>
      <c r="J296" s="1"/>
    </row>
    <row r="297" spans="1:10" x14ac:dyDescent="0.25">
      <c r="A297" s="32"/>
      <c r="B297" s="32"/>
      <c r="C297" s="40"/>
      <c r="D297" s="40"/>
      <c r="E297" s="34" t="str">
        <f t="shared" si="20"/>
        <v/>
      </c>
      <c r="F297" s="35" t="str">
        <f t="shared" si="21"/>
        <v/>
      </c>
      <c r="G297" s="35" t="str">
        <f t="shared" si="22"/>
        <v/>
      </c>
      <c r="H297" s="36" t="str">
        <f t="shared" si="23"/>
        <v/>
      </c>
      <c r="I297" s="36" t="str">
        <f t="shared" si="24"/>
        <v/>
      </c>
      <c r="J297" s="1"/>
    </row>
    <row r="298" spans="1:10" x14ac:dyDescent="0.25">
      <c r="A298" s="32"/>
      <c r="B298" s="32"/>
      <c r="C298" s="40"/>
      <c r="D298" s="40"/>
      <c r="E298" s="34" t="str">
        <f t="shared" si="20"/>
        <v/>
      </c>
      <c r="F298" s="35" t="str">
        <f t="shared" si="21"/>
        <v/>
      </c>
      <c r="G298" s="35" t="str">
        <f t="shared" si="22"/>
        <v/>
      </c>
      <c r="H298" s="36" t="str">
        <f t="shared" si="23"/>
        <v/>
      </c>
      <c r="I298" s="36" t="str">
        <f t="shared" si="24"/>
        <v/>
      </c>
      <c r="J298" s="1"/>
    </row>
    <row r="299" spans="1:10" x14ac:dyDescent="0.25">
      <c r="A299" s="32"/>
      <c r="B299" s="32"/>
      <c r="C299" s="40"/>
      <c r="D299" s="40"/>
      <c r="E299" s="34" t="str">
        <f t="shared" si="20"/>
        <v/>
      </c>
      <c r="F299" s="35" t="str">
        <f t="shared" si="21"/>
        <v/>
      </c>
      <c r="G299" s="35" t="str">
        <f t="shared" si="22"/>
        <v/>
      </c>
      <c r="H299" s="36" t="str">
        <f t="shared" si="23"/>
        <v/>
      </c>
      <c r="I299" s="36" t="str">
        <f t="shared" si="24"/>
        <v/>
      </c>
      <c r="J299" s="1"/>
    </row>
    <row r="300" spans="1:10" x14ac:dyDescent="0.25">
      <c r="A300" s="32"/>
      <c r="B300" s="32"/>
      <c r="C300" s="40"/>
      <c r="D300" s="40"/>
      <c r="E300" s="34" t="str">
        <f t="shared" si="20"/>
        <v/>
      </c>
      <c r="F300" s="35" t="str">
        <f t="shared" si="21"/>
        <v/>
      </c>
      <c r="G300" s="35" t="str">
        <f t="shared" si="22"/>
        <v/>
      </c>
      <c r="H300" s="36" t="str">
        <f t="shared" si="23"/>
        <v/>
      </c>
      <c r="I300" s="36" t="str">
        <f t="shared" si="24"/>
        <v/>
      </c>
      <c r="J300" s="1"/>
    </row>
    <row r="301" spans="1:10" x14ac:dyDescent="0.25">
      <c r="A301" s="32"/>
      <c r="B301" s="32"/>
      <c r="C301" s="40"/>
      <c r="D301" s="40"/>
      <c r="E301" s="34" t="str">
        <f t="shared" si="20"/>
        <v/>
      </c>
      <c r="F301" s="35" t="str">
        <f t="shared" si="21"/>
        <v/>
      </c>
      <c r="G301" s="35" t="str">
        <f t="shared" si="22"/>
        <v/>
      </c>
      <c r="H301" s="36" t="str">
        <f t="shared" si="23"/>
        <v/>
      </c>
      <c r="I301" s="36" t="str">
        <f t="shared" si="24"/>
        <v/>
      </c>
      <c r="J301" s="1"/>
    </row>
    <row r="302" spans="1:10" x14ac:dyDescent="0.25">
      <c r="A302" s="32"/>
      <c r="B302" s="32"/>
      <c r="C302" s="40"/>
      <c r="D302" s="40"/>
      <c r="E302" s="34" t="str">
        <f t="shared" si="20"/>
        <v/>
      </c>
      <c r="F302" s="35" t="str">
        <f t="shared" si="21"/>
        <v/>
      </c>
      <c r="G302" s="35" t="str">
        <f t="shared" si="22"/>
        <v/>
      </c>
      <c r="H302" s="36" t="str">
        <f t="shared" si="23"/>
        <v/>
      </c>
      <c r="I302" s="36" t="str">
        <f t="shared" si="24"/>
        <v/>
      </c>
      <c r="J302" s="1"/>
    </row>
    <row r="303" spans="1:10" x14ac:dyDescent="0.25">
      <c r="A303" s="32"/>
      <c r="B303" s="32"/>
      <c r="C303" s="40"/>
      <c r="D303" s="40"/>
      <c r="E303" s="34" t="str">
        <f t="shared" si="20"/>
        <v/>
      </c>
      <c r="F303" s="35" t="str">
        <f t="shared" si="21"/>
        <v/>
      </c>
      <c r="G303" s="35" t="str">
        <f t="shared" si="22"/>
        <v/>
      </c>
      <c r="H303" s="36" t="str">
        <f t="shared" si="23"/>
        <v/>
      </c>
      <c r="I303" s="36" t="str">
        <f t="shared" si="24"/>
        <v/>
      </c>
      <c r="J303" s="1"/>
    </row>
    <row r="304" spans="1:10" x14ac:dyDescent="0.25">
      <c r="A304" s="32"/>
      <c r="B304" s="32"/>
      <c r="C304" s="40"/>
      <c r="D304" s="40"/>
      <c r="E304" s="34" t="str">
        <f t="shared" si="20"/>
        <v/>
      </c>
      <c r="F304" s="35" t="str">
        <f t="shared" si="21"/>
        <v/>
      </c>
      <c r="G304" s="35" t="str">
        <f t="shared" si="22"/>
        <v/>
      </c>
      <c r="H304" s="36" t="str">
        <f t="shared" si="23"/>
        <v/>
      </c>
      <c r="I304" s="36" t="str">
        <f t="shared" si="24"/>
        <v/>
      </c>
      <c r="J304" s="1"/>
    </row>
    <row r="305" spans="1:10" x14ac:dyDescent="0.25">
      <c r="A305" s="32"/>
      <c r="B305" s="32"/>
      <c r="C305" s="40"/>
      <c r="D305" s="40"/>
      <c r="E305" s="34" t="str">
        <f t="shared" si="20"/>
        <v/>
      </c>
      <c r="F305" s="35" t="str">
        <f t="shared" si="21"/>
        <v/>
      </c>
      <c r="G305" s="35" t="str">
        <f t="shared" si="22"/>
        <v/>
      </c>
      <c r="H305" s="36" t="str">
        <f t="shared" si="23"/>
        <v/>
      </c>
      <c r="I305" s="36" t="str">
        <f t="shared" si="24"/>
        <v/>
      </c>
      <c r="J305" s="1"/>
    </row>
    <row r="306" spans="1:10" x14ac:dyDescent="0.25">
      <c r="A306" s="32"/>
      <c r="B306" s="32"/>
      <c r="C306" s="40"/>
      <c r="D306" s="40"/>
      <c r="E306" s="34" t="str">
        <f t="shared" si="20"/>
        <v/>
      </c>
      <c r="F306" s="35" t="str">
        <f t="shared" si="21"/>
        <v/>
      </c>
      <c r="G306" s="35" t="str">
        <f t="shared" si="22"/>
        <v/>
      </c>
      <c r="H306" s="36" t="str">
        <f t="shared" si="23"/>
        <v/>
      </c>
      <c r="I306" s="36" t="str">
        <f t="shared" si="24"/>
        <v/>
      </c>
      <c r="J306" s="1"/>
    </row>
    <row r="307" spans="1:10" x14ac:dyDescent="0.25">
      <c r="A307" s="32"/>
      <c r="B307" s="32"/>
      <c r="C307" s="40"/>
      <c r="D307" s="40"/>
      <c r="E307" s="34" t="str">
        <f t="shared" si="20"/>
        <v/>
      </c>
      <c r="F307" s="35" t="str">
        <f t="shared" si="21"/>
        <v/>
      </c>
      <c r="G307" s="35" t="str">
        <f t="shared" si="22"/>
        <v/>
      </c>
      <c r="H307" s="36" t="str">
        <f t="shared" si="23"/>
        <v/>
      </c>
      <c r="I307" s="36" t="str">
        <f t="shared" si="24"/>
        <v/>
      </c>
      <c r="J307" s="1"/>
    </row>
    <row r="308" spans="1:10" x14ac:dyDescent="0.25">
      <c r="A308" s="32"/>
      <c r="B308" s="32"/>
      <c r="C308" s="40"/>
      <c r="D308" s="40"/>
      <c r="E308" s="34" t="str">
        <f t="shared" si="20"/>
        <v/>
      </c>
      <c r="F308" s="35" t="str">
        <f t="shared" si="21"/>
        <v/>
      </c>
      <c r="G308" s="35" t="str">
        <f t="shared" si="22"/>
        <v/>
      </c>
      <c r="H308" s="36" t="str">
        <f t="shared" si="23"/>
        <v/>
      </c>
      <c r="I308" s="36" t="str">
        <f t="shared" si="24"/>
        <v/>
      </c>
      <c r="J308" s="1"/>
    </row>
    <row r="309" spans="1:10" x14ac:dyDescent="0.25">
      <c r="A309" s="32"/>
      <c r="B309" s="32"/>
      <c r="C309" s="40"/>
      <c r="D309" s="40"/>
      <c r="E309" s="34" t="str">
        <f t="shared" si="20"/>
        <v/>
      </c>
      <c r="F309" s="35" t="str">
        <f t="shared" si="21"/>
        <v/>
      </c>
      <c r="G309" s="35" t="str">
        <f t="shared" si="22"/>
        <v/>
      </c>
      <c r="H309" s="36" t="str">
        <f t="shared" si="23"/>
        <v/>
      </c>
      <c r="I309" s="36" t="str">
        <f t="shared" si="24"/>
        <v/>
      </c>
      <c r="J309" s="1"/>
    </row>
    <row r="310" spans="1:10" x14ac:dyDescent="0.25">
      <c r="A310" s="32"/>
      <c r="B310" s="32"/>
      <c r="C310" s="40"/>
      <c r="D310" s="40"/>
      <c r="E310" s="34" t="str">
        <f t="shared" si="20"/>
        <v/>
      </c>
      <c r="F310" s="35" t="str">
        <f t="shared" si="21"/>
        <v/>
      </c>
      <c r="G310" s="35" t="str">
        <f t="shared" si="22"/>
        <v/>
      </c>
      <c r="H310" s="36" t="str">
        <f t="shared" si="23"/>
        <v/>
      </c>
      <c r="I310" s="36" t="str">
        <f t="shared" si="24"/>
        <v/>
      </c>
      <c r="J310" s="1"/>
    </row>
    <row r="311" spans="1:10" x14ac:dyDescent="0.25">
      <c r="A311" s="32"/>
      <c r="B311" s="32"/>
      <c r="C311" s="40"/>
      <c r="D311" s="40"/>
      <c r="E311" s="34" t="str">
        <f t="shared" si="20"/>
        <v/>
      </c>
      <c r="F311" s="35" t="str">
        <f t="shared" si="21"/>
        <v/>
      </c>
      <c r="G311" s="35" t="str">
        <f t="shared" si="22"/>
        <v/>
      </c>
      <c r="H311" s="36" t="str">
        <f t="shared" si="23"/>
        <v/>
      </c>
      <c r="I311" s="36" t="str">
        <f t="shared" si="24"/>
        <v/>
      </c>
      <c r="J311" s="1"/>
    </row>
    <row r="312" spans="1:10" x14ac:dyDescent="0.25">
      <c r="A312" s="32"/>
      <c r="B312" s="32"/>
      <c r="C312" s="40"/>
      <c r="D312" s="40"/>
      <c r="E312" s="34" t="str">
        <f t="shared" si="20"/>
        <v/>
      </c>
      <c r="F312" s="35" t="str">
        <f t="shared" si="21"/>
        <v/>
      </c>
      <c r="G312" s="35" t="str">
        <f t="shared" si="22"/>
        <v/>
      </c>
      <c r="H312" s="36" t="str">
        <f t="shared" si="23"/>
        <v/>
      </c>
      <c r="I312" s="36" t="str">
        <f t="shared" si="24"/>
        <v/>
      </c>
      <c r="J312" s="1"/>
    </row>
    <row r="313" spans="1:10" x14ac:dyDescent="0.25">
      <c r="A313" s="32"/>
      <c r="B313" s="32"/>
      <c r="C313" s="40"/>
      <c r="D313" s="40"/>
      <c r="E313" s="34" t="str">
        <f t="shared" si="20"/>
        <v/>
      </c>
      <c r="F313" s="35" t="str">
        <f t="shared" si="21"/>
        <v/>
      </c>
      <c r="G313" s="35" t="str">
        <f t="shared" si="22"/>
        <v/>
      </c>
      <c r="H313" s="36" t="str">
        <f t="shared" si="23"/>
        <v/>
      </c>
      <c r="I313" s="36" t="str">
        <f t="shared" si="24"/>
        <v/>
      </c>
      <c r="J313" s="1"/>
    </row>
    <row r="314" spans="1:10" x14ac:dyDescent="0.25">
      <c r="A314" s="32"/>
      <c r="B314" s="32"/>
      <c r="C314" s="40"/>
      <c r="D314" s="40"/>
      <c r="E314" s="34" t="str">
        <f t="shared" si="20"/>
        <v/>
      </c>
      <c r="F314" s="35" t="str">
        <f t="shared" si="21"/>
        <v/>
      </c>
      <c r="G314" s="35" t="str">
        <f t="shared" si="22"/>
        <v/>
      </c>
      <c r="H314" s="36" t="str">
        <f t="shared" si="23"/>
        <v/>
      </c>
      <c r="I314" s="36" t="str">
        <f t="shared" si="24"/>
        <v/>
      </c>
      <c r="J314" s="1"/>
    </row>
    <row r="315" spans="1:10" x14ac:dyDescent="0.25">
      <c r="A315" s="32"/>
      <c r="B315" s="32"/>
      <c r="C315" s="40"/>
      <c r="D315" s="40"/>
      <c r="E315" s="34" t="str">
        <f t="shared" si="20"/>
        <v/>
      </c>
      <c r="F315" s="35" t="str">
        <f t="shared" si="21"/>
        <v/>
      </c>
      <c r="G315" s="35" t="str">
        <f t="shared" si="22"/>
        <v/>
      </c>
      <c r="H315" s="36" t="str">
        <f t="shared" si="23"/>
        <v/>
      </c>
      <c r="I315" s="36" t="str">
        <f t="shared" si="24"/>
        <v/>
      </c>
      <c r="J315" s="1"/>
    </row>
    <row r="316" spans="1:10" x14ac:dyDescent="0.25">
      <c r="A316" s="32"/>
      <c r="B316" s="32"/>
      <c r="C316" s="40"/>
      <c r="D316" s="40"/>
      <c r="E316" s="34" t="str">
        <f t="shared" si="20"/>
        <v/>
      </c>
      <c r="F316" s="35" t="str">
        <f t="shared" si="21"/>
        <v/>
      </c>
      <c r="G316" s="35" t="str">
        <f t="shared" si="22"/>
        <v/>
      </c>
      <c r="H316" s="36" t="str">
        <f t="shared" si="23"/>
        <v/>
      </c>
      <c r="I316" s="36" t="str">
        <f t="shared" si="24"/>
        <v/>
      </c>
      <c r="J316" s="1"/>
    </row>
    <row r="317" spans="1:10" x14ac:dyDescent="0.25">
      <c r="A317" s="32"/>
      <c r="B317" s="32"/>
      <c r="C317" s="40"/>
      <c r="D317" s="40"/>
      <c r="E317" s="34" t="str">
        <f t="shared" si="20"/>
        <v/>
      </c>
      <c r="F317" s="35" t="str">
        <f t="shared" si="21"/>
        <v/>
      </c>
      <c r="G317" s="35" t="str">
        <f t="shared" si="22"/>
        <v/>
      </c>
      <c r="H317" s="36" t="str">
        <f t="shared" si="23"/>
        <v/>
      </c>
      <c r="I317" s="36" t="str">
        <f t="shared" si="24"/>
        <v/>
      </c>
      <c r="J317" s="1"/>
    </row>
    <row r="318" spans="1:10" x14ac:dyDescent="0.25">
      <c r="A318" s="32"/>
      <c r="B318" s="32"/>
      <c r="C318" s="40"/>
      <c r="D318" s="40"/>
      <c r="E318" s="34" t="str">
        <f t="shared" si="20"/>
        <v/>
      </c>
      <c r="F318" s="35" t="str">
        <f t="shared" si="21"/>
        <v/>
      </c>
      <c r="G318" s="35" t="str">
        <f t="shared" si="22"/>
        <v/>
      </c>
      <c r="H318" s="36" t="str">
        <f t="shared" si="23"/>
        <v/>
      </c>
      <c r="I318" s="36" t="str">
        <f t="shared" si="24"/>
        <v/>
      </c>
      <c r="J318" s="1"/>
    </row>
    <row r="319" spans="1:10" x14ac:dyDescent="0.25">
      <c r="A319" s="32"/>
      <c r="B319" s="32"/>
      <c r="C319" s="40"/>
      <c r="D319" s="40"/>
      <c r="E319" s="34" t="str">
        <f t="shared" si="20"/>
        <v/>
      </c>
      <c r="F319" s="35" t="str">
        <f t="shared" si="21"/>
        <v/>
      </c>
      <c r="G319" s="35" t="str">
        <f t="shared" si="22"/>
        <v/>
      </c>
      <c r="H319" s="36" t="str">
        <f t="shared" si="23"/>
        <v/>
      </c>
      <c r="I319" s="36" t="str">
        <f t="shared" si="24"/>
        <v/>
      </c>
      <c r="J319" s="1"/>
    </row>
    <row r="320" spans="1:10" x14ac:dyDescent="0.25">
      <c r="A320" s="32"/>
      <c r="B320" s="32"/>
      <c r="C320" s="40"/>
      <c r="D320" s="40"/>
      <c r="E320" s="34" t="str">
        <f t="shared" si="20"/>
        <v/>
      </c>
      <c r="F320" s="35" t="str">
        <f t="shared" si="21"/>
        <v/>
      </c>
      <c r="G320" s="35" t="str">
        <f t="shared" si="22"/>
        <v/>
      </c>
      <c r="H320" s="36" t="str">
        <f t="shared" si="23"/>
        <v/>
      </c>
      <c r="I320" s="36" t="str">
        <f t="shared" si="24"/>
        <v/>
      </c>
      <c r="J320" s="1"/>
    </row>
    <row r="321" spans="1:10" x14ac:dyDescent="0.25">
      <c r="A321" s="32"/>
      <c r="B321" s="32"/>
      <c r="C321" s="40"/>
      <c r="D321" s="40"/>
      <c r="E321" s="34" t="str">
        <f t="shared" si="20"/>
        <v/>
      </c>
      <c r="F321" s="35" t="str">
        <f t="shared" si="21"/>
        <v/>
      </c>
      <c r="G321" s="35" t="str">
        <f t="shared" si="22"/>
        <v/>
      </c>
      <c r="H321" s="36" t="str">
        <f t="shared" si="23"/>
        <v/>
      </c>
      <c r="I321" s="36" t="str">
        <f t="shared" si="24"/>
        <v/>
      </c>
      <c r="J321" s="1"/>
    </row>
    <row r="322" spans="1:10" x14ac:dyDescent="0.25">
      <c r="A322" s="32"/>
      <c r="B322" s="32"/>
      <c r="C322" s="40"/>
      <c r="D322" s="40"/>
      <c r="E322" s="34" t="str">
        <f t="shared" si="20"/>
        <v/>
      </c>
      <c r="F322" s="35" t="str">
        <f t="shared" si="21"/>
        <v/>
      </c>
      <c r="G322" s="35" t="str">
        <f t="shared" si="22"/>
        <v/>
      </c>
      <c r="H322" s="36" t="str">
        <f t="shared" si="23"/>
        <v/>
      </c>
      <c r="I322" s="36" t="str">
        <f t="shared" si="24"/>
        <v/>
      </c>
      <c r="J322" s="1"/>
    </row>
    <row r="323" spans="1:10" x14ac:dyDescent="0.25">
      <c r="A323" s="32"/>
      <c r="B323" s="32"/>
      <c r="C323" s="40"/>
      <c r="D323" s="40"/>
      <c r="E323" s="34" t="str">
        <f t="shared" si="20"/>
        <v/>
      </c>
      <c r="F323" s="35" t="str">
        <f t="shared" si="21"/>
        <v/>
      </c>
      <c r="G323" s="35" t="str">
        <f t="shared" si="22"/>
        <v/>
      </c>
      <c r="H323" s="36" t="str">
        <f t="shared" si="23"/>
        <v/>
      </c>
      <c r="I323" s="36" t="str">
        <f t="shared" si="24"/>
        <v/>
      </c>
      <c r="J323" s="1"/>
    </row>
    <row r="324" spans="1:10" x14ac:dyDescent="0.25">
      <c r="A324" s="32"/>
      <c r="B324" s="32"/>
      <c r="C324" s="40"/>
      <c r="D324" s="40"/>
      <c r="E324" s="34" t="str">
        <f t="shared" si="20"/>
        <v/>
      </c>
      <c r="F324" s="35" t="str">
        <f t="shared" si="21"/>
        <v/>
      </c>
      <c r="G324" s="35" t="str">
        <f t="shared" si="22"/>
        <v/>
      </c>
      <c r="H324" s="36" t="str">
        <f t="shared" si="23"/>
        <v/>
      </c>
      <c r="I324" s="36" t="str">
        <f t="shared" si="24"/>
        <v/>
      </c>
      <c r="J324" s="1"/>
    </row>
    <row r="325" spans="1:10" x14ac:dyDescent="0.25">
      <c r="A325" s="32"/>
      <c r="B325" s="32"/>
      <c r="C325" s="40"/>
      <c r="D325" s="40"/>
      <c r="E325" s="34" t="str">
        <f t="shared" si="20"/>
        <v/>
      </c>
      <c r="F325" s="35" t="str">
        <f t="shared" si="21"/>
        <v/>
      </c>
      <c r="G325" s="35" t="str">
        <f t="shared" si="22"/>
        <v/>
      </c>
      <c r="H325" s="36" t="str">
        <f t="shared" si="23"/>
        <v/>
      </c>
      <c r="I325" s="36" t="str">
        <f t="shared" si="24"/>
        <v/>
      </c>
      <c r="J325" s="1"/>
    </row>
    <row r="326" spans="1:10" x14ac:dyDescent="0.25">
      <c r="A326" s="32"/>
      <c r="B326" s="32"/>
      <c r="C326" s="40"/>
      <c r="D326" s="40"/>
      <c r="E326" s="34" t="str">
        <f t="shared" si="20"/>
        <v/>
      </c>
      <c r="F326" s="35" t="str">
        <f t="shared" si="21"/>
        <v/>
      </c>
      <c r="G326" s="35" t="str">
        <f t="shared" si="22"/>
        <v/>
      </c>
      <c r="H326" s="36" t="str">
        <f t="shared" si="23"/>
        <v/>
      </c>
      <c r="I326" s="36" t="str">
        <f t="shared" si="24"/>
        <v/>
      </c>
      <c r="J326" s="1"/>
    </row>
    <row r="327" spans="1:10" x14ac:dyDescent="0.25">
      <c r="A327" s="32"/>
      <c r="B327" s="32"/>
      <c r="C327" s="40"/>
      <c r="D327" s="40"/>
      <c r="E327" s="34" t="str">
        <f t="shared" si="20"/>
        <v/>
      </c>
      <c r="F327" s="35" t="str">
        <f t="shared" si="21"/>
        <v/>
      </c>
      <c r="G327" s="35" t="str">
        <f t="shared" si="22"/>
        <v/>
      </c>
      <c r="H327" s="36" t="str">
        <f t="shared" si="23"/>
        <v/>
      </c>
      <c r="I327" s="36" t="str">
        <f t="shared" si="24"/>
        <v/>
      </c>
      <c r="J327" s="1"/>
    </row>
    <row r="328" spans="1:10" x14ac:dyDescent="0.25">
      <c r="A328" s="32"/>
      <c r="B328" s="32"/>
      <c r="C328" s="40"/>
      <c r="D328" s="40"/>
      <c r="E328" s="34" t="str">
        <f t="shared" si="20"/>
        <v/>
      </c>
      <c r="F328" s="35" t="str">
        <f t="shared" si="21"/>
        <v/>
      </c>
      <c r="G328" s="35" t="str">
        <f t="shared" si="22"/>
        <v/>
      </c>
      <c r="H328" s="36" t="str">
        <f t="shared" si="23"/>
        <v/>
      </c>
      <c r="I328" s="36" t="str">
        <f t="shared" si="24"/>
        <v/>
      </c>
      <c r="J328" s="1"/>
    </row>
    <row r="329" spans="1:10" x14ac:dyDescent="0.25">
      <c r="A329" s="32"/>
      <c r="B329" s="32"/>
      <c r="C329" s="40"/>
      <c r="D329" s="40"/>
      <c r="E329" s="34" t="str">
        <f t="shared" si="20"/>
        <v/>
      </c>
      <c r="F329" s="35" t="str">
        <f t="shared" si="21"/>
        <v/>
      </c>
      <c r="G329" s="35" t="str">
        <f t="shared" si="22"/>
        <v/>
      </c>
      <c r="H329" s="36" t="str">
        <f t="shared" si="23"/>
        <v/>
      </c>
      <c r="I329" s="36" t="str">
        <f t="shared" si="24"/>
        <v/>
      </c>
      <c r="J329" s="1"/>
    </row>
    <row r="330" spans="1:10" x14ac:dyDescent="0.25">
      <c r="A330" s="32"/>
      <c r="B330" s="32"/>
      <c r="C330" s="40"/>
      <c r="D330" s="40"/>
      <c r="E330" s="34" t="str">
        <f t="shared" si="20"/>
        <v/>
      </c>
      <c r="F330" s="35" t="str">
        <f t="shared" si="21"/>
        <v/>
      </c>
      <c r="G330" s="35" t="str">
        <f t="shared" si="22"/>
        <v/>
      </c>
      <c r="H330" s="36" t="str">
        <f t="shared" si="23"/>
        <v/>
      </c>
      <c r="I330" s="36" t="str">
        <f t="shared" si="24"/>
        <v/>
      </c>
      <c r="J330" s="1"/>
    </row>
    <row r="331" spans="1:10" x14ac:dyDescent="0.25">
      <c r="A331" s="32"/>
      <c r="B331" s="32"/>
      <c r="C331" s="40"/>
      <c r="D331" s="40"/>
      <c r="E331" s="34" t="str">
        <f t="shared" si="20"/>
        <v/>
      </c>
      <c r="F331" s="35" t="str">
        <f t="shared" si="21"/>
        <v/>
      </c>
      <c r="G331" s="35" t="str">
        <f t="shared" si="22"/>
        <v/>
      </c>
      <c r="H331" s="36" t="str">
        <f t="shared" si="23"/>
        <v/>
      </c>
      <c r="I331" s="36" t="str">
        <f t="shared" si="24"/>
        <v/>
      </c>
      <c r="J331" s="1"/>
    </row>
    <row r="332" spans="1:10" x14ac:dyDescent="0.25">
      <c r="A332" s="32"/>
      <c r="B332" s="32"/>
      <c r="C332" s="40"/>
      <c r="D332" s="40"/>
      <c r="E332" s="34" t="str">
        <f t="shared" si="20"/>
        <v/>
      </c>
      <c r="F332" s="35" t="str">
        <f t="shared" si="21"/>
        <v/>
      </c>
      <c r="G332" s="35" t="str">
        <f t="shared" si="22"/>
        <v/>
      </c>
      <c r="H332" s="36" t="str">
        <f t="shared" si="23"/>
        <v/>
      </c>
      <c r="I332" s="36" t="str">
        <f t="shared" si="24"/>
        <v/>
      </c>
      <c r="J332" s="1"/>
    </row>
    <row r="333" spans="1:10" x14ac:dyDescent="0.25">
      <c r="A333" s="32"/>
      <c r="B333" s="32"/>
      <c r="C333" s="40"/>
      <c r="D333" s="40"/>
      <c r="E333" s="34" t="str">
        <f t="shared" si="20"/>
        <v/>
      </c>
      <c r="F333" s="35" t="str">
        <f t="shared" si="21"/>
        <v/>
      </c>
      <c r="G333" s="35" t="str">
        <f t="shared" si="22"/>
        <v/>
      </c>
      <c r="H333" s="36" t="str">
        <f t="shared" si="23"/>
        <v/>
      </c>
      <c r="I333" s="36" t="str">
        <f t="shared" si="24"/>
        <v/>
      </c>
      <c r="J333" s="1"/>
    </row>
    <row r="334" spans="1:10" x14ac:dyDescent="0.25">
      <c r="A334" s="32"/>
      <c r="B334" s="32"/>
      <c r="C334" s="40"/>
      <c r="D334" s="40"/>
      <c r="E334" s="34" t="str">
        <f t="shared" si="20"/>
        <v/>
      </c>
      <c r="F334" s="35" t="str">
        <f t="shared" si="21"/>
        <v/>
      </c>
      <c r="G334" s="35" t="str">
        <f t="shared" si="22"/>
        <v/>
      </c>
      <c r="H334" s="36" t="str">
        <f t="shared" si="23"/>
        <v/>
      </c>
      <c r="I334" s="36" t="str">
        <f t="shared" si="24"/>
        <v/>
      </c>
      <c r="J334" s="1"/>
    </row>
    <row r="335" spans="1:10" x14ac:dyDescent="0.25">
      <c r="A335" s="32"/>
      <c r="B335" s="32"/>
      <c r="C335" s="40"/>
      <c r="D335" s="40"/>
      <c r="E335" s="34" t="str">
        <f t="shared" ref="E335:E351" si="25">IF(C335="","",2*(D335-D334)/((C335-C334)/1000))</f>
        <v/>
      </c>
      <c r="F335" s="35" t="str">
        <f t="shared" ref="F335:F351" si="26">IF(C335="","",F$7+(F$9/F$10)*(EXP(F$10*(C335-F$8)/2000)-1))</f>
        <v/>
      </c>
      <c r="G335" s="35" t="str">
        <f t="shared" ref="G335:G351" si="27">IF(E335="","",F$9+(F335-F$7)*F$10)</f>
        <v/>
      </c>
      <c r="H335" s="36" t="str">
        <f t="shared" ref="H335:H351" si="28">IF(F335="","",F335-D335)</f>
        <v/>
      </c>
      <c r="I335" s="36" t="str">
        <f t="shared" ref="I335:I351" si="29">IF(H335="","",H335^2)</f>
        <v/>
      </c>
      <c r="J335" s="1"/>
    </row>
    <row r="336" spans="1:10" x14ac:dyDescent="0.25">
      <c r="A336" s="32"/>
      <c r="B336" s="32"/>
      <c r="C336" s="40"/>
      <c r="D336" s="40"/>
      <c r="E336" s="34" t="str">
        <f t="shared" si="25"/>
        <v/>
      </c>
      <c r="F336" s="35" t="str">
        <f t="shared" si="26"/>
        <v/>
      </c>
      <c r="G336" s="35" t="str">
        <f t="shared" si="27"/>
        <v/>
      </c>
      <c r="H336" s="36" t="str">
        <f t="shared" si="28"/>
        <v/>
      </c>
      <c r="I336" s="36" t="str">
        <f t="shared" si="29"/>
        <v/>
      </c>
      <c r="J336" s="1"/>
    </row>
    <row r="337" spans="1:10" x14ac:dyDescent="0.25">
      <c r="A337" s="32"/>
      <c r="B337" s="32"/>
      <c r="C337" s="40"/>
      <c r="D337" s="40"/>
      <c r="E337" s="34" t="str">
        <f t="shared" si="25"/>
        <v/>
      </c>
      <c r="F337" s="35" t="str">
        <f t="shared" si="26"/>
        <v/>
      </c>
      <c r="G337" s="35" t="str">
        <f t="shared" si="27"/>
        <v/>
      </c>
      <c r="H337" s="36" t="str">
        <f t="shared" si="28"/>
        <v/>
      </c>
      <c r="I337" s="36" t="str">
        <f t="shared" si="29"/>
        <v/>
      </c>
      <c r="J337" s="1"/>
    </row>
    <row r="338" spans="1:10" x14ac:dyDescent="0.25">
      <c r="A338" s="32"/>
      <c r="B338" s="32"/>
      <c r="C338" s="40"/>
      <c r="D338" s="40"/>
      <c r="E338" s="34" t="str">
        <f t="shared" si="25"/>
        <v/>
      </c>
      <c r="F338" s="35" t="str">
        <f t="shared" si="26"/>
        <v/>
      </c>
      <c r="G338" s="35" t="str">
        <f t="shared" si="27"/>
        <v/>
      </c>
      <c r="H338" s="36" t="str">
        <f t="shared" si="28"/>
        <v/>
      </c>
      <c r="I338" s="36" t="str">
        <f t="shared" si="29"/>
        <v/>
      </c>
      <c r="J338" s="1"/>
    </row>
    <row r="339" spans="1:10" x14ac:dyDescent="0.25">
      <c r="A339" s="32"/>
      <c r="B339" s="32"/>
      <c r="C339" s="40"/>
      <c r="D339" s="40"/>
      <c r="E339" s="34" t="str">
        <f t="shared" si="25"/>
        <v/>
      </c>
      <c r="F339" s="35" t="str">
        <f t="shared" si="26"/>
        <v/>
      </c>
      <c r="G339" s="35" t="str">
        <f t="shared" si="27"/>
        <v/>
      </c>
      <c r="H339" s="36" t="str">
        <f t="shared" si="28"/>
        <v/>
      </c>
      <c r="I339" s="36" t="str">
        <f t="shared" si="29"/>
        <v/>
      </c>
      <c r="J339" s="1"/>
    </row>
    <row r="340" spans="1:10" x14ac:dyDescent="0.25">
      <c r="A340" s="32"/>
      <c r="B340" s="32"/>
      <c r="C340" s="40"/>
      <c r="D340" s="40"/>
      <c r="E340" s="34" t="str">
        <f t="shared" si="25"/>
        <v/>
      </c>
      <c r="F340" s="35" t="str">
        <f t="shared" si="26"/>
        <v/>
      </c>
      <c r="G340" s="35" t="str">
        <f t="shared" si="27"/>
        <v/>
      </c>
      <c r="H340" s="36" t="str">
        <f t="shared" si="28"/>
        <v/>
      </c>
      <c r="I340" s="36" t="str">
        <f t="shared" si="29"/>
        <v/>
      </c>
      <c r="J340" s="1"/>
    </row>
    <row r="341" spans="1:10" x14ac:dyDescent="0.25">
      <c r="A341" s="32"/>
      <c r="B341" s="32"/>
      <c r="C341" s="40"/>
      <c r="D341" s="40"/>
      <c r="E341" s="34" t="str">
        <f t="shared" si="25"/>
        <v/>
      </c>
      <c r="F341" s="35" t="str">
        <f t="shared" si="26"/>
        <v/>
      </c>
      <c r="G341" s="35" t="str">
        <f t="shared" si="27"/>
        <v/>
      </c>
      <c r="H341" s="36" t="str">
        <f t="shared" si="28"/>
        <v/>
      </c>
      <c r="I341" s="36" t="str">
        <f t="shared" si="29"/>
        <v/>
      </c>
      <c r="J341" s="1"/>
    </row>
    <row r="342" spans="1:10" x14ac:dyDescent="0.25">
      <c r="A342" s="32"/>
      <c r="B342" s="32"/>
      <c r="C342" s="40"/>
      <c r="D342" s="40"/>
      <c r="E342" s="34" t="str">
        <f t="shared" si="25"/>
        <v/>
      </c>
      <c r="F342" s="35" t="str">
        <f t="shared" si="26"/>
        <v/>
      </c>
      <c r="G342" s="35" t="str">
        <f t="shared" si="27"/>
        <v/>
      </c>
      <c r="H342" s="36" t="str">
        <f t="shared" si="28"/>
        <v/>
      </c>
      <c r="I342" s="36" t="str">
        <f t="shared" si="29"/>
        <v/>
      </c>
      <c r="J342" s="1"/>
    </row>
    <row r="343" spans="1:10" x14ac:dyDescent="0.25">
      <c r="A343" s="32"/>
      <c r="B343" s="32"/>
      <c r="C343" s="40"/>
      <c r="D343" s="40"/>
      <c r="E343" s="34" t="str">
        <f t="shared" si="25"/>
        <v/>
      </c>
      <c r="F343" s="35" t="str">
        <f t="shared" si="26"/>
        <v/>
      </c>
      <c r="G343" s="35" t="str">
        <f t="shared" si="27"/>
        <v/>
      </c>
      <c r="H343" s="36" t="str">
        <f t="shared" si="28"/>
        <v/>
      </c>
      <c r="I343" s="36" t="str">
        <f t="shared" si="29"/>
        <v/>
      </c>
      <c r="J343" s="1"/>
    </row>
    <row r="344" spans="1:10" x14ac:dyDescent="0.25">
      <c r="A344" s="32"/>
      <c r="B344" s="32"/>
      <c r="C344" s="40"/>
      <c r="D344" s="40"/>
      <c r="E344" s="34" t="str">
        <f t="shared" si="25"/>
        <v/>
      </c>
      <c r="F344" s="35" t="str">
        <f t="shared" si="26"/>
        <v/>
      </c>
      <c r="G344" s="35" t="str">
        <f t="shared" si="27"/>
        <v/>
      </c>
      <c r="H344" s="36" t="str">
        <f t="shared" si="28"/>
        <v/>
      </c>
      <c r="I344" s="36" t="str">
        <f t="shared" si="29"/>
        <v/>
      </c>
      <c r="J344" s="1"/>
    </row>
    <row r="345" spans="1:10" x14ac:dyDescent="0.25">
      <c r="A345" s="32"/>
      <c r="B345" s="32"/>
      <c r="C345" s="40"/>
      <c r="D345" s="40"/>
      <c r="E345" s="34" t="str">
        <f t="shared" si="25"/>
        <v/>
      </c>
      <c r="F345" s="35" t="str">
        <f t="shared" si="26"/>
        <v/>
      </c>
      <c r="G345" s="35" t="str">
        <f t="shared" si="27"/>
        <v/>
      </c>
      <c r="H345" s="36" t="str">
        <f t="shared" si="28"/>
        <v/>
      </c>
      <c r="I345" s="36" t="str">
        <f t="shared" si="29"/>
        <v/>
      </c>
      <c r="J345" s="1"/>
    </row>
    <row r="346" spans="1:10" x14ac:dyDescent="0.25">
      <c r="A346" s="32"/>
      <c r="B346" s="32"/>
      <c r="C346" s="40"/>
      <c r="D346" s="40"/>
      <c r="E346" s="34" t="str">
        <f t="shared" si="25"/>
        <v/>
      </c>
      <c r="F346" s="35" t="str">
        <f t="shared" si="26"/>
        <v/>
      </c>
      <c r="G346" s="35" t="str">
        <f t="shared" si="27"/>
        <v/>
      </c>
      <c r="H346" s="36" t="str">
        <f t="shared" si="28"/>
        <v/>
      </c>
      <c r="I346" s="36" t="str">
        <f t="shared" si="29"/>
        <v/>
      </c>
      <c r="J346" s="1"/>
    </row>
    <row r="347" spans="1:10" x14ac:dyDescent="0.25">
      <c r="A347" s="32"/>
      <c r="B347" s="32"/>
      <c r="C347" s="40"/>
      <c r="D347" s="40"/>
      <c r="E347" s="34" t="str">
        <f t="shared" si="25"/>
        <v/>
      </c>
      <c r="F347" s="35" t="str">
        <f t="shared" si="26"/>
        <v/>
      </c>
      <c r="G347" s="35" t="str">
        <f t="shared" si="27"/>
        <v/>
      </c>
      <c r="H347" s="36" t="str">
        <f t="shared" si="28"/>
        <v/>
      </c>
      <c r="I347" s="36" t="str">
        <f t="shared" si="29"/>
        <v/>
      </c>
      <c r="J347" s="1"/>
    </row>
    <row r="348" spans="1:10" x14ac:dyDescent="0.25">
      <c r="A348" s="32"/>
      <c r="B348" s="32"/>
      <c r="C348" s="40"/>
      <c r="D348" s="40"/>
      <c r="E348" s="34" t="str">
        <f t="shared" si="25"/>
        <v/>
      </c>
      <c r="F348" s="35" t="str">
        <f t="shared" si="26"/>
        <v/>
      </c>
      <c r="G348" s="35" t="str">
        <f t="shared" si="27"/>
        <v/>
      </c>
      <c r="H348" s="36" t="str">
        <f t="shared" si="28"/>
        <v/>
      </c>
      <c r="I348" s="36" t="str">
        <f t="shared" si="29"/>
        <v/>
      </c>
      <c r="J348" s="1"/>
    </row>
    <row r="349" spans="1:10" x14ac:dyDescent="0.25">
      <c r="A349" s="32"/>
      <c r="B349" s="32"/>
      <c r="C349" s="40"/>
      <c r="D349" s="40"/>
      <c r="E349" s="34" t="str">
        <f t="shared" si="25"/>
        <v/>
      </c>
      <c r="F349" s="35" t="str">
        <f t="shared" si="26"/>
        <v/>
      </c>
      <c r="G349" s="35" t="str">
        <f t="shared" si="27"/>
        <v/>
      </c>
      <c r="H349" s="36" t="str">
        <f t="shared" si="28"/>
        <v/>
      </c>
      <c r="I349" s="36" t="str">
        <f t="shared" si="29"/>
        <v/>
      </c>
      <c r="J349" s="1"/>
    </row>
    <row r="350" spans="1:10" x14ac:dyDescent="0.25">
      <c r="A350" s="32"/>
      <c r="B350" s="32"/>
      <c r="C350" s="40"/>
      <c r="D350" s="40"/>
      <c r="E350" s="34" t="str">
        <f t="shared" si="25"/>
        <v/>
      </c>
      <c r="F350" s="35" t="str">
        <f t="shared" si="26"/>
        <v/>
      </c>
      <c r="G350" s="35" t="str">
        <f t="shared" si="27"/>
        <v/>
      </c>
      <c r="H350" s="36" t="str">
        <f t="shared" si="28"/>
        <v/>
      </c>
      <c r="I350" s="36" t="str">
        <f t="shared" si="29"/>
        <v/>
      </c>
      <c r="J350" s="1"/>
    </row>
    <row r="351" spans="1:10" x14ac:dyDescent="0.25">
      <c r="A351" s="32"/>
      <c r="B351" s="32"/>
      <c r="C351" s="40"/>
      <c r="D351" s="40"/>
      <c r="E351" s="34" t="str">
        <f t="shared" si="25"/>
        <v/>
      </c>
      <c r="F351" s="35" t="str">
        <f t="shared" si="26"/>
        <v/>
      </c>
      <c r="G351" s="35" t="str">
        <f t="shared" si="27"/>
        <v/>
      </c>
      <c r="H351" s="36" t="str">
        <f t="shared" si="28"/>
        <v/>
      </c>
      <c r="I351" s="36" t="str">
        <f t="shared" si="29"/>
        <v/>
      </c>
      <c r="J351" s="1"/>
    </row>
  </sheetData>
  <mergeCells count="7">
    <mergeCell ref="F2:H2"/>
    <mergeCell ref="C5:I5"/>
    <mergeCell ref="H7:I8"/>
    <mergeCell ref="H12:I12"/>
    <mergeCell ref="C13:C14"/>
    <mergeCell ref="F13:F14"/>
    <mergeCell ref="G13:G14"/>
  </mergeCells>
  <pageMargins left="0.75" right="0.75" top="1" bottom="1" header="0.5" footer="0.5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usiness_x0020_Unit_x002f_Region xmlns="c32d650a-8315-4350-8b55-f59297d691d3">Sub-Saharan Africa</Business_x0020_Unit_x002f_Region>
    <Language xmlns="http://schemas.microsoft.com/sharepoint/v3">English</Language>
    <Collection xmlns="c32d650a-8315-4350-8b55-f59297d691d3">No</Collection>
    <Document_x0020_Status xmlns="c32d650a-8315-4350-8b55-f59297d691d3">Draft</Document_x0020_Status>
    <Original_LabelApplieddate xmlns="c32d650a-8315-4350-8b55-f59297d691d3" xsi:nil="true"/>
    <Country_x0020_of_x0020_Jurisdiction xmlns="c32d650a-8315-4350-8b55-f59297d691d3">NIGERIA</Country_x0020_of_x0020_Jurisdiction>
    <Business_x0020_Function xmlns="c32d650a-8315-4350-8b55-f59297d691d3">Not Applicable</Business_x0020_Function>
    <Site_x0020_Collection_x0020_Name xmlns="c32d650a-8315-4350-8b55-f59297d691d3">Asset Development Shallow Water - 1</Site_x0020_Collection_x0020_Name>
    <Document_x0020_Type xmlns="c32d650a-8315-4350-8b55-f59297d691d3" xsi:nil="true"/>
    <Original_DocumentID xmlns="c32d650a-8315-4350-8b55-f59297d691d3">AFFAA0789-565370873-2898</Original_DocumentID>
    <Original_ModifiedBy xmlns="c32d650a-8315-4350-8b55-f59297d691d3">Musa, Joel A SPDC-PTD/C/NSI</Original_ModifiedBy>
    <Business xmlns="c32d650a-8315-4350-8b55-f59297d691d3">Upstream International</Business>
    <Business_x0020_Process xmlns="c32d650a-8315-4350-8b55-f59297d691d3">All - Records Management</Business_x0020_Process>
    <Original_LabelappliedBy xmlns="c32d650a-8315-4350-8b55-f59297d691d3" xsi:nil="true"/>
    <Label_x0020_applied_x0020_by xmlns="c32d650a-8315-4350-8b55-f59297d691d3" xsi:nil="true"/>
    <Original_RetentionLabel xmlns="c32d650a-8315-4350-8b55-f59297d691d3" xsi:nil="true"/>
    <Export_x0020_Control xmlns="c32d650a-8315-4350-8b55-f59297d691d3">Non-US content - Non Controlled</Export_x0020_Control>
    <Original_CreatedBy xmlns="c32d650a-8315-4350-8b55-f59297d691d3">Musa, Joel A SPDC-PTD/C/NSI</Original_CreatedBy>
    <Security_x0020_Classification xmlns="c32d650a-8315-4350-8b55-f59297d691d3">Confidential</Security_x0020_Classification>
    <Legal_x0020_Entity xmlns="c32d650a-8315-4350-8b55-f59297d691d3">The Shell Petroleum Development Company Of Nigeria Limited</Legal_x0020_Entity>
    <Site_x0020_Owner xmlns="c32d650a-8315-4350-8b55-f59297d691d3">i:0#.w|africa-me\its-app-imnga-s</Site_x0020_Own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3E50C8FC86145BFB14F966B11FE63" ma:contentTypeVersion="24" ma:contentTypeDescription="Create a new document." ma:contentTypeScope="" ma:versionID="98663f8bda688808d5660a387fe30c69">
  <xsd:schema xmlns:xsd="http://www.w3.org/2001/XMLSchema" xmlns:xs="http://www.w3.org/2001/XMLSchema" xmlns:p="http://schemas.microsoft.com/office/2006/metadata/properties" xmlns:ns1="http://schemas.microsoft.com/sharepoint/v3" xmlns:ns2="c32d650a-8315-4350-8b55-f59297d691d3" xmlns:ns3="849dd509-c049-4693-8981-74bc339d419b" targetNamespace="http://schemas.microsoft.com/office/2006/metadata/properties" ma:root="true" ma:fieldsID="90cdce22a0ff29a76bc1701db5d18ffc" ns1:_="" ns2:_="" ns3:_="">
    <xsd:import namespace="http://schemas.microsoft.com/sharepoint/v3"/>
    <xsd:import namespace="c32d650a-8315-4350-8b55-f59297d691d3"/>
    <xsd:import namespace="849dd509-c049-4693-8981-74bc339d419b"/>
    <xsd:element name="properties">
      <xsd:complexType>
        <xsd:sequence>
          <xsd:element name="documentManagement">
            <xsd:complexType>
              <xsd:all>
                <xsd:element ref="ns2:Business" minOccurs="0"/>
                <xsd:element ref="ns2:Business_x0020_Function" minOccurs="0"/>
                <xsd:element ref="ns2:Business_x0020_Process" minOccurs="0"/>
                <xsd:element ref="ns2:Business_x0020_Unit_x002f_Region" minOccurs="0"/>
                <xsd:element ref="ns2:Collection" minOccurs="0"/>
                <xsd:element ref="ns2:Country_x0020_of_x0020_Jurisdiction" minOccurs="0"/>
                <xsd:element ref="ns2:Document_x0020_Status" minOccurs="0"/>
                <xsd:element ref="ns2:Document_x0020_Type" minOccurs="0"/>
                <xsd:element ref="ns2:Export_x0020_Control" minOccurs="0"/>
                <xsd:element ref="ns2:Label_x0020_applied_x0020_by" minOccurs="0"/>
                <xsd:element ref="ns2:Legal_x0020_Entity" minOccurs="0"/>
                <xsd:element ref="ns2:Original_CreatedBy" minOccurs="0"/>
                <xsd:element ref="ns2:Original_DocumentID" minOccurs="0"/>
                <xsd:element ref="ns2:Original_LabelappliedBy" minOccurs="0"/>
                <xsd:element ref="ns2:Original_LabelApplieddate" minOccurs="0"/>
                <xsd:element ref="ns2:Original_ModifiedBy" minOccurs="0"/>
                <xsd:element ref="ns2:Original_RetentionLabel" minOccurs="0"/>
                <xsd:element ref="ns2:Security_x0020_Classification" minOccurs="0"/>
                <xsd:element ref="ns2:Site_x0020_Collection_x0020_Name" minOccurs="0"/>
                <xsd:element ref="ns2:Site_x0020_Owner" minOccurs="0"/>
                <xsd:element ref="ns1:Language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28" nillable="true" ma:displayName="Language" ma:default="English" ma:internalName="Language">
      <xsd:simpleType>
        <xsd:union memberTypes="dms:Text">
          <xsd:simpleType>
            <xsd:restriction base="dms:Choice">
              <xsd:enumeration value="Arabic (Saudi Arabia)"/>
              <xsd:enumeration value="Bulgarian (Bulgaria)"/>
              <xsd:enumeration value="Chinese (Hong Kong S.A.R.)"/>
              <xsd:enumeration value="Chinese (China)"/>
              <xsd:enumeration value="Chinese (Taiwan)"/>
              <xsd:enumeration value="Croatian (Croatia)"/>
              <xsd:enumeration value="Czech (Czech Republic)"/>
              <xsd:enumeration value="Danish (Denmark)"/>
              <xsd:enumeration value="Dutch (Netherlands)"/>
              <xsd:enumeration value="English"/>
              <xsd:enumeration value="Estonian (Estonia)"/>
              <xsd:enumeration value="Finnish (Finland)"/>
              <xsd:enumeration value="French (France)"/>
              <xsd:enumeration value="German (Germany)"/>
              <xsd:enumeration value="Greek (Greece)"/>
              <xsd:enumeration value="Hebrew (Israel)"/>
              <xsd:enumeration value="Hindi (India)"/>
              <xsd:enumeration value="Hungarian (Hungary)"/>
              <xsd:enumeration value="Indonesian (Indonesia)"/>
              <xsd:enumeration value="Italian (Italy)"/>
              <xsd:enumeration value="Japanese (Japan)"/>
              <xsd:enumeration value="Korean (Korea)"/>
              <xsd:enumeration value="Latvian (Latvia)"/>
              <xsd:enumeration value="Lithuanian (Lithuania)"/>
              <xsd:enumeration value="Malay (Malaysia)"/>
              <xsd:enumeration value="Norwegian (Bokmal) (Norway)"/>
              <xsd:enumeration value="Polish (Poland)"/>
              <xsd:enumeration value="Portuguese (Brazil)"/>
              <xsd:enumeration value="Portuguese (Portugal)"/>
              <xsd:enumeration value="Romanian (Romania)"/>
              <xsd:enumeration value="Russian (Russia)"/>
              <xsd:enumeration value="Serbian (Latin) (Serbia)"/>
              <xsd:enumeration value="Slovak (Slovakia)"/>
              <xsd:enumeration value="Slovenian (Slovenia)"/>
              <xsd:enumeration value="Spanish (Spain)"/>
              <xsd:enumeration value="Swedish (Sweden)"/>
              <xsd:enumeration value="Thai (Thailand)"/>
              <xsd:enumeration value="Turkish (Turkey)"/>
              <xsd:enumeration value="Ukrainian (Ukraine)"/>
              <xsd:enumeration value="Urdu (Islamic Republic of Pakistan)"/>
              <xsd:enumeration value="Vietnamese (Vietnam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d650a-8315-4350-8b55-f59297d691d3" elementFormDefault="qualified">
    <xsd:import namespace="http://schemas.microsoft.com/office/2006/documentManagement/types"/>
    <xsd:import namespace="http://schemas.microsoft.com/office/infopath/2007/PartnerControls"/>
    <xsd:element name="Business" ma:index="8" nillable="true" ma:displayName="Business" ma:internalName="Business">
      <xsd:simpleType>
        <xsd:restriction base="dms:Text">
          <xsd:maxLength value="255"/>
        </xsd:restriction>
      </xsd:simpleType>
    </xsd:element>
    <xsd:element name="Business_x0020_Function" ma:index="9" nillable="true" ma:displayName="Business Function" ma:internalName="Business_x0020_Function">
      <xsd:simpleType>
        <xsd:restriction base="dms:Text">
          <xsd:maxLength value="255"/>
        </xsd:restriction>
      </xsd:simpleType>
    </xsd:element>
    <xsd:element name="Business_x0020_Process" ma:index="10" nillable="true" ma:displayName="Business Process" ma:internalName="Business_x0020_Process">
      <xsd:simpleType>
        <xsd:restriction base="dms:Text">
          <xsd:maxLength value="255"/>
        </xsd:restriction>
      </xsd:simpleType>
    </xsd:element>
    <xsd:element name="Business_x0020_Unit_x002f_Region" ma:index="11" nillable="true" ma:displayName="Business Unit/Region" ma:internalName="Business_x0020_Unit_x002F_Region">
      <xsd:simpleType>
        <xsd:restriction base="dms:Text">
          <xsd:maxLength value="255"/>
        </xsd:restriction>
      </xsd:simpleType>
    </xsd:element>
    <xsd:element name="Collection" ma:index="12" nillable="true" ma:displayName="Collection" ma:internalName="Collection">
      <xsd:simpleType>
        <xsd:restriction base="dms:Text">
          <xsd:maxLength value="255"/>
        </xsd:restriction>
      </xsd:simpleType>
    </xsd:element>
    <xsd:element name="Country_x0020_of_x0020_Jurisdiction" ma:index="13" nillable="true" ma:displayName="Country of Jurisdiction" ma:internalName="Country_x0020_of_x0020_Jurisdiction">
      <xsd:simpleType>
        <xsd:restriction base="dms:Text">
          <xsd:maxLength value="255"/>
        </xsd:restriction>
      </xsd:simpleType>
    </xsd:element>
    <xsd:element name="Document_x0020_Status" ma:index="14" nillable="true" ma:displayName="Document Status" ma:internalName="Document_x0020_Status">
      <xsd:simpleType>
        <xsd:restriction base="dms:Text">
          <xsd:maxLength value="255"/>
        </xsd:restriction>
      </xsd:simpleType>
    </xsd:element>
    <xsd:element name="Document_x0020_Type" ma:index="15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Export_x0020_Control" ma:index="16" nillable="true" ma:displayName="Export Control" ma:internalName="Export_x0020_Control">
      <xsd:simpleType>
        <xsd:restriction base="dms:Text">
          <xsd:maxLength value="255"/>
        </xsd:restriction>
      </xsd:simpleType>
    </xsd:element>
    <xsd:element name="Label_x0020_applied_x0020_by" ma:index="17" nillable="true" ma:displayName="Label applied by" ma:internalName="Label_x0020_applied_x0020_by">
      <xsd:simpleType>
        <xsd:restriction base="dms:Text">
          <xsd:maxLength value="255"/>
        </xsd:restriction>
      </xsd:simpleType>
    </xsd:element>
    <xsd:element name="Legal_x0020_Entity" ma:index="18" nillable="true" ma:displayName="Legal Entity" ma:internalName="Legal_x0020_Entity">
      <xsd:simpleType>
        <xsd:restriction base="dms:Text">
          <xsd:maxLength value="255"/>
        </xsd:restriction>
      </xsd:simpleType>
    </xsd:element>
    <xsd:element name="Original_CreatedBy" ma:index="19" nillable="true" ma:displayName="Original_CreatedBy" ma:internalName="Original_CreatedBy">
      <xsd:simpleType>
        <xsd:restriction base="dms:Text">
          <xsd:maxLength value="255"/>
        </xsd:restriction>
      </xsd:simpleType>
    </xsd:element>
    <xsd:element name="Original_DocumentID" ma:index="20" nillable="true" ma:displayName="Original_DocumentID" ma:internalName="Original_DocumentID">
      <xsd:simpleType>
        <xsd:restriction base="dms:Text">
          <xsd:maxLength value="255"/>
        </xsd:restriction>
      </xsd:simpleType>
    </xsd:element>
    <xsd:element name="Original_LabelappliedBy" ma:index="21" nillable="true" ma:displayName="Original_LabelappliedBy" ma:internalName="Original_LabelappliedBy">
      <xsd:simpleType>
        <xsd:restriction base="dms:Text">
          <xsd:maxLength value="255"/>
        </xsd:restriction>
      </xsd:simpleType>
    </xsd:element>
    <xsd:element name="Original_LabelApplieddate" ma:index="22" nillable="true" ma:displayName="Original_LabelApplieddate" ma:internalName="Original_LabelApplieddate">
      <xsd:simpleType>
        <xsd:restriction base="dms:Text">
          <xsd:maxLength value="255"/>
        </xsd:restriction>
      </xsd:simpleType>
    </xsd:element>
    <xsd:element name="Original_ModifiedBy" ma:index="23" nillable="true" ma:displayName="Original_ModifiedBy" ma:internalName="Original_ModifiedBy">
      <xsd:simpleType>
        <xsd:restriction base="dms:Text">
          <xsd:maxLength value="255"/>
        </xsd:restriction>
      </xsd:simpleType>
    </xsd:element>
    <xsd:element name="Original_RetentionLabel" ma:index="24" nillable="true" ma:displayName="Original_RetentionLabel" ma:internalName="Original_RetentionLabel">
      <xsd:simpleType>
        <xsd:restriction base="dms:Text">
          <xsd:maxLength value="255"/>
        </xsd:restriction>
      </xsd:simpleType>
    </xsd:element>
    <xsd:element name="Security_x0020_Classification" ma:index="25" nillable="true" ma:displayName="Security Classification" ma:internalName="Security_x0020_Classification">
      <xsd:simpleType>
        <xsd:restriction base="dms:Text">
          <xsd:maxLength value="255"/>
        </xsd:restriction>
      </xsd:simpleType>
    </xsd:element>
    <xsd:element name="Site_x0020_Collection_x0020_Name" ma:index="26" nillable="true" ma:displayName="Site Collection Name" ma:internalName="Site_x0020_Collection_x0020_Name">
      <xsd:simpleType>
        <xsd:restriction base="dms:Text">
          <xsd:maxLength value="255"/>
        </xsd:restriction>
      </xsd:simpleType>
    </xsd:element>
    <xsd:element name="Site_x0020_Owner" ma:index="27" nillable="true" ma:displayName="Site Owner" ma:internalName="Site_x0020_Own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dd509-c049-4693-8981-74bc339d4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066BC0-9561-4D5C-9377-E1AAB0BEFFDB}">
  <ds:schemaRefs>
    <ds:schemaRef ds:uri="http://schemas.microsoft.com/office/2006/metadata/properties"/>
    <ds:schemaRef ds:uri="http://schemas.microsoft.com/office/infopath/2007/PartnerControls"/>
    <ds:schemaRef ds:uri="c32d650a-8315-4350-8b55-f59297d691d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7158155-EDA8-495A-A927-E728E99D56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284680-0FBF-4837-8F48-307FFE75C0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32d650a-8315-4350-8b55-f59297d691d3"/>
    <ds:schemaRef ds:uri="849dd509-c049-4693-8981-74bc339d4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NunR-005</vt:lpstr>
      <vt:lpstr>NUNR-012</vt:lpstr>
      <vt:lpstr>BUGC-002</vt:lpstr>
      <vt:lpstr>OBEA_01</vt:lpstr>
      <vt:lpstr>HI02_3</vt:lpstr>
    </vt:vector>
  </TitlesOfParts>
  <Manager/>
  <Company>Shell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Yaqub.O.Adepoju</dc:creator>
  <cp:keywords/>
  <dc:description/>
  <cp:lastModifiedBy>Onwuagba, Kenechi IUC/G/UUDGS</cp:lastModifiedBy>
  <cp:revision/>
  <dcterms:created xsi:type="dcterms:W3CDTF">2015-02-05T07:31:08Z</dcterms:created>
  <dcterms:modified xsi:type="dcterms:W3CDTF">2026-09-03T11:59:09Z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0x0101006F0A470EEB1140E7AA14F4CE8A50B54C|-742801053</vt:lpwstr>
  </property>
  <property fmtid="{D5CDD505-2E9C-101B-9397-08002B2CF9AE}" pid="3" name="ContentTypeId">
    <vt:lpwstr>0x0101008533E50C8FC86145BFB14F966B11FE63</vt:lpwstr>
  </property>
  <property fmtid="{D5CDD505-2E9C-101B-9397-08002B2CF9AE}" pid="4" name="ItemRetentionFormula">
    <vt:lpwstr/>
  </property>
  <property fmtid="{D5CDD505-2E9C-101B-9397-08002B2CF9AE}" pid="5" name="_dlc_DocIdItemGuid">
    <vt:lpwstr>8b628221-6094-4676-b105-b45a9f795b63</vt:lpwstr>
  </property>
  <property fmtid="{D5CDD505-2E9C-101B-9397-08002B2CF9AE}" pid="6" name="Shell SharePoint SAEF BusinessProcess">
    <vt:lpwstr>10;#All - Records Management|1f68a0f2-47ab-4887-8df5-7c0616d5ad90</vt:lpwstr>
  </property>
  <property fmtid="{D5CDD505-2E9C-101B-9397-08002B2CF9AE}" pid="7" name="Shell SharePoint SAEF LegalEntity">
    <vt:lpwstr>4;#The Shell Petroleum Development Company Of Nigeria Limited|b482a97d-f8dd-41c8-ab1c-99b8408fd22e</vt:lpwstr>
  </property>
  <property fmtid="{D5CDD505-2E9C-101B-9397-08002B2CF9AE}" pid="8" name="Shell SharePoint SAEF BusinessUnitRegion">
    <vt:lpwstr>2;#Sub-Saharan Africa|9d13514c-804d-40ff-8e8a-f6825f62fb70</vt:lpwstr>
  </property>
  <property fmtid="{D5CDD505-2E9C-101B-9397-08002B2CF9AE}" pid="9" name="Shell SharePoint SAEF GlobalFunction">
    <vt:lpwstr>3;#Not Applicable|ddce64fb-3cb8-4cd9-8e3d-0fe554247fd1</vt:lpwstr>
  </property>
  <property fmtid="{D5CDD505-2E9C-101B-9397-08002B2CF9AE}" pid="10" name="Shell SharePoint SAEF WorkgroupID">
    <vt:lpwstr>5;#Upstream _ Single File Plan - 22022|d3ed65c1-761d-4a84-a678-924ffd6ed182</vt:lpwstr>
  </property>
  <property fmtid="{D5CDD505-2E9C-101B-9397-08002B2CF9AE}" pid="11" name="Shell SharePoint SAEF CountryOfJurisdiction">
    <vt:lpwstr>7;#NIGERIA|973e3eb3-a5f9-4712-a628-787e048af9f3</vt:lpwstr>
  </property>
  <property fmtid="{D5CDD505-2E9C-101B-9397-08002B2CF9AE}" pid="12" name="Shell SharePoint SAEF ExportControlClassification">
    <vt:lpwstr>9;#Non-US content - Non Controlled|2ac8835e-0587-4096-a6e2-1f68da1e6cb3</vt:lpwstr>
  </property>
  <property fmtid="{D5CDD505-2E9C-101B-9397-08002B2CF9AE}" pid="13" name="SAEFSecurityClassification">
    <vt:lpwstr>8;#Confidential|e4bc29b2-6e76-48cc-b090-8b544c0802ae</vt:lpwstr>
  </property>
  <property fmtid="{D5CDD505-2E9C-101B-9397-08002B2CF9AE}" pid="14" name="Shell SharePoint SAEF DocumentStatus">
    <vt:lpwstr>11;#Draft|1c86f377-7d91-4c95-bd5b-c18c83fe0aa5</vt:lpwstr>
  </property>
  <property fmtid="{D5CDD505-2E9C-101B-9397-08002B2CF9AE}" pid="15" name="Shell SharePoint SAEF Language">
    <vt:lpwstr>6;#English|bd3ad5ee-f0c3-40aa-8cc8-36ef09940af3</vt:lpwstr>
  </property>
  <property fmtid="{D5CDD505-2E9C-101B-9397-08002B2CF9AE}" pid="16" name="Shell SharePoint SAEF Business">
    <vt:lpwstr>1;#Upstream International|dabf15d9-4f75-4ed1-b8a1-a0c3e2a85888</vt:lpwstr>
  </property>
  <property fmtid="{D5CDD505-2E9C-101B-9397-08002B2CF9AE}" pid="17" name="Order">
    <vt:r8>289800</vt:r8>
  </property>
  <property fmtid="{D5CDD505-2E9C-101B-9397-08002B2CF9AE}" pid="18" name="_ExtendedDescription">
    <vt:lpwstr/>
  </property>
  <property fmtid="{D5CDD505-2E9C-101B-9397-08002B2CF9AE}" pid="19" name="MSIP_Label_defa4170-0d19-0005-0004-bc88714345d2_Enabled">
    <vt:lpwstr>true</vt:lpwstr>
  </property>
  <property fmtid="{D5CDD505-2E9C-101B-9397-08002B2CF9AE}" pid="20" name="MSIP_Label_defa4170-0d19-0005-0004-bc88714345d2_SetDate">
    <vt:lpwstr>2025-09-17T16:12:38Z</vt:lpwstr>
  </property>
  <property fmtid="{D5CDD505-2E9C-101B-9397-08002B2CF9AE}" pid="21" name="MSIP_Label_defa4170-0d19-0005-0004-bc88714345d2_Method">
    <vt:lpwstr>Standard</vt:lpwstr>
  </property>
  <property fmtid="{D5CDD505-2E9C-101B-9397-08002B2CF9AE}" pid="22" name="MSIP_Label_defa4170-0d19-0005-0004-bc88714345d2_Name">
    <vt:lpwstr>defa4170-0d19-0005-0004-bc88714345d2</vt:lpwstr>
  </property>
  <property fmtid="{D5CDD505-2E9C-101B-9397-08002B2CF9AE}" pid="23" name="MSIP_Label_defa4170-0d19-0005-0004-bc88714345d2_SiteId">
    <vt:lpwstr>f5326574-b01d-46d0-a7b4-d2976544a6cc</vt:lpwstr>
  </property>
  <property fmtid="{D5CDD505-2E9C-101B-9397-08002B2CF9AE}" pid="24" name="MSIP_Label_defa4170-0d19-0005-0004-bc88714345d2_ActionId">
    <vt:lpwstr>f4f28d99-c337-4806-81c9-81c949b4d0d1</vt:lpwstr>
  </property>
  <property fmtid="{D5CDD505-2E9C-101B-9397-08002B2CF9AE}" pid="25" name="MSIP_Label_defa4170-0d19-0005-0004-bc88714345d2_ContentBits">
    <vt:lpwstr>0</vt:lpwstr>
  </property>
  <property fmtid="{D5CDD505-2E9C-101B-9397-08002B2CF9AE}" pid="26" name="MSIP_Label_defa4170-0d19-0005-0004-bc88714345d2_Tag">
    <vt:lpwstr>10, 3, 0, 1</vt:lpwstr>
  </property>
</Properties>
</file>